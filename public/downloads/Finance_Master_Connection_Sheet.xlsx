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6488ca451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82d3e3e279d4ac3"/>
    <x:sheet xmlns:r="http://schemas.openxmlformats.org/officeDocument/2006/relationships" name="Topics" sheetId="2" r:id="R7ecb6aad07154abb"/>
    <x:sheet xmlns:r="http://schemas.openxmlformats.org/officeDocument/2006/relationships" name="Connections" sheetId="3" r:id="R14f141c0efbd4b93"/>
    <x:sheet xmlns:r="http://schemas.openxmlformats.org/officeDocument/2006/relationships" name="Journeys" sheetId="4" r:id="R067049a3bb394335"/>
    <x:sheet xmlns:r="http://schemas.openxmlformats.org/officeDocument/2006/relationships" name="Domain map" sheetId="5" r:id="Rc46dbaaaeed84dde"/>
    <x:sheet xmlns:r="http://schemas.openxmlformats.org/officeDocument/2006/relationships" name="Interaction plan" sheetId="6" r:id="R38e6d488e51f49dd"/>
    <x:sheet xmlns:r="http://schemas.openxmlformats.org/officeDocument/2006/relationships" name="Inventory" sheetId="7" r:id="R770f28a3031f4633"/>
    <x:sheet xmlns:r="http://schemas.openxmlformats.org/officeDocument/2006/relationships" name="Legend and sources" sheetId="8" r:id="R2cb6cace006e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1">
    <x:font>
      <x:sz val="11"/>
      <x:name val="Carlito"/>
    </x:font>
    <x:font>
      <x:sz val="10"/>
      <x:color rgb="FF162A43"/>
      <x:name val="Arial"/>
    </x:font>
    <x:font>
      <x:b/>
      <x:sz val="16"/>
      <x:color rgb="FF162A43"/>
      <x:name val="Arial"/>
    </x:font>
    <x:font>
      <x:i/>
      <x:sz val="10"/>
      <x:color rgb="FF5B6D7D"/>
      <x:name val="Arial"/>
    </x:font>
    <x:font>
      <x:b/>
      <x:sz val="10"/>
      <x:color rgb="FFFFFFFF"/>
      <x:name val="Arial"/>
    </x:font>
    <x:font>
      <x:b/>
      <x:sz val="10"/>
      <x:color rgb="FF355F8A"/>
      <x:name val="Arial"/>
    </x:font>
    <x:font>
      <x:sz val="10"/>
      <x:color rgb="FF355F8A"/>
      <x:name val="Arial"/>
    </x:font>
    <x:font>
      <x:sz val="11"/>
      <x:color rgb="FF162A43"/>
      <x:name val="Arial"/>
    </x:font>
    <x:font>
      <x:b/>
      <x:sz val="17"/>
      <x:color rgb="FF162A43"/>
      <x:name val="Arial"/>
    </x:font>
    <x:font>
      <x:b/>
      <x:sz val="11"/>
      <x:color rgb="FFFFFFFF"/>
      <x:name val="Arial"/>
    </x:font>
    <x:font>
      <x:b/>
      <x:sz val="11"/>
      <x:color rgb="FF355F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2A43"/>
      </x:patternFill>
    </x:fill>
    <x:fill>
      <x:patternFill patternType="solid">
        <x:fgColor rgb="FFEDF3F8"/>
      </x:patternFill>
    </x:fill>
    <x:fill>
      <x:patternFill patternType="solid">
        <x:fgColor rgb="FFFFF0CD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54F30"/>
      </x:font>
      <x:fill>
        <x:patternFill patternType="solid">
          <x:bgColor rgb="FFDDE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99e637e64414b" /><Relationship Type="http://schemas.openxmlformats.org/officeDocument/2006/relationships/theme" Target="/xl/theme/theme1.xml" Id="R6613fc318e314489" /><Relationship Type="http://schemas.openxmlformats.org/officeDocument/2006/relationships/sharedStrings" Target="/xl/sharedStrings.xml" Id="Rf983774963a247cf" /><Relationship Type="http://schemas.openxmlformats.org/officeDocument/2006/relationships/worksheet" Target="/xl/worksheets/sheet1.xml" Id="R582d3e3e279d4ac3" /><Relationship Type="http://schemas.openxmlformats.org/officeDocument/2006/relationships/worksheet" Target="/xl/worksheets/sheet2.xml" Id="R7ecb6aad07154abb" /><Relationship Type="http://schemas.openxmlformats.org/officeDocument/2006/relationships/worksheet" Target="/xl/worksheets/sheet3.xml" Id="R14f141c0efbd4b93" /><Relationship Type="http://schemas.openxmlformats.org/officeDocument/2006/relationships/worksheet" Target="/xl/worksheets/sheet4.xml" Id="R067049a3bb394335" /><Relationship Type="http://schemas.openxmlformats.org/officeDocument/2006/relationships/worksheet" Target="/xl/worksheets/sheet5.xml" Id="Rc46dbaaaeed84dde" /><Relationship Type="http://schemas.openxmlformats.org/officeDocument/2006/relationships/worksheet" Target="/xl/worksheets/sheet6.xml" Id="R38e6d488e51f49dd" /><Relationship Type="http://schemas.openxmlformats.org/officeDocument/2006/relationships/worksheet" Target="/xl/worksheets/sheet7.xml" Id="R770f28a3031f4633" /><Relationship Type="http://schemas.openxmlformats.org/officeDocument/2006/relationships/worksheet" Target="/xl/worksheets/sheet8.xml" Id="R2cb6cace006e4e23" /></Relationships>
</file>

<file path=xl/tables/table1.xml><?xml version="1.0" encoding="utf-8"?>
<x:table xmlns:x="http://schemas.openxmlformats.org/spreadsheetml/2006/main" id="1" name="Table_Topics" displayName="Table_Topics" ref="A5:M703" headerRowCount="1" totalsRowCount="0" totalsRowShown="0">
  <x:autoFilter ref="A5:M703"/>
  <x:tableColumns count="13">
    <x:tableColumn id="1" name="Topic ID"/>
    <x:tableColumn id="2" name="Area ID"/>
    <x:tableColumn id="3" name="Topic / concept"/>
    <x:tableColumn id="4" name="Suggested stage"/>
    <x:tableColumn id="5" name="Preparation IDs"/>
    <x:tableColumn id="6" name="Companion ID"/>
    <x:tableColumn id="7" name="All links"/>
    <x:tableColumn id="8" name="Mechanism links"/>
    <x:tableColumn id="9" name="Suggested interaction"/>
    <x:tableColumn id="10" name="Opening question / authoring prompt"/>
    <x:tableColumn id="11" name="Lesson status"/>
    <x:tableColumn id="12" name="Select to author"/>
    <x:tableColumn id="13" name="Authoring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Connections" displayName="Table_Connections" ref="A5:I2525" headerRowCount="1" totalsRowCount="0" totalsRowShown="0">
  <x:autoFilter ref="A5:I2525"/>
  <x:tableColumns count="9">
    <x:tableColumn id="1" name="Link ID"/>
    <x:tableColumn id="2" name="From ID"/>
    <x:tableColumn id="3" name="From topic"/>
    <x:tableColumn id="4" name="Relationship"/>
    <x:tableColumn id="5" name="To ID"/>
    <x:tableColumn id="6" name="To topic"/>
    <x:tableColumn id="7" name="Why follow this connection?"/>
    <x:tableColumn id="8" name="Conditions / interpretation"/>
    <x:tableColumn id="9" name="Mapping prov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Journeys" displayName="Table_Journeys" ref="A5:H186" headerRowCount="1" totalsRowCount="0" totalsRowShown="0">
  <x:autoFilter ref="A5:H186"/>
  <x:tableColumns count="8">
    <x:tableColumn id="1" name="Journey ID"/>
    <x:tableColumn id="2" name="Journey"/>
    <x:tableColumn id="3" name="Step"/>
    <x:tableColumn id="4" name="Concept ID"/>
    <x:tableColumn id="5" name="Concept"/>
    <x:tableColumn id="6" name="Driving question"/>
    <x:tableColumn id="7" name="Learner action"/>
    <x:tableColumn id="8" name="Next concept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Domain_map" displayName="Table_Domain_map" ref="A5:H45" headerRowCount="1" totalsRowCount="0" totalsRowShown="0">
  <x:autoFilter ref="A5:H45"/>
  <x:tableColumns count="8">
    <x:tableColumn id="1" name="Area ID"/>
    <x:tableColumn id="2" name="Finance area"/>
    <x:tableColumn id="3" name="Original units"/>
    <x:tableColumn id="4" name="Atomic anchors"/>
    <x:tableColumn id="5" name="Suggested entry"/>
    <x:tableColumn id="6" name="Entry concept"/>
    <x:tableColumn id="7" name="Connects to areas"/>
    <x:tableColumn id="8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Interaction_plan" displayName="Table_Interaction_plan" ref="A5:F15" headerRowCount="1" totalsRowCount="0" totalsRowShown="0">
  <x:autoFilter ref="A5:F15"/>
  <x:tableColumns count="6">
    <x:tableColumn id="1" name="Trigger"/>
    <x:tableColumn id="2" name="Learning purpose"/>
    <x:tableColumn id="3" name="Experience"/>
    <x:tableColumn id="4" name="Required content fields"/>
    <x:tableColumn id="5" name="Navigation / behaviour"/>
    <x:tableColumn id="6" name="Authoring constra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Inventory" displayName="Table_Inventory" ref="A5:E683" headerRowCount="1" totalsRowCount="0" totalsRowShown="0">
  <x:autoFilter ref="A5:E683"/>
  <x:tableColumns count="5">
    <x:tableColumn id="1" name="Original ID"/>
    <x:tableColumn id="2" name="Area ID"/>
    <x:tableColumn id="3" name="Original topic text"/>
    <x:tableColumn id="4" name="Mapped concept ID"/>
    <x:tableColumn id="5" name="Cover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Legend_and_sources" displayName="Table_Legend_and_sources" ref="A5:E156" headerRowCount="1" totalsRowCount="0" totalsRowShown="0">
  <x:autoFilter ref="A5:E156"/>
  <x:tableColumns count="5">
    <x:tableColumn id="1" name="Record type"/>
    <x:tableColumn id="2" name="Name / ID"/>
    <x:tableColumn id="3" name="Definition / reference"/>
    <x:tableColumn id="4" name="Context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87c9de75b4e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7ba914758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4e9d5c3f5b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b960cc3afd47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a3e271bf1946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e66fcb309643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772cb9bcba4837" /></Relationships>
</file>

<file path=xl/worksheets/sheet1.xml><?xml version="1.0" encoding="utf-8"?>
<worksheet xmlns="http://schemas.openxmlformats.org/spreadsheetml/2006/main">
  <sheetPr>
    <tabColor rgb="FF162A43"/>
  </sheetPr>
  <sheetViews>
    <sheetView showGridLines="0" workbookViewId="0"/>
  </sheetViews>
  <sheetFormatPr defaultRowHeight="15"/>
  <cols>
    <col min="1" max="1" width="38.88999938964844" hidden="0" customWidth="1"/>
    <col min="2" max="2" width="10.5600004196167" hidden="0" customWidth="1"/>
    <col min="3" max="3" width="2.7799999713897705" hidden="0" customWidth="1"/>
    <col min="4" max="4" width="19.440000534057617" hidden="0" customWidth="1"/>
    <col min="5" max="5" width="30" hidden="0" customWidth="1"/>
    <col min="6" max="6" width="47.779998779296875" hidden="0" customWidth="1"/>
    <col min="7" max="7" width="2.2200000286102295" hidden="0" customWidth="1"/>
    <col min="8" max="8" width="2.2200000286102295" hidden="0" customWidth="1"/>
  </cols>
  <sheetData>
    <row r="1">
      <c r="A1" s="21"/>
      <c r="B1" s="21"/>
      <c r="C1" s="21"/>
      <c r="D1" s="21"/>
      <c r="E1" s="21"/>
      <c r="F1" s="21"/>
      <c r="G1" s="21"/>
      <c r="H1" s="21"/>
    </row>
    <row r="2">
      <c r="A2" s="22" t="str">
        <v>FINANCE ATLAS - MASTER CONNECTION SHEET</v>
      </c>
      <c r="B2" s="21"/>
      <c r="C2" s="21"/>
      <c r="D2" s="21"/>
      <c r="E2" s="21"/>
      <c r="F2" s="21"/>
      <c r="G2" s="21"/>
      <c r="H2" s="21"/>
    </row>
    <row r="3">
      <c r="A3" s="21" t="str">
        <v>All agreed finance topics, their relationships and question-led learning paths. Version 1 - 8 October 2026.</v>
      </c>
      <c r="B3" s="21"/>
      <c r="C3" s="21"/>
      <c r="D3" s="21"/>
      <c r="E3" s="21"/>
      <c r="F3" s="21"/>
      <c r="G3" s="21"/>
      <c r="H3" s="21"/>
    </row>
    <row r="4">
      <c r="A4" s="21"/>
      <c r="B4" s="21"/>
      <c r="C4" s="21"/>
      <c r="D4" s="21"/>
      <c r="E4" s="21"/>
      <c r="F4" s="21"/>
      <c r="G4" s="21"/>
      <c r="H4" s="21"/>
    </row>
    <row r="5" ht="28" customHeight="1">
      <c r="A5" s="24" t="str">
        <v>Coverage</v>
      </c>
      <c r="B5" s="24" t="str">
        <v>Count</v>
      </c>
      <c r="C5" s="21"/>
      <c r="D5" s="24" t="str">
        <v>Open</v>
      </c>
      <c r="E5" s="24" t="str">
        <v>Purpose</v>
      </c>
      <c r="F5" s="24" t="str">
        <v>How to use</v>
      </c>
      <c r="G5" s="21"/>
      <c r="H5" s="21"/>
    </row>
    <row r="6" ht="46" customHeight="1">
      <c r="A6" s="21" t="str">
        <v>Finance areas</v>
      </c>
      <c r="B6" s="25" t="n">
        <f>COUNTA('Domain map'!A6:A45)</f>
        <v>40</v>
      </c>
      <c r="C6" s="21"/>
      <c r="D6" s="27" t="str">
        <v>Topics</v>
      </c>
      <c r="E6" s="28" t="str">
        <v>Select and organise lessons</v>
      </c>
      <c r="F6" s="28" t="str">
        <v>Filter by area, stage or selected topics.</v>
      </c>
      <c r="G6" s="21"/>
      <c r="H6" s="21"/>
    </row>
    <row r="7" ht="46" customHeight="1">
      <c r="A7" s="21" t="str">
        <v>Original grouped topic units</v>
      </c>
      <c r="B7" s="25" t="n">
        <f>COUNTA('Inventory'!A6:A683)</f>
        <v>678</v>
      </c>
      <c r="C7" s="21"/>
      <c r="D7" s="27" t="str">
        <v>Connections</v>
      </c>
      <c r="E7" s="28" t="str">
        <v>Inspect the finance web</v>
      </c>
      <c r="F7" s="28" t="str">
        <v>Filter From ID or To ID. Read direction, explanation and conditions.</v>
      </c>
      <c r="G7" s="21"/>
      <c r="H7" s="21"/>
    </row>
    <row r="8" ht="46" customHeight="1">
      <c r="A8" s="21" t="str">
        <v>Added atomic anchors</v>
      </c>
      <c r="B8" s="25" t="n">
        <f>COUNTA('Topics'!A6:A703)-B7</f>
        <v>20</v>
      </c>
      <c r="C8" s="21"/>
      <c r="D8" s="27" t="str">
        <v>Journeys</v>
      </c>
      <c r="E8" s="28" t="str">
        <v>Explore through a question</v>
      </c>
      <c r="F8" s="28" t="str">
        <v>Follow a named sequence and inspect its shared concepts.</v>
      </c>
      <c r="G8" s="21"/>
      <c r="H8" s="21"/>
    </row>
    <row r="9" ht="46" customHeight="1">
      <c r="A9" s="21" t="str">
        <v>All concept nodes</v>
      </c>
      <c r="B9" s="25" t="n">
        <f>COUNTA('Topics'!A6:A703)</f>
        <v>698</v>
      </c>
      <c r="C9" s="21"/>
      <c r="D9" s="27" t="str">
        <v>Domain map</v>
      </c>
      <c r="E9" s="28" t="str">
        <v>Browse all 40 areas</v>
      </c>
      <c r="F9" s="28" t="str">
        <v>Locate area IDs and see their connections.</v>
      </c>
      <c r="G9" s="21"/>
      <c r="H9" s="21"/>
    </row>
    <row r="10" ht="46" customHeight="1">
      <c r="A10" s="21" t="str">
        <v>All labelled relationships</v>
      </c>
      <c r="B10" s="25" t="n">
        <f>COUNTA('Connections'!A6:A2525)</f>
        <v>2520</v>
      </c>
      <c r="C10" s="21"/>
      <c r="D10" s="27" t="str">
        <v>Interaction plan</v>
      </c>
      <c r="E10" s="28" t="str">
        <v>Plan hover, click and questions</v>
      </c>
      <c r="F10" s="28" t="str">
        <v>Use the content fields when writing lessons.</v>
      </c>
      <c r="G10" s="21"/>
      <c r="H10" s="21"/>
    </row>
    <row r="11" ht="46" customHeight="1">
      <c r="A11" s="21" t="str">
        <v>Financial mechanism / application links</v>
      </c>
      <c r="B11" s="25" t="n">
        <f>COUNTIFS('Connections'!D6:D2525,"&lt;&gt;PART_OF",'Connections'!D6:D2525,"&lt;&gt;DEEPENS",'Connections'!D6:D2525,"&lt;&gt;EXPLORE_WITH",'Connections'!D6:D2525,"&lt;&gt;RECOMMENDED_BEFORE")</f>
        <v>393</v>
      </c>
      <c r="C11" s="21"/>
      <c r="D11" s="27" t="str">
        <v>Inventory</v>
      </c>
      <c r="E11" s="28" t="str">
        <v>Check every original topic</v>
      </c>
      <c r="F11" s="28" t="str">
        <v>Compare the original wording with its mapped ID.</v>
      </c>
      <c r="G11" s="21"/>
      <c r="H11" s="21"/>
    </row>
    <row r="12" ht="46" customHeight="1">
      <c r="A12" s="21" t="str">
        <v>Named learning journeys</v>
      </c>
      <c r="B12" s="25" t="n">
        <v>24</v>
      </c>
      <c r="C12" s="21"/>
      <c r="D12" s="27" t="str">
        <v>Legend and sources</v>
      </c>
      <c r="E12" s="28" t="str">
        <v>Interpret links and overlaps</v>
      </c>
      <c r="F12" s="28" t="str">
        <v>Separate navigation, preparation and financial mechanisms.</v>
      </c>
      <c r="G12" s="21"/>
      <c r="H12" s="21"/>
    </row>
    <row r="13" ht="27" customHeight="1">
      <c r="A13" s="21" t="str">
        <v>Topics selected for authoring</v>
      </c>
      <c r="B13" s="25" t="n">
        <f>COUNTIFS('Topics'!L6:L703,"Yes")</f>
        <v>0</v>
      </c>
      <c r="C13" s="21"/>
      <c r="D13" s="21"/>
      <c r="E13" s="21"/>
      <c r="F13" s="21"/>
      <c r="G13" s="21"/>
      <c r="H13" s="21"/>
    </row>
    <row r="14" ht="27" customHeight="1">
      <c r="A14" s="21" t="str">
        <v>Reviewed lessons</v>
      </c>
      <c r="B14" s="25" t="n">
        <f>COUNTIFS('Topics'!K6:K703,"Reviewed")</f>
        <v>0</v>
      </c>
      <c r="C14" s="21"/>
      <c r="D14" s="21"/>
      <c r="E14" s="21"/>
      <c r="F14" s="21"/>
      <c r="G14" s="21"/>
      <c r="H14" s="21"/>
    </row>
    <row r="15">
      <c r="A15" s="21"/>
      <c r="B15" s="21"/>
      <c r="C15" s="21"/>
      <c r="D15" s="21"/>
      <c r="E15" s="21"/>
      <c r="F15" s="21"/>
      <c r="G15" s="21"/>
      <c r="H15" s="21"/>
    </row>
    <row r="16">
      <c r="A16" s="21"/>
      <c r="B16" s="21"/>
      <c r="C16" s="21"/>
      <c r="D16" s="21"/>
      <c r="E16" s="21"/>
      <c r="F16" s="21"/>
      <c r="G16" s="21"/>
      <c r="H16" s="21"/>
    </row>
    <row r="17">
      <c r="A17" s="21"/>
      <c r="B17" s="21"/>
      <c r="C17" s="21"/>
      <c r="D17" s="21"/>
      <c r="E17" s="21"/>
      <c r="F17" s="21"/>
      <c r="G17" s="21"/>
      <c r="H17" s="21"/>
    </row>
    <row r="18">
      <c r="A18" s="26" t="str">
        <v>READ THE NETWORK</v>
      </c>
      <c r="B18" s="21"/>
      <c r="C18" s="21"/>
      <c r="D18" s="21"/>
      <c r="E18" s="21"/>
      <c r="F18" s="21"/>
      <c r="G18" s="21"/>
      <c r="H18" s="21"/>
    </row>
    <row r="19" ht="24" customHeight="1">
      <c r="A19" s="28" t="str">
        <v>PART_OF locates a topic. RECOMMENDED_BEFORE suggests preparation. EXPLORE_WITH offers a companion. Mechanism links explain financial relationships.</v>
      </c>
      <c r="B19" s="28"/>
      <c r="C19" s="28"/>
      <c r="D19" s="28"/>
      <c r="E19" s="28"/>
      <c r="F19" s="28"/>
      <c r="G19" s="21"/>
      <c r="H19" s="21"/>
    </row>
    <row r="20" ht="24" customHeight="1">
      <c r="A20" s="28"/>
      <c r="B20" s="28"/>
      <c r="C20" s="28"/>
      <c r="D20" s="28"/>
      <c r="E20" s="28"/>
      <c r="F20" s="28"/>
      <c r="G20" s="21"/>
      <c r="H20" s="21"/>
    </row>
    <row r="21">
      <c r="A21" s="21"/>
      <c r="B21" s="21"/>
      <c r="C21" s="21"/>
      <c r="D21" s="21"/>
      <c r="E21" s="21"/>
      <c r="F21" s="21"/>
      <c r="G21" s="21"/>
      <c r="H21" s="21"/>
    </row>
    <row r="22">
      <c r="A22" s="26" t="str">
        <v>START WITH A QUESTION</v>
      </c>
      <c r="B22" s="21"/>
      <c r="C22" s="21"/>
      <c r="D22" s="21"/>
      <c r="E22" s="21"/>
      <c r="F22" s="21"/>
      <c r="G22" s="21"/>
      <c r="H22" s="21"/>
    </row>
    <row r="23" ht="24" customHeight="1">
      <c r="A23" s="28" t="str">
        <v>Open Journeys and try P01: From a balance sheet to valuation. Click a concept ID to jump to its master row.</v>
      </c>
      <c r="B23" s="28"/>
      <c r="C23" s="28"/>
      <c r="D23" s="28"/>
      <c r="E23" s="28"/>
      <c r="F23" s="28"/>
      <c r="G23" s="21"/>
      <c r="H23" s="21"/>
    </row>
    <row r="24" ht="24" customHeight="1">
      <c r="A24" s="28"/>
      <c r="B24" s="28"/>
      <c r="C24" s="28"/>
      <c r="D24" s="28"/>
      <c r="E24" s="28"/>
      <c r="F24" s="28"/>
      <c r="G24" s="21"/>
      <c r="H24" s="21"/>
    </row>
    <row r="25">
      <c r="A25" s="21"/>
      <c r="B25" s="21"/>
      <c r="C25" s="21"/>
      <c r="D25" s="21"/>
      <c r="E25" s="21"/>
      <c r="F25" s="21"/>
      <c r="G25" s="21"/>
      <c r="H25" s="21"/>
    </row>
    <row r="26">
      <c r="A26" s="26" t="str">
        <v>SELECT CONTENT</v>
      </c>
      <c r="B26" s="21"/>
      <c r="C26" s="21"/>
      <c r="D26" s="21"/>
      <c r="E26" s="21"/>
      <c r="F26" s="21"/>
      <c r="G26" s="21"/>
      <c r="H26" s="21"/>
    </row>
    <row r="27" ht="24" customHeight="1">
      <c r="A27" s="28" t="str">
        <v>Use Select to author = Yes in Topics. Lesson status remains separate so selected content is not presented as already written.</v>
      </c>
      <c r="B27" s="28"/>
      <c r="C27" s="28"/>
      <c r="D27" s="28"/>
      <c r="E27" s="28"/>
      <c r="F27" s="28"/>
      <c r="G27" s="21"/>
      <c r="H27" s="21"/>
    </row>
    <row r="28" ht="24" customHeight="1">
      <c r="A28" s="28"/>
      <c r="B28" s="28"/>
      <c r="C28" s="28"/>
      <c r="D28" s="28"/>
      <c r="E28" s="28"/>
      <c r="F28" s="28"/>
      <c r="G28" s="21"/>
      <c r="H28" s="21"/>
    </row>
    <row r="29">
      <c r="A29" s="21"/>
      <c r="B29" s="21"/>
      <c r="C29" s="21"/>
      <c r="D29" s="21"/>
      <c r="E29" s="21"/>
      <c r="F29" s="21"/>
      <c r="G29" s="21"/>
      <c r="H29" s="21"/>
    </row>
    <row r="30">
      <c r="A30" s="26" t="str">
        <v>SCOPE</v>
      </c>
      <c r="B30" s="21"/>
      <c r="C30" s="21"/>
      <c r="D30" s="21"/>
      <c r="E30" s="21"/>
      <c r="F30" s="21"/>
      <c r="G30" s="21"/>
      <c r="H30" s="21"/>
    </row>
    <row r="31" ht="24" customHeight="1">
      <c r="A31" s="28" t="str">
        <v>The file maps every grouped bullet in the agreed 40-area inventory. Full explanations, sourced company cases and quizzes are a later authoring step.</v>
      </c>
      <c r="B31" s="28"/>
      <c r="C31" s="28"/>
      <c r="D31" s="28"/>
      <c r="E31" s="28"/>
      <c r="F31" s="28"/>
      <c r="G31" s="21"/>
      <c r="H31" s="21"/>
    </row>
    <row r="32" ht="24" customHeight="1">
      <c r="A32" s="28"/>
      <c r="B32" s="28"/>
      <c r="C32" s="28"/>
      <c r="D32" s="28"/>
      <c r="E32" s="28"/>
      <c r="F32" s="28"/>
      <c r="G32" s="21"/>
      <c r="H32" s="21"/>
    </row>
    <row r="33">
      <c r="A33" s="21"/>
      <c r="B33" s="21"/>
      <c r="C33" s="21"/>
      <c r="D33" s="21"/>
      <c r="E33" s="21"/>
      <c r="F33" s="21"/>
      <c r="G33" s="21"/>
      <c r="H33" s="21"/>
    </row>
    <row r="34">
      <c r="A34" s="26" t="str">
        <v>SOURCE CONTEXT</v>
      </c>
      <c r="B34" s="21"/>
      <c r="C34" s="21"/>
      <c r="D34" s="21"/>
      <c r="E34" s="21"/>
      <c r="F34" s="21"/>
      <c r="G34" s="21"/>
      <c r="H34" s="21"/>
    </row>
    <row r="35" ht="24" customHeight="1">
      <c r="A35" s="28" t="str">
        <v>The map is a proposed curriculum. Accounting, tax, regulation and product lessons must carry jurisdiction, framework and effective-period labels.</v>
      </c>
      <c r="B35" s="28"/>
      <c r="C35" s="28"/>
      <c r="D35" s="28"/>
      <c r="E35" s="28"/>
      <c r="F35" s="28"/>
      <c r="G35" s="21"/>
      <c r="H35" s="21"/>
    </row>
    <row r="36" ht="24" customHeight="1">
      <c r="A36" s="28"/>
      <c r="B36" s="28"/>
      <c r="C36" s="28"/>
      <c r="D36" s="28"/>
      <c r="E36" s="28"/>
      <c r="F36" s="28"/>
      <c r="G36" s="21"/>
      <c r="H36" s="21"/>
    </row>
    <row r="37">
      <c r="A37" s="21"/>
      <c r="B37" s="21"/>
      <c r="C37" s="21"/>
      <c r="D37" s="21"/>
      <c r="E37" s="21"/>
      <c r="F37" s="21"/>
      <c r="G37" s="21"/>
      <c r="H37" s="21"/>
    </row>
    <row r="38">
      <c r="A38" s="21"/>
      <c r="B38" s="21"/>
      <c r="C38" s="21"/>
      <c r="D38" s="21"/>
      <c r="E38" s="21"/>
      <c r="F38" s="21"/>
      <c r="G38" s="21"/>
      <c r="H38" s="21"/>
    </row>
    <row r="39">
      <c r="A39" s="21"/>
      <c r="B39" s="21"/>
      <c r="C39" s="21"/>
      <c r="D39" s="21"/>
      <c r="E39" s="21"/>
      <c r="F39" s="21"/>
      <c r="G39" s="21"/>
      <c r="H39" s="21"/>
    </row>
    <row r="40">
      <c r="A40" s="21"/>
      <c r="B40" s="21"/>
      <c r="C40" s="21"/>
      <c r="D40" s="21"/>
      <c r="E40" s="21"/>
      <c r="F40" s="21"/>
      <c r="G40" s="21"/>
      <c r="H40" s="21"/>
    </row>
    <row r="41">
      <c r="A41" s="21"/>
      <c r="B41" s="21"/>
      <c r="C41" s="21"/>
      <c r="D41" s="21"/>
      <c r="E41" s="21"/>
      <c r="F41" s="21"/>
      <c r="G41" s="21"/>
      <c r="H41" s="21"/>
    </row>
    <row r="42">
      <c r="A42" s="21"/>
      <c r="B42" s="21"/>
      <c r="C42" s="21"/>
      <c r="D42" s="21"/>
      <c r="E42" s="21"/>
      <c r="F42" s="21"/>
      <c r="G42" s="21"/>
      <c r="H42" s="21"/>
    </row>
  </sheetData>
  <mergeCells>
    <mergeCell ref="A19:F20"/>
    <mergeCell ref="A23:F24"/>
    <mergeCell ref="A27:F28"/>
    <mergeCell ref="A31:F32"/>
    <mergeCell ref="A35:F36"/>
    <mergeCell ref="A2:F2"/>
    <mergeCell ref="A3:F3"/>
  </mergeCells>
  <hyperlinks>
    <hyperlink ref="D6" location="'Topics'!A2" display="Topics"/>
    <hyperlink ref="D7" location="'Connections'!A2" display="Connections"/>
    <hyperlink ref="D8" location="'Journeys'!A2" display="Journeys"/>
    <hyperlink ref="D9" location="'Domain map'!A2" display="Domain map"/>
    <hyperlink ref="D10" location="'Interaction plan'!A2" display="Interaction plan"/>
    <hyperlink ref="D11" location="'Inventory'!A2" display="Inventory"/>
    <hyperlink ref="D12" location="'Legend and sources'!A2" display="Legend and sources"/>
  </hyperlink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Pr>
    <x:tabColor rgb="FF355F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5600004196167" hidden="0" customWidth="1"/>
    <x:col min="2" max="2" width="9.4399995803833" hidden="0" customWidth="1"/>
    <x:col min="3" max="3" width="38.33000183105469" hidden="0" customWidth="1"/>
    <x:col min="4" max="4" width="13.890000343322754" hidden="0" customWidth="1"/>
    <x:col min="5" max="5" width="18.329999923706055" hidden="0" customWidth="1"/>
    <x:col min="6" max="6" width="12.220000267028809" hidden="0" customWidth="1"/>
    <x:col min="7" max="7" width="10" hidden="0" customWidth="1"/>
    <x:col min="8" max="8" width="12.779999732971191" hidden="0" customWidth="1"/>
    <x:col min="9" max="9" width="19.440000534057617" hidden="0" customWidth="1"/>
    <x:col min="10" max="10" width="48.33000183105469" hidden="0" customWidth="1"/>
    <x:col min="11" max="11" width="15.5600004196167" hidden="0" customWidth="1"/>
    <x:col min="12" max="12" width="13.329999923706055" hidden="0" customWidth="1"/>
    <x:col min="13" max="13" width="3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Finance topic master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One row per original topic unit or added atomic anchor. Domain IDs resolve in Domain map.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8" t="str">
        <x:v>Topic ID</x:v>
      </x:c>
      <x:c r="B5" s="8" t="str">
        <x:v>Area ID</x:v>
      </x:c>
      <x:c r="C5" s="8" t="str">
        <x:v>Topic / concept</x:v>
      </x:c>
      <x:c r="D5" s="8" t="str">
        <x:v>Suggested stage</x:v>
      </x:c>
      <x:c r="E5" s="8" t="str">
        <x:v>Preparation IDs</x:v>
      </x:c>
      <x:c r="F5" s="8" t="str">
        <x:v>Companion ID</x:v>
      </x:c>
      <x:c r="G5" s="8" t="str">
        <x:v>All links</x:v>
      </x:c>
      <x:c r="H5" s="8" t="str">
        <x:v>Mechanism links</x:v>
      </x:c>
      <x:c r="I5" s="8" t="str">
        <x:v>Suggested interaction</x:v>
      </x:c>
      <x:c r="J5" s="8" t="str">
        <x:v>Opening question / authoring prompt</x:v>
      </x:c>
      <x:c r="K5" s="8" t="str">
        <x:v>Lesson status</x:v>
      </x:c>
      <x:c r="L5" s="8" t="str">
        <x:v>Select to author</x:v>
      </x:c>
      <x:c r="M5" s="8" t="str">
        <x:v>Authoring notes</x:v>
      </x:c>
    </x:row>
    <x:row r="6" ht="58" customHeight="1">
      <x:c r="A6" s="10" t="str">
        <x:v>T01.01</x:v>
      </x:c>
      <x:c r="B6" s="10" t="str">
        <x:v>D01</x:v>
      </x:c>
      <x:c r="C6" s="10" t="str">
        <x:v>What finance is: allocating capital across time and uncertainty</x:v>
      </x:c>
      <x:c r="D6" s="10" t="str">
        <x:v>Foundation</x:v>
      </x:c>
      <x:c r="E6" s="10" t="str"/>
      <x:c r="F6" s="10" t="str">
        <x:v>T01.08</x:v>
      </x:c>
      <x:c r="G6" s="11" t="n">
        <x:v>16</x:v>
      </x:c>
      <x:c r="H6" s="11" t="n">
        <x:v>0</x:v>
      </x:c>
      <x:c r="I6" s="10" t="str">
        <x:v>Investigate a case</x:v>
      </x:c>
      <x:c r="J6" s="10" t="str">
        <x:v>Who provides the money, who bears the risk, and who receives the benefit? Apply the question to what finance is: allocating capital across time and uncertainty.</x:v>
      </x:c>
      <x:c r="K6" s="13" t="str">
        <x:v>Not authored</x:v>
      </x:c>
      <x:c r="L6" s="13" t="str">
        <x:v>No</x:v>
      </x:c>
      <x:c r="M6" s="13" t="str"/>
    </x:row>
    <x:row r="7" ht="58" customHeight="1">
      <x:c r="A7" s="9" t="str">
        <x:v>T01.02</x:v>
      </x:c>
      <x:c r="B7" s="9" t="str">
        <x:v>D01</x:v>
      </x:c>
      <x:c r="C7" s="9" t="str">
        <x:v>Personal finance, corporate finance, public finance, and investment finance</x:v>
      </x:c>
      <x:c r="D7" s="9" t="str">
        <x:v>Foundation</x:v>
      </x:c>
      <x:c r="E7" s="9" t="str">
        <x:v>T01.01</x:v>
      </x:c>
      <x:c r="F7" s="9" t="str">
        <x:v>T01.03</x:v>
      </x:c>
      <x:c r="G7" s="12" t="n">
        <x:v>3</x:v>
      </x:c>
      <x:c r="H7" s="12" t="n">
        <x:v>0</x:v>
      </x:c>
      <x:c r="I7" s="9" t="str">
        <x:v>Investigate a case</x:v>
      </x:c>
      <x:c r="J7" s="9" t="str">
        <x:v>Who provides the money, who bears the risk, and who receives the benefit? Apply the question to personal finance, corporate finance, public finance, and investment finance.</x:v>
      </x:c>
      <x:c r="K7" s="13" t="str">
        <x:v>Not authored</x:v>
      </x:c>
      <x:c r="L7" s="13" t="str">
        <x:v>No</x:v>
      </x:c>
      <x:c r="M7" s="13" t="str"/>
    </x:row>
    <x:row r="8" ht="58" customHeight="1">
      <x:c r="A8" s="10" t="str">
        <x:v>T01.03</x:v>
      </x:c>
      <x:c r="B8" s="10" t="str">
        <x:v>D01</x:v>
      </x:c>
      <x:c r="C8" s="10" t="str">
        <x:v>The financial system: households, businesses, governments, and intermediaries</x:v>
      </x:c>
      <x:c r="D8" s="10" t="str">
        <x:v>Foundation</x:v>
      </x:c>
      <x:c r="E8" s="10" t="str">
        <x:v>T01.01</x:v>
      </x:c>
      <x:c r="F8" s="10" t="str">
        <x:v>T01.07</x:v>
      </x:c>
      <x:c r="G8" s="11" t="n">
        <x:v>71</x:v>
      </x:c>
      <x:c r="H8" s="11" t="n">
        <x:v>0</x:v>
      </x:c>
      <x:c r="I8" s="10" t="str">
        <x:v>Investigate a case</x:v>
      </x:c>
      <x:c r="J8" s="10" t="str">
        <x:v>Who provides the money, who bears the risk, and who receives the benefit? Apply the question to the financial system: households, businesses, governments, and intermediaries.</x:v>
      </x:c>
      <x:c r="K8" s="13" t="str">
        <x:v>Not authored</x:v>
      </x:c>
      <x:c r="L8" s="13" t="str">
        <x:v>No</x:v>
      </x:c>
      <x:c r="M8" s="13" t="str"/>
    </x:row>
    <x:row r="9" ht="58" customHeight="1">
      <x:c r="A9" s="9" t="str">
        <x:v>T01.04</x:v>
      </x:c>
      <x:c r="B9" s="9" t="str">
        <x:v>D01</x:v>
      </x:c>
      <x:c r="C9" s="9" t="str">
        <x:v>Real assets versus financial assets</x:v>
      </x:c>
      <x:c r="D9" s="9" t="str">
        <x:v>Foundation</x:v>
      </x:c>
      <x:c r="E9" s="9" t="str">
        <x:v>T01.01</x:v>
      </x:c>
      <x:c r="F9" s="9" t="str">
        <x:v>T01.08</x:v>
      </x:c>
      <x:c r="G9" s="12" t="n">
        <x:v>21</x:v>
      </x:c>
      <x:c r="H9" s="12" t="n">
        <x:v>0</x:v>
      </x:c>
      <x:c r="I9" s="9" t="str">
        <x:v>Investigate a case</x:v>
      </x:c>
      <x:c r="J9" s="9" t="str">
        <x:v>Who provides the money, who bears the risk, and who receives the benefit? Apply the question to real assets versus financial assets.</x:v>
      </x:c>
      <x:c r="K9" s="13" t="str">
        <x:v>Not authored</x:v>
      </x:c>
      <x:c r="L9" s="13" t="str">
        <x:v>No</x:v>
      </x:c>
      <x:c r="M9" s="13" t="str"/>
    </x:row>
    <x:row r="10" ht="58" customHeight="1">
      <x:c r="A10" s="10" t="str">
        <x:v>T01.05</x:v>
      </x:c>
      <x:c r="B10" s="10" t="str">
        <x:v>D01</x:v>
      </x:c>
      <x:c r="C10" s="10" t="str">
        <x:v>Income, expenses, assets, liabilities, equity, and wealth</x:v>
      </x:c>
      <x:c r="D10" s="10" t="str">
        <x:v>Foundation</x:v>
      </x:c>
      <x:c r="E10" s="10" t="str">
        <x:v>T01.01</x:v>
      </x:c>
      <x:c r="F10" s="10" t="str">
        <x:v>T01.06</x:v>
      </x:c>
      <x:c r="G10" s="11" t="n">
        <x:v>38</x:v>
      </x:c>
      <x:c r="H10" s="11" t="n">
        <x:v>0</x:v>
      </x:c>
      <x:c r="I10" s="10" t="str">
        <x:v>Investigate a case</x:v>
      </x:c>
      <x:c r="J10" s="10" t="str">
        <x:v>Who provides the money, who bears the risk, and who receives the benefit? Apply the question to income, expenses, assets, liabilities, equity, and wealth.</x:v>
      </x:c>
      <x:c r="K10" s="13" t="str">
        <x:v>Not authored</x:v>
      </x:c>
      <x:c r="L10" s="13" t="str">
        <x:v>No</x:v>
      </x:c>
      <x:c r="M10" s="13" t="str"/>
    </x:row>
    <x:row r="11" ht="58" customHeight="1">
      <x:c r="A11" s="9" t="str">
        <x:v>T01.06</x:v>
      </x:c>
      <x:c r="B11" s="9" t="str">
        <x:v>D01</x:v>
      </x:c>
      <x:c r="C11" s="9" t="str">
        <x:v>Stocks versus flows: a balance at a point in time versus activity during a period</x:v>
      </x:c>
      <x:c r="D11" s="9" t="str">
        <x:v>Foundation</x:v>
      </x:c>
      <x:c r="E11" s="9" t="str">
        <x:v>T01.01</x:v>
      </x:c>
      <x:c r="F11" s="9" t="str">
        <x:v>T01.05</x:v>
      </x:c>
      <x:c r="G11" s="12" t="n">
        <x:v>4</x:v>
      </x:c>
      <x:c r="H11" s="12" t="n">
        <x:v>0</x:v>
      </x:c>
      <x:c r="I11" s="9" t="str">
        <x:v>Investigate a case</x:v>
      </x:c>
      <x:c r="J11" s="9" t="str">
        <x:v>Who provides the money, who bears the risk, and who receives the benefit? Apply the question to stocks versus flows: a balance at a point in time versus activity during a period.</x:v>
      </x:c>
      <x:c r="K11" s="13" t="str">
        <x:v>Not authored</x:v>
      </x:c>
      <x:c r="L11" s="13" t="str">
        <x:v>No</x:v>
      </x:c>
      <x:c r="M11" s="13" t="str"/>
    </x:row>
    <x:row r="12" ht="58" customHeight="1">
      <x:c r="A12" s="10" t="str">
        <x:v>T01.07</x:v>
      </x:c>
      <x:c r="B12" s="10" t="str">
        <x:v>D01</x:v>
      </x:c>
      <x:c r="C12" s="10" t="str">
        <x:v>Saving, investing, borrowing, lending, speculation, and hedging</x:v>
      </x:c>
      <x:c r="D12" s="10" t="str">
        <x:v>Foundation</x:v>
      </x:c>
      <x:c r="E12" s="10" t="str">
        <x:v>T01.01</x:v>
      </x:c>
      <x:c r="F12" s="10" t="str">
        <x:v>T01.10</x:v>
      </x:c>
      <x:c r="G12" s="11" t="n">
        <x:v>4</x:v>
      </x:c>
      <x:c r="H12" s="11" t="n">
        <x:v>0</x:v>
      </x:c>
      <x:c r="I12" s="10" t="str">
        <x:v>Investigate a case</x:v>
      </x:c>
      <x:c r="J12" s="10" t="str">
        <x:v>Who provides the money, who bears the risk, and who receives the benefit? Apply the question to saving, investing, borrowing, lending, speculation, and hedging.</x:v>
      </x:c>
      <x:c r="K12" s="13" t="str">
        <x:v>Not authored</x:v>
      </x:c>
      <x:c r="L12" s="13" t="str">
        <x:v>No</x:v>
      </x:c>
      <x:c r="M12" s="13" t="str"/>
    </x:row>
    <x:row r="13" ht="58" customHeight="1">
      <x:c r="A13" s="9" t="str">
        <x:v>T01.08</x:v>
      </x:c>
      <x:c r="B13" s="9" t="str">
        <x:v>D01</x:v>
      </x:c>
      <x:c r="C13" s="9" t="str">
        <x:v>Sources and uses of funds</x:v>
      </x:c>
      <x:c r="D13" s="9" t="str">
        <x:v>Foundation</x:v>
      </x:c>
      <x:c r="E13" s="9" t="str">
        <x:v>T01.01</x:v>
      </x:c>
      <x:c r="F13" s="9" t="str">
        <x:v>T01.04</x:v>
      </x:c>
      <x:c r="G13" s="12" t="n">
        <x:v>6</x:v>
      </x:c>
      <x:c r="H13" s="12" t="n">
        <x:v>0</x:v>
      </x:c>
      <x:c r="I13" s="9" t="str">
        <x:v>Investigate a case</x:v>
      </x:c>
      <x:c r="J13" s="9" t="str">
        <x:v>Who provides the money, who bears the risk, and who receives the benefit? Apply the question to sources and uses of funds.</x:v>
      </x:c>
      <x:c r="K13" s="13" t="str">
        <x:v>Not authored</x:v>
      </x:c>
      <x:c r="L13" s="13" t="str">
        <x:v>No</x:v>
      </x:c>
      <x:c r="M13" s="13" t="str"/>
    </x:row>
    <x:row r="14" ht="58" customHeight="1">
      <x:c r="A14" s="10" t="str">
        <x:v>T01.09</x:v>
      </x:c>
      <x:c r="B14" s="10" t="str">
        <x:v>D01</x:v>
      </x:c>
      <x:c r="C14" s="10" t="str">
        <x:v>Liquidity, profitability, solvency, and financial flexibility</x:v>
      </x:c>
      <x:c r="D14" s="10" t="str">
        <x:v>Foundation</x:v>
      </x:c>
      <x:c r="E14" s="10" t="str">
        <x:v>T01.01</x:v>
      </x:c>
      <x:c r="F14" s="10" t="str">
        <x:v>T01.08</x:v>
      </x:c>
      <x:c r="G14" s="11" t="n">
        <x:v>3</x:v>
      </x:c>
      <x:c r="H14" s="11" t="n">
        <x:v>0</x:v>
      </x:c>
      <x:c r="I14" s="10" t="str">
        <x:v>Investigate a case</x:v>
      </x:c>
      <x:c r="J14" s="10" t="str">
        <x:v>Who provides the money, who bears the risk, and who receives the benefit? Apply the question to liquidity, profitability, solvency, and financial flexibility.</x:v>
      </x:c>
      <x:c r="K14" s="13" t="str">
        <x:v>Not authored</x:v>
      </x:c>
      <x:c r="L14" s="13" t="str">
        <x:v>No</x:v>
      </x:c>
      <x:c r="M14" s="13" t="str"/>
    </x:row>
    <x:row r="15" ht="58" customHeight="1">
      <x:c r="A15" s="9" t="str">
        <x:v>T01.10</x:v>
      </x:c>
      <x:c r="B15" s="9" t="str">
        <x:v>D01</x:v>
      </x:c>
      <x:c r="C15" s="9" t="str">
        <x:v>Risk, return, opportunity cost, and required return</x:v>
      </x:c>
      <x:c r="D15" s="9" t="str">
        <x:v>Foundation</x:v>
      </x:c>
      <x:c r="E15" s="9" t="str">
        <x:v>T01.01</x:v>
      </x:c>
      <x:c r="F15" s="9" t="str">
        <x:v>T01.13</x:v>
      </x:c>
      <x:c r="G15" s="12" t="n">
        <x:v>39</x:v>
      </x:c>
      <x:c r="H15" s="12" t="n">
        <x:v>0</x:v>
      </x:c>
      <x:c r="I15" s="9" t="str">
        <x:v>Investigate a case</x:v>
      </x:c>
      <x:c r="J15" s="9" t="str">
        <x:v>Who provides the money, who bears the risk, and who receives the benefit? Apply the question to risk, return, opportunity cost, and required return.</x:v>
      </x:c>
      <x:c r="K15" s="13" t="str">
        <x:v>Not authored</x:v>
      </x:c>
      <x:c r="L15" s="13" t="str">
        <x:v>No</x:v>
      </x:c>
      <x:c r="M15" s="13" t="str"/>
    </x:row>
    <x:row r="16" ht="58" customHeight="1">
      <x:c r="A16" s="10" t="str">
        <x:v>T01.11</x:v>
      </x:c>
      <x:c r="B16" s="10" t="str">
        <x:v>D01</x:v>
      </x:c>
      <x:c r="C16" s="10" t="str">
        <x:v>Economic profit versus accounting profit</x:v>
      </x:c>
      <x:c r="D16" s="10" t="str">
        <x:v>Foundation</x:v>
      </x:c>
      <x:c r="E16" s="10" t="str">
        <x:v>T01.01</x:v>
      </x:c>
      <x:c r="F16" s="10" t="str">
        <x:v>T01.12</x:v>
      </x:c>
      <x:c r="G16" s="11" t="n">
        <x:v>4</x:v>
      </x:c>
      <x:c r="H16" s="11" t="n">
        <x:v>0</x:v>
      </x:c>
      <x:c r="I16" s="10" t="str">
        <x:v>Investigate a case</x:v>
      </x:c>
      <x:c r="J16" s="10" t="str">
        <x:v>Who provides the money, who bears the risk, and who receives the benefit? Apply the question to economic profit versus accounting profit.</x:v>
      </x:c>
      <x:c r="K16" s="13" t="str">
        <x:v>Not authored</x:v>
      </x:c>
      <x:c r="L16" s="13" t="str">
        <x:v>No</x:v>
      </x:c>
      <x:c r="M16" s="13" t="str"/>
    </x:row>
    <x:row r="17" ht="58" customHeight="1">
      <x:c r="A17" s="9" t="str">
        <x:v>T01.12</x:v>
      </x:c>
      <x:c r="B17" s="9" t="str">
        <x:v>D01</x:v>
      </x:c>
      <x:c r="C17" s="9" t="str">
        <x:v>Value creation versus value transfer</x:v>
      </x:c>
      <x:c r="D17" s="9" t="str">
        <x:v>Foundation</x:v>
      </x:c>
      <x:c r="E17" s="9" t="str">
        <x:v>T01.01</x:v>
      </x:c>
      <x:c r="F17" s="9" t="str">
        <x:v>T01.11</x:v>
      </x:c>
      <x:c r="G17" s="12" t="n">
        <x:v>19</x:v>
      </x:c>
      <x:c r="H17" s="12" t="n">
        <x:v>0</x:v>
      </x:c>
      <x:c r="I17" s="9" t="str">
        <x:v>Investigate a case</x:v>
      </x:c>
      <x:c r="J17" s="9" t="str">
        <x:v>Who provides the money, who bears the risk, and who receives the benefit? Apply the question to value creation versus value transfer.</x:v>
      </x:c>
      <x:c r="K17" s="13" t="str">
        <x:v>Not authored</x:v>
      </x:c>
      <x:c r="L17" s="13" t="str">
        <x:v>No</x:v>
      </x:c>
      <x:c r="M17" s="13" t="str"/>
    </x:row>
    <x:row r="18" ht="58" customHeight="1">
      <x:c r="A18" s="10" t="str">
        <x:v>T01.13</x:v>
      </x:c>
      <x:c r="B18" s="10" t="str">
        <x:v>D01</x:v>
      </x:c>
      <x:c r="C18" s="10" t="str">
        <x:v>Financial decisions under certainty, risk, and uncertainty</x:v>
      </x:c>
      <x:c r="D18" s="10" t="str">
        <x:v>Foundation</x:v>
      </x:c>
      <x:c r="E18" s="10" t="str">
        <x:v>T01.01</x:v>
      </x:c>
      <x:c r="F18" s="10" t="str">
        <x:v>T01.10</x:v>
      </x:c>
      <x:c r="G18" s="11" t="n">
        <x:v>18</x:v>
      </x:c>
      <x:c r="H18" s="11" t="n">
        <x:v>0</x:v>
      </x:c>
      <x:c r="I18" s="10" t="str">
        <x:v>Investigate a case</x:v>
      </x:c>
      <x:c r="J18" s="10" t="str">
        <x:v>Who provides the money, who bears the risk, and who receives the benefit? Apply the question to financial decisions under certainty, risk, and uncertainty.</x:v>
      </x:c>
      <x:c r="K18" s="13" t="str">
        <x:v>Not authored</x:v>
      </x:c>
      <x:c r="L18" s="13" t="str">
        <x:v>No</x:v>
      </x:c>
      <x:c r="M18" s="13" t="str"/>
    </x:row>
    <x:row r="19" ht="58" customHeight="1">
      <x:c r="A19" s="9" t="str">
        <x:v>T01.14</x:v>
      </x:c>
      <x:c r="B19" s="9" t="str">
        <x:v>D01</x:v>
      </x:c>
      <x:c r="C19" s="9" t="str">
        <x:v>Agency problems, incentives, information asymmetry, and moral hazard</x:v>
      </x:c>
      <x:c r="D19" s="9" t="str">
        <x:v>Foundation</x:v>
      </x:c>
      <x:c r="E19" s="9" t="str">
        <x:v>T01.01</x:v>
      </x:c>
      <x:c r="F19" s="9" t="str">
        <x:v>T01.12</x:v>
      </x:c>
      <x:c r="G19" s="12" t="n">
        <x:v>6</x:v>
      </x:c>
      <x:c r="H19" s="12" t="n">
        <x:v>3</x:v>
      </x:c>
      <x:c r="I19" s="9" t="str">
        <x:v>Investigate a case</x:v>
      </x:c>
      <x:c r="J19" s="9" t="str">
        <x:v>Who provides the money, who bears the risk, and who receives the benefit? Apply the question to agency problems, incentives, information asymmetry, and moral hazard.</x:v>
      </x:c>
      <x:c r="K19" s="13" t="str">
        <x:v>Not authored</x:v>
      </x:c>
      <x:c r="L19" s="13" t="str">
        <x:v>No</x:v>
      </x:c>
      <x:c r="M19" s="13" t="str"/>
    </x:row>
    <x:row r="20" ht="58" customHeight="1">
      <x:c r="A20" s="10" t="str">
        <x:v>T01.15</x:v>
      </x:c>
      <x:c r="B20" s="10" t="str">
        <x:v>D01</x:v>
      </x:c>
      <x:c r="C20" s="10" t="str">
        <x:v>Arbitrage, the law of one price, and market efficiency</x:v>
      </x:c>
      <x:c r="D20" s="10" t="str">
        <x:v>Foundation</x:v>
      </x:c>
      <x:c r="E20" s="10" t="str">
        <x:v>T01.01</x:v>
      </x:c>
      <x:c r="F20" s="10" t="str">
        <x:v>T01.10</x:v>
      </x:c>
      <x:c r="G20" s="11" t="n">
        <x:v>23</x:v>
      </x:c>
      <x:c r="H20" s="11" t="n">
        <x:v>1</x:v>
      </x:c>
      <x:c r="I20" s="10" t="str">
        <x:v>Investigate a case</x:v>
      </x:c>
      <x:c r="J20" s="10" t="str">
        <x:v>Who provides the money, who bears the risk, and who receives the benefit? Apply the question to arbitrage, the law of one price, and market efficiency.</x:v>
      </x:c>
      <x:c r="K20" s="13" t="str">
        <x:v>Not authored</x:v>
      </x:c>
      <x:c r="L20" s="13" t="str">
        <x:v>No</x:v>
      </x:c>
      <x:c r="M20" s="13" t="str"/>
    </x:row>
    <x:row r="21" ht="58" customHeight="1">
      <x:c r="A21" s="9" t="str">
        <x:v>T02.01</x:v>
      </x:c>
      <x:c r="B21" s="9" t="str">
        <x:v>D02</x:v>
      </x:c>
      <x:c r="C21" s="9" t="str">
        <x:v>Percentages, percentage changes, percentage points, and basis points</x:v>
      </x:c>
      <x:c r="D21" s="9" t="str">
        <x:v>Foundation</x:v>
      </x:c>
      <x:c r="E21" s="9" t="str">
        <x:v>T01.10</x:v>
      </x:c>
      <x:c r="F21" s="9" t="str">
        <x:v>T02.02</x:v>
      </x:c>
      <x:c r="G21" s="12" t="n">
        <x:v>4</x:v>
      </x:c>
      <x:c r="H21" s="12" t="n">
        <x:v>0</x:v>
      </x:c>
      <x:c r="I21" s="9" t="str">
        <x:v>Inspect a calculation</x:v>
      </x:c>
      <x:c r="J21" s="9" t="str">
        <x:v>Could a mathematically correct answer still be financially misleading? Apply the question to percentages, percentage changes, percentage points, and basis points.</x:v>
      </x:c>
      <x:c r="K21" s="13" t="str">
        <x:v>Not authored</x:v>
      </x:c>
      <x:c r="L21" s="13" t="str">
        <x:v>No</x:v>
      </x:c>
      <x:c r="M21" s="13" t="str"/>
    </x:row>
    <x:row r="22" ht="58" customHeight="1">
      <x:c r="A22" s="10" t="str">
        <x:v>T02.02</x:v>
      </x:c>
      <x:c r="B22" s="10" t="str">
        <x:v>D02</x:v>
      </x:c>
      <x:c r="C22" s="10" t="str">
        <x:v>Ratios, proportions, weighted averages, and index numbers</x:v>
      </x:c>
      <x:c r="D22" s="10" t="str">
        <x:v>Foundation</x:v>
      </x:c>
      <x:c r="E22" s="10" t="str">
        <x:v>T01.10</x:v>
      </x:c>
      <x:c r="F22" s="10" t="str">
        <x:v>T02.01</x:v>
      </x:c>
      <x:c r="G22" s="11" t="n">
        <x:v>22</x:v>
      </x:c>
      <x:c r="H22" s="11" t="n">
        <x:v>0</x:v>
      </x:c>
      <x:c r="I22" s="10" t="str">
        <x:v>Inspect a calculation</x:v>
      </x:c>
      <x:c r="J22" s="10" t="str">
        <x:v>Could a mathematically correct answer still be financially misleading? Apply the question to ratios, proportions, weighted averages, and index numbers.</x:v>
      </x:c>
      <x:c r="K22" s="13" t="str">
        <x:v>Not authored</x:v>
      </x:c>
      <x:c r="L22" s="13" t="str">
        <x:v>No</x:v>
      </x:c>
      <x:c r="M22" s="13" t="str"/>
    </x:row>
    <x:row r="23" ht="58" customHeight="1">
      <x:c r="A23" s="9" t="str">
        <x:v>T02.03</x:v>
      </x:c>
      <x:c r="B23" s="9" t="str">
        <x:v>D02</x:v>
      </x:c>
      <x:c r="C23" s="9" t="str">
        <x:v>Simple interest and compound interest</x:v>
      </x:c>
      <x:c r="D23" s="9" t="str">
        <x:v>Foundation</x:v>
      </x:c>
      <x:c r="E23" s="9" t="str">
        <x:v>T01.10</x:v>
      </x:c>
      <x:c r="F23" s="9" t="str">
        <x:v>T02.05</x:v>
      </x:c>
      <x:c r="G23" s="12" t="n">
        <x:v>18</x:v>
      </x:c>
      <x:c r="H23" s="12" t="n">
        <x:v>0</x:v>
      </x:c>
      <x:c r="I23" s="9" t="str">
        <x:v>Inspect a calculation</x:v>
      </x:c>
      <x:c r="J23" s="9" t="str">
        <x:v>Could a mathematically correct answer still be financially misleading? Apply the question to simple interest and compound interest.</x:v>
      </x:c>
      <x:c r="K23" s="13" t="str">
        <x:v>Not authored</x:v>
      </x:c>
      <x:c r="L23" s="13" t="str">
        <x:v>No</x:v>
      </x:c>
      <x:c r="M23" s="13" t="str"/>
    </x:row>
    <x:row r="24" ht="58" customHeight="1">
      <x:c r="A24" s="10" t="str">
        <x:v>T02.04</x:v>
      </x:c>
      <x:c r="B24" s="10" t="str">
        <x:v>D02</x:v>
      </x:c>
      <x:c r="C24" s="10" t="str">
        <x:v>Arithmetic returns, geometric returns, and logarithmic returns</x:v>
      </x:c>
      <x:c r="D24" s="10" t="str">
        <x:v>Foundation</x:v>
      </x:c>
      <x:c r="E24" s="10" t="str">
        <x:v>T01.10</x:v>
      </x:c>
      <x:c r="F24" s="10" t="str">
        <x:v>T02.05</x:v>
      </x:c>
      <x:c r="G24" s="11" t="n">
        <x:v>5</x:v>
      </x:c>
      <x:c r="H24" s="11" t="n">
        <x:v>0</x:v>
      </x:c>
      <x:c r="I24" s="10" t="str">
        <x:v>Inspect a calculation</x:v>
      </x:c>
      <x:c r="J24" s="10" t="str">
        <x:v>Could a mathematically correct answer still be financially misleading? Apply the question to arithmetic returns, geometric returns, and logarithmic returns.</x:v>
      </x:c>
      <x:c r="K24" s="13" t="str">
        <x:v>Not authored</x:v>
      </x:c>
      <x:c r="L24" s="13" t="str">
        <x:v>No</x:v>
      </x:c>
      <x:c r="M24" s="13" t="str"/>
    </x:row>
    <x:row r="25" ht="58" customHeight="1">
      <x:c r="A25" s="9" t="str">
        <x:v>T02.05</x:v>
      </x:c>
      <x:c r="B25" s="9" t="str">
        <x:v>D02</x:v>
      </x:c>
      <x:c r="C25" s="9" t="str">
        <x:v>CAGR and annualisation</x:v>
      </x:c>
      <x:c r="D25" s="9" t="str">
        <x:v>Foundation</x:v>
      </x:c>
      <x:c r="E25" s="9" t="str">
        <x:v>T01.10</x:v>
      </x:c>
      <x:c r="F25" s="9" t="str">
        <x:v>T02.04</x:v>
      </x:c>
      <x:c r="G25" s="12" t="n">
        <x:v>6</x:v>
      </x:c>
      <x:c r="H25" s="12" t="n">
        <x:v>0</x:v>
      </x:c>
      <x:c r="I25" s="9" t="str">
        <x:v>Inspect a calculation</x:v>
      </x:c>
      <x:c r="J25" s="9" t="str">
        <x:v>Could a mathematically correct answer still be financially misleading? Apply the question to cagr and annualisation.</x:v>
      </x:c>
      <x:c r="K25" s="13" t="str">
        <x:v>Not authored</x:v>
      </x:c>
      <x:c r="L25" s="13" t="str">
        <x:v>No</x:v>
      </x:c>
      <x:c r="M25" s="13" t="str"/>
    </x:row>
    <x:row r="26" ht="58" customHeight="1">
      <x:c r="A26" s="10" t="str">
        <x:v>T02.06</x:v>
      </x:c>
      <x:c r="B26" s="10" t="str">
        <x:v>D02</x:v>
      </x:c>
      <x:c r="C26" s="10" t="str">
        <x:v>Exponents, logarithms, and growth equations</x:v>
      </x:c>
      <x:c r="D26" s="10" t="str">
        <x:v>Foundation</x:v>
      </x:c>
      <x:c r="E26" s="10" t="str">
        <x:v>T01.10</x:v>
      </x:c>
      <x:c r="F26" s="10" t="str">
        <x:v>T02.05</x:v>
      </x:c>
      <x:c r="G26" s="11" t="n">
        <x:v>3</x:v>
      </x:c>
      <x:c r="H26" s="11" t="n">
        <x:v>0</x:v>
      </x:c>
      <x:c r="I26" s="10" t="str">
        <x:v>Inspect a calculation</x:v>
      </x:c>
      <x:c r="J26" s="10" t="str">
        <x:v>Could a mathematically correct answer still be financially misleading? Apply the question to exponents, logarithms, and growth equations.</x:v>
      </x:c>
      <x:c r="K26" s="13" t="str">
        <x:v>Not authored</x:v>
      </x:c>
      <x:c r="L26" s="13" t="str">
        <x:v>No</x:v>
      </x:c>
      <x:c r="M26" s="13" t="str"/>
    </x:row>
    <x:row r="27" ht="58" customHeight="1">
      <x:c r="A27" s="9" t="str">
        <x:v>T02.07</x:v>
      </x:c>
      <x:c r="B27" s="9" t="str">
        <x:v>D02</x:v>
      </x:c>
      <x:c r="C27" s="9" t="str">
        <x:v>Probability, conditional probability, and Bayes' theorem</x:v>
      </x:c>
      <x:c r="D27" s="9" t="str">
        <x:v>Foundation</x:v>
      </x:c>
      <x:c r="E27" s="9" t="str">
        <x:v>T01.10</x:v>
      </x:c>
      <x:c r="F27" s="9" t="str">
        <x:v>T02.08</x:v>
      </x:c>
      <x:c r="G27" s="12" t="n">
        <x:v>27</x:v>
      </x:c>
      <x:c r="H27" s="12" t="n">
        <x:v>2</x:v>
      </x:c>
      <x:c r="I27" s="9" t="str">
        <x:v>Inspect a calculation</x:v>
      </x:c>
      <x:c r="J27" s="9" t="str">
        <x:v>Could a mathematically correct answer still be financially misleading? Apply the question to probability, conditional probability, and bayes' theorem.</x:v>
      </x:c>
      <x:c r="K27" s="13" t="str">
        <x:v>Not authored</x:v>
      </x:c>
      <x:c r="L27" s="13" t="str">
        <x:v>No</x:v>
      </x:c>
      <x:c r="M27" s="13" t="str"/>
    </x:row>
    <x:row r="28" ht="58" customHeight="1">
      <x:c r="A28" s="10" t="str">
        <x:v>T02.08</x:v>
      </x:c>
      <x:c r="B28" s="10" t="str">
        <x:v>D02</x:v>
      </x:c>
      <x:c r="C28" s="10" t="str">
        <x:v>Expected value, variance, standard deviation, and covariance</x:v>
      </x:c>
      <x:c r="D28" s="10" t="str">
        <x:v>Foundation</x:v>
      </x:c>
      <x:c r="E28" s="10" t="str">
        <x:v>T01.10, T02.07</x:v>
      </x:c>
      <x:c r="F28" s="10" t="str">
        <x:v>T02.09</x:v>
      </x:c>
      <x:c r="G28" s="11" t="n">
        <x:v>26</x:v>
      </x:c>
      <x:c r="H28" s="11" t="n">
        <x:v>0</x:v>
      </x:c>
      <x:c r="I28" s="10" t="str">
        <x:v>Inspect a calculation</x:v>
      </x:c>
      <x:c r="J28" s="10" t="str">
        <x:v>Could a mathematically correct answer still be financially misleading? Apply the question to expected value, variance, standard deviation, and covariance.</x:v>
      </x:c>
      <x:c r="K28" s="13" t="str">
        <x:v>Not authored</x:v>
      </x:c>
      <x:c r="L28" s="13" t="str">
        <x:v>No</x:v>
      </x:c>
      <x:c r="M28" s="13" t="str"/>
    </x:row>
    <x:row r="29" ht="58" customHeight="1">
      <x:c r="A29" s="9" t="str">
        <x:v>T02.09</x:v>
      </x:c>
      <x:c r="B29" s="9" t="str">
        <x:v>D02</x:v>
      </x:c>
      <x:c r="C29" s="9" t="str">
        <x:v>Correlation and its limitations</x:v>
      </x:c>
      <x:c r="D29" s="9" t="str">
        <x:v>Foundation</x:v>
      </x:c>
      <x:c r="E29" s="9" t="str">
        <x:v>T01.10, T02.08</x:v>
      </x:c>
      <x:c r="F29" s="9" t="str">
        <x:v>T02.08</x:v>
      </x:c>
      <x:c r="G29" s="12" t="n">
        <x:v>26</x:v>
      </x:c>
      <x:c r="H29" s="12" t="n">
        <x:v>1</x:v>
      </x:c>
      <x:c r="I29" s="9" t="str">
        <x:v>Inspect a calculation</x:v>
      </x:c>
      <x:c r="J29" s="9" t="str">
        <x:v>Could a mathematically correct answer still be financially misleading? Apply the question to correlation and its limitations.</x:v>
      </x:c>
      <x:c r="K29" s="13" t="str">
        <x:v>Not authored</x:v>
      </x:c>
      <x:c r="L29" s="13" t="str">
        <x:v>No</x:v>
      </x:c>
      <x:c r="M29" s="13" t="str"/>
    </x:row>
    <x:row r="30" ht="58" customHeight="1">
      <x:c r="A30" s="10" t="str">
        <x:v>T02.10</x:v>
      </x:c>
      <x:c r="B30" s="10" t="str">
        <x:v>D02</x:v>
      </x:c>
      <x:c r="C30" s="10" t="str">
        <x:v>Probability distributions, skewness, kurtosis, and tail risk</x:v>
      </x:c>
      <x:c r="D30" s="10" t="str">
        <x:v>Foundation</x:v>
      </x:c>
      <x:c r="E30" s="10" t="str">
        <x:v>T01.10, T02.08</x:v>
      </x:c>
      <x:c r="F30" s="10" t="str">
        <x:v>T02.08</x:v>
      </x:c>
      <x:c r="G30" s="11" t="n">
        <x:v>6</x:v>
      </x:c>
      <x:c r="H30" s="11" t="n">
        <x:v>1</x:v>
      </x:c>
      <x:c r="I30" s="10" t="str">
        <x:v>Inspect a calculation</x:v>
      </x:c>
      <x:c r="J30" s="10" t="str">
        <x:v>Could a mathematically correct answer still be financially misleading? Apply the question to probability distributions, skewness, kurtosis, and tail risk.</x:v>
      </x:c>
      <x:c r="K30" s="13" t="str">
        <x:v>Not authored</x:v>
      </x:c>
      <x:c r="L30" s="13" t="str">
        <x:v>No</x:v>
      </x:c>
      <x:c r="M30" s="13" t="str"/>
    </x:row>
    <x:row r="31" ht="58" customHeight="1">
      <x:c r="A31" s="9" t="str">
        <x:v>T02.11</x:v>
      </x:c>
      <x:c r="B31" s="9" t="str">
        <x:v>D02</x:v>
      </x:c>
      <x:c r="C31" s="9" t="str">
        <x:v>Sampling, estimation, confidence intervals, and hypothesis testing</x:v>
      </x:c>
      <x:c r="D31" s="9" t="str">
        <x:v>Foundation</x:v>
      </x:c>
      <x:c r="E31" s="9" t="str">
        <x:v>T01.10, T02.07</x:v>
      </x:c>
      <x:c r="F31" s="9" t="str">
        <x:v>T02.12</x:v>
      </x:c>
      <x:c r="G31" s="12" t="n">
        <x:v>6</x:v>
      </x:c>
      <x:c r="H31" s="12" t="n">
        <x:v>0</x:v>
      </x:c>
      <x:c r="I31" s="9" t="str">
        <x:v>Inspect a calculation</x:v>
      </x:c>
      <x:c r="J31" s="9" t="str">
        <x:v>Could a mathematically correct answer still be financially misleading? Apply the question to sampling, estimation, confidence intervals, and hypothesis testing.</x:v>
      </x:c>
      <x:c r="K31" s="13" t="str">
        <x:v>Not authored</x:v>
      </x:c>
      <x:c r="L31" s="13" t="str">
        <x:v>No</x:v>
      </x:c>
      <x:c r="M31" s="13" t="str"/>
    </x:row>
    <x:row r="32" ht="58" customHeight="1">
      <x:c r="A32" s="10" t="str">
        <x:v>T02.12</x:v>
      </x:c>
      <x:c r="B32" s="10" t="str">
        <x:v>D02</x:v>
      </x:c>
      <x:c r="C32" s="10" t="str">
        <x:v>Regression, statistical significance, and economic significance</x:v>
      </x:c>
      <x:c r="D32" s="10" t="str">
        <x:v>Foundation</x:v>
      </x:c>
      <x:c r="E32" s="10" t="str">
        <x:v>T01.10, T02.11</x:v>
      </x:c>
      <x:c r="F32" s="10" t="str">
        <x:v>T02.11</x:v>
      </x:c>
      <x:c r="G32" s="11" t="n">
        <x:v>26</x:v>
      </x:c>
      <x:c r="H32" s="11" t="n">
        <x:v>0</x:v>
      </x:c>
      <x:c r="I32" s="10" t="str">
        <x:v>Inspect a calculation</x:v>
      </x:c>
      <x:c r="J32" s="10" t="str">
        <x:v>Could a mathematically correct answer still be financially misleading? Apply the question to regression, statistical significance, and economic significance.</x:v>
      </x:c>
      <x:c r="K32" s="13" t="str">
        <x:v>Not authored</x:v>
      </x:c>
      <x:c r="L32" s="13" t="str">
        <x:v>No</x:v>
      </x:c>
      <x:c r="M32" s="13" t="str"/>
    </x:row>
    <x:row r="33" ht="58" customHeight="1">
      <x:c r="A33" s="9" t="str">
        <x:v>T02.13</x:v>
      </x:c>
      <x:c r="B33" s="9" t="str">
        <x:v>D02</x:v>
      </x:c>
      <x:c r="C33" s="9" t="str">
        <x:v>Time-series foundations, stationarity, autocorrelation, and volatility</x:v>
      </x:c>
      <x:c r="D33" s="9" t="str">
        <x:v>Foundation</x:v>
      </x:c>
      <x:c r="E33" s="9" t="str">
        <x:v>T01.10, T02.12</x:v>
      </x:c>
      <x:c r="F33" s="9" t="str">
        <x:v>T02.12</x:v>
      </x:c>
      <x:c r="G33" s="12" t="n">
        <x:v>5</x:v>
      </x:c>
      <x:c r="H33" s="12" t="n">
        <x:v>1</x:v>
      </x:c>
      <x:c r="I33" s="9" t="str">
        <x:v>Inspect a calculation</x:v>
      </x:c>
      <x:c r="J33" s="9" t="str">
        <x:v>Could a mathematically correct answer still be financially misleading? Apply the question to time-series foundations, stationarity, autocorrelation, and volatility.</x:v>
      </x:c>
      <x:c r="K33" s="13" t="str">
        <x:v>Not authored</x:v>
      </x:c>
      <x:c r="L33" s="13" t="str">
        <x:v>No</x:v>
      </x:c>
      <x:c r="M33" s="13" t="str"/>
    </x:row>
    <x:row r="34" ht="58" customHeight="1">
      <x:c r="A34" s="10" t="str">
        <x:v>T02.14</x:v>
      </x:c>
      <x:c r="B34" s="10" t="str">
        <x:v>D02</x:v>
      </x:c>
      <x:c r="C34" s="10" t="str">
        <x:v>Optimisation, linear algebra, and calculus for finance</x:v>
      </x:c>
      <x:c r="D34" s="10" t="str">
        <x:v>Foundation</x:v>
      </x:c>
      <x:c r="E34" s="10" t="str">
        <x:v>T01.10</x:v>
      </x:c>
      <x:c r="F34" s="10" t="str">
        <x:v>T02.15</x:v>
      </x:c>
      <x:c r="G34" s="11" t="n">
        <x:v>5</x:v>
      </x:c>
      <x:c r="H34" s="11" t="n">
        <x:v>1</x:v>
      </x:c>
      <x:c r="I34" s="10" t="str">
        <x:v>Inspect a calculation</x:v>
      </x:c>
      <x:c r="J34" s="10" t="str">
        <x:v>Could a mathematically correct answer still be financially misleading? Apply the question to optimisation, linear algebra, and calculus for finance.</x:v>
      </x:c>
      <x:c r="K34" s="13" t="str">
        <x:v>Not authored</x:v>
      </x:c>
      <x:c r="L34" s="13" t="str">
        <x:v>No</x:v>
      </x:c>
      <x:c r="M34" s="13" t="str"/>
    </x:row>
    <x:row r="35" ht="58" customHeight="1">
      <x:c r="A35" s="9" t="str">
        <x:v>T02.15</x:v>
      </x:c>
      <x:c r="B35" s="9" t="str">
        <x:v>D02</x:v>
      </x:c>
      <x:c r="C35" s="9" t="str">
        <x:v>Simulation, sensitivity analysis, and scenario analysis</x:v>
      </x:c>
      <x:c r="D35" s="9" t="str">
        <x:v>Foundation</x:v>
      </x:c>
      <x:c r="E35" s="9" t="str">
        <x:v>T01.10, T02.07</x:v>
      </x:c>
      <x:c r="F35" s="9" t="str">
        <x:v>T02.14</x:v>
      </x:c>
      <x:c r="G35" s="12" t="n">
        <x:v>6</x:v>
      </x:c>
      <x:c r="H35" s="12" t="n">
        <x:v>0</x:v>
      </x:c>
      <x:c r="I35" s="9" t="str">
        <x:v>Inspect a calculation</x:v>
      </x:c>
      <x:c r="J35" s="9" t="str">
        <x:v>Could a mathematically correct answer still be financially misleading? Apply the question to simulation, sensitivity analysis, and scenario analysis.</x:v>
      </x:c>
      <x:c r="K35" s="13" t="str">
        <x:v>Not authored</x:v>
      </x:c>
      <x:c r="L35" s="13" t="str">
        <x:v>No</x:v>
      </x:c>
      <x:c r="M35" s="13" t="str"/>
    </x:row>
    <x:row r="36" ht="58" customHeight="1">
      <x:c r="A36" s="10" t="str">
        <x:v>T03.01</x:v>
      </x:c>
      <x:c r="B36" s="10" t="str">
        <x:v>D03</x:v>
      </x:c>
      <x:c r="C36" s="10" t="str">
        <x:v>Present value and future value</x:v>
      </x:c>
      <x:c r="D36" s="10" t="str">
        <x:v>Foundation</x:v>
      </x:c>
      <x:c r="E36" s="10" t="str">
        <x:v>T02.03</x:v>
      </x:c>
      <x:c r="F36" s="10" t="str">
        <x:v>T03.02</x:v>
      </x:c>
      <x:c r="G36" s="11" t="n">
        <x:v>62</x:v>
      </x:c>
      <x:c r="H36" s="11" t="n">
        <x:v>2</x:v>
      </x:c>
      <x:c r="I36" s="10" t="str">
        <x:v>Inspect a calculation</x:v>
      </x:c>
      <x:c r="J36" s="10" t="str">
        <x:v>Would you prefer the money today or later, and what rate changes your answer? Apply the question to present value and future value.</x:v>
      </x:c>
      <x:c r="K36" s="13" t="str">
        <x:v>Not authored</x:v>
      </x:c>
      <x:c r="L36" s="13" t="str">
        <x:v>No</x:v>
      </x:c>
      <x:c r="M36" s="13" t="str"/>
    </x:row>
    <x:row r="37" ht="58" customHeight="1">
      <x:c r="A37" s="9" t="str">
        <x:v>T03.02</x:v>
      </x:c>
      <x:c r="B37" s="9" t="str">
        <x:v>D03</x:v>
      </x:c>
      <x:c r="C37" s="9" t="str">
        <x:v>Discounting and compounding</x:v>
      </x:c>
      <x:c r="D37" s="9" t="str">
        <x:v>Foundation</x:v>
      </x:c>
      <x:c r="E37" s="9" t="str">
        <x:v>T02.03</x:v>
      </x:c>
      <x:c r="F37" s="9" t="str">
        <x:v>T03.01</x:v>
      </x:c>
      <x:c r="G37" s="12" t="n">
        <x:v>5</x:v>
      </x:c>
      <x:c r="H37" s="12" t="n">
        <x:v>0</x:v>
      </x:c>
      <x:c r="I37" s="9" t="str">
        <x:v>Inspect a calculation</x:v>
      </x:c>
      <x:c r="J37" s="9" t="str">
        <x:v>Would you prefer the money today or later, and what rate changes your answer? Apply the question to discounting and compounding.</x:v>
      </x:c>
      <x:c r="K37" s="13" t="str">
        <x:v>Not authored</x:v>
      </x:c>
      <x:c r="L37" s="13" t="str">
        <x:v>No</x:v>
      </x:c>
      <x:c r="M37" s="13" t="str"/>
    </x:row>
    <x:row r="38" ht="58" customHeight="1">
      <x:c r="A38" s="10" t="str">
        <x:v>T03.03</x:v>
      </x:c>
      <x:c r="B38" s="10" t="str">
        <x:v>D03</x:v>
      </x:c>
      <x:c r="C38" s="10" t="str">
        <x:v>Discount factors and cash-flow timelines</x:v>
      </x:c>
      <x:c r="D38" s="10" t="str">
        <x:v>Foundation</x:v>
      </x:c>
      <x:c r="E38" s="10" t="str">
        <x:v>T02.03</x:v>
      </x:c>
      <x:c r="F38" s="10" t="str">
        <x:v>T03.07</x:v>
      </x:c>
      <x:c r="G38" s="11" t="n">
        <x:v>4</x:v>
      </x:c>
      <x:c r="H38" s="11" t="n">
        <x:v>0</x:v>
      </x:c>
      <x:c r="I38" s="10" t="str">
        <x:v>Inspect a calculation</x:v>
      </x:c>
      <x:c r="J38" s="10" t="str">
        <x:v>Would you prefer the money today or later, and what rate changes your answer? Apply the question to discount factors and cash-flow timelines.</x:v>
      </x:c>
      <x:c r="K38" s="13" t="str">
        <x:v>Not authored</x:v>
      </x:c>
      <x:c r="L38" s="13" t="str">
        <x:v>No</x:v>
      </x:c>
      <x:c r="M38" s="13" t="str"/>
    </x:row>
    <x:row r="39" ht="58" customHeight="1">
      <x:c r="A39" s="9" t="str">
        <x:v>T03.04</x:v>
      </x:c>
      <x:c r="B39" s="9" t="str">
        <x:v>D03</x:v>
      </x:c>
      <x:c r="C39" s="9" t="str">
        <x:v>Ordinary annuities and annuities due</x:v>
      </x:c>
      <x:c r="D39" s="9" t="str">
        <x:v>Foundation</x:v>
      </x:c>
      <x:c r="E39" s="9" t="str">
        <x:v>T02.03, T03.01</x:v>
      </x:c>
      <x:c r="F39" s="9" t="str">
        <x:v>T03.05</x:v>
      </x:c>
      <x:c r="G39" s="12" t="n">
        <x:v>9</x:v>
      </x:c>
      <x:c r="H39" s="12" t="n">
        <x:v>0</x:v>
      </x:c>
      <x:c r="I39" s="9" t="str">
        <x:v>Inspect a calculation</x:v>
      </x:c>
      <x:c r="J39" s="9" t="str">
        <x:v>Would you prefer the money today or later, and what rate changes your answer? Apply the question to ordinary annuities and annuities due.</x:v>
      </x:c>
      <x:c r="K39" s="13" t="str">
        <x:v>Not authored</x:v>
      </x:c>
      <x:c r="L39" s="13" t="str">
        <x:v>No</x:v>
      </x:c>
      <x:c r="M39" s="13" t="str"/>
    </x:row>
    <x:row r="40" ht="58" customHeight="1">
      <x:c r="A40" s="10" t="str">
        <x:v>T03.05</x:v>
      </x:c>
      <x:c r="B40" s="10" t="str">
        <x:v>D03</x:v>
      </x:c>
      <x:c r="C40" s="10" t="str">
        <x:v>Growing annuities</x:v>
      </x:c>
      <x:c r="D40" s="10" t="str">
        <x:v>Foundation</x:v>
      </x:c>
      <x:c r="E40" s="10" t="str">
        <x:v>T02.03, T03.04</x:v>
      </x:c>
      <x:c r="F40" s="10" t="str">
        <x:v>T03.04</x:v>
      </x:c>
      <x:c r="G40" s="11" t="n">
        <x:v>8</x:v>
      </x:c>
      <x:c r="H40" s="11" t="n">
        <x:v>1</x:v>
      </x:c>
      <x:c r="I40" s="10" t="str">
        <x:v>Inspect a calculation</x:v>
      </x:c>
      <x:c r="J40" s="10" t="str">
        <x:v>Would you prefer the money today or later, and what rate changes your answer? Apply the question to growing annuities.</x:v>
      </x:c>
      <x:c r="K40" s="13" t="str">
        <x:v>Not authored</x:v>
      </x:c>
      <x:c r="L40" s="13" t="str">
        <x:v>No</x:v>
      </x:c>
      <x:c r="M40" s="13" t="str"/>
    </x:row>
    <x:row r="41" ht="58" customHeight="1">
      <x:c r="A41" s="9" t="str">
        <x:v>T03.06</x:v>
      </x:c>
      <x:c r="B41" s="9" t="str">
        <x:v>D03</x:v>
      </x:c>
      <x:c r="C41" s="9" t="str">
        <x:v>Perpetuities and growing perpetuities</x:v>
      </x:c>
      <x:c r="D41" s="9" t="str">
        <x:v>Foundation</x:v>
      </x:c>
      <x:c r="E41" s="9" t="str">
        <x:v>T02.03, T03.02</x:v>
      </x:c>
      <x:c r="F41" s="9" t="str">
        <x:v>T03.05</x:v>
      </x:c>
      <x:c r="G41" s="12" t="n">
        <x:v>5</x:v>
      </x:c>
      <x:c r="H41" s="12" t="n">
        <x:v>1</x:v>
      </x:c>
      <x:c r="I41" s="9" t="str">
        <x:v>Inspect a calculation</x:v>
      </x:c>
      <x:c r="J41" s="9" t="str">
        <x:v>Would you prefer the money today or later, and what rate changes your answer? Apply the question to perpetuities and growing perpetuities.</x:v>
      </x:c>
      <x:c r="K41" s="13" t="str">
        <x:v>Not authored</x:v>
      </x:c>
      <x:c r="L41" s="13" t="str">
        <x:v>No</x:v>
      </x:c>
      <x:c r="M41" s="13" t="str"/>
    </x:row>
    <x:row r="42" ht="58" customHeight="1">
      <x:c r="A42" s="10" t="str">
        <x:v>T03.07</x:v>
      </x:c>
      <x:c r="B42" s="10" t="str">
        <x:v>D03</x:v>
      </x:c>
      <x:c r="C42" s="10" t="str">
        <x:v>Uneven cash flows</x:v>
      </x:c>
      <x:c r="D42" s="10" t="str">
        <x:v>Foundation</x:v>
      </x:c>
      <x:c r="E42" s="10" t="str">
        <x:v>T02.03</x:v>
      </x:c>
      <x:c r="F42" s="10" t="str">
        <x:v>T03.03</x:v>
      </x:c>
      <x:c r="G42" s="11" t="n">
        <x:v>5</x:v>
      </x:c>
      <x:c r="H42" s="11" t="n">
        <x:v>0</x:v>
      </x:c>
      <x:c r="I42" s="10" t="str">
        <x:v>Inspect a calculation</x:v>
      </x:c>
      <x:c r="J42" s="10" t="str">
        <x:v>Would you prefer the money today or later, and what rate changes your answer? Apply the question to uneven cash flows.</x:v>
      </x:c>
      <x:c r="K42" s="13" t="str">
        <x:v>Not authored</x:v>
      </x:c>
      <x:c r="L42" s="13" t="str">
        <x:v>No</x:v>
      </x:c>
      <x:c r="M42" s="13" t="str"/>
    </x:row>
    <x:row r="43" ht="58" customHeight="1">
      <x:c r="A43" s="9" t="str">
        <x:v>T03.08</x:v>
      </x:c>
      <x:c r="B43" s="9" t="str">
        <x:v>D03</x:v>
      </x:c>
      <x:c r="C43" s="9" t="str">
        <x:v>Nominal rates, effective rates, and continuous compounding</x:v>
      </x:c>
      <x:c r="D43" s="9" t="str">
        <x:v>Foundation</x:v>
      </x:c>
      <x:c r="E43" s="9" t="str">
        <x:v>T02.03</x:v>
      </x:c>
      <x:c r="F43" s="9" t="str">
        <x:v>T03.09</x:v>
      </x:c>
      <x:c r="G43" s="12" t="n">
        <x:v>4</x:v>
      </x:c>
      <x:c r="H43" s="12" t="n">
        <x:v>0</x:v>
      </x:c>
      <x:c r="I43" s="9" t="str">
        <x:v>Inspect a calculation</x:v>
      </x:c>
      <x:c r="J43" s="9" t="str">
        <x:v>Would you prefer the money today or later, and what rate changes your answer? Apply the question to nominal rates, effective rates, and continuous compounding.</x:v>
      </x:c>
      <x:c r="K43" s="13" t="str">
        <x:v>Not authored</x:v>
      </x:c>
      <x:c r="L43" s="13" t="str">
        <x:v>No</x:v>
      </x:c>
      <x:c r="M43" s="13" t="str"/>
    </x:row>
    <x:row r="44" ht="58" customHeight="1">
      <x:c r="A44" s="10" t="str">
        <x:v>T03.09</x:v>
      </x:c>
      <x:c r="B44" s="10" t="str">
        <x:v>D03</x:v>
      </x:c>
      <x:c r="C44" s="10" t="str">
        <x:v>Real versus nominal interest rates</x:v>
      </x:c>
      <x:c r="D44" s="10" t="str">
        <x:v>Foundation</x:v>
      </x:c>
      <x:c r="E44" s="10" t="str">
        <x:v>T02.03</x:v>
      </x:c>
      <x:c r="F44" s="10" t="str">
        <x:v>T03.08</x:v>
      </x:c>
      <x:c r="G44" s="11" t="n">
        <x:v>24</x:v>
      </x:c>
      <x:c r="H44" s="11" t="n">
        <x:v>3</x:v>
      </x:c>
      <x:c r="I44" s="10" t="str">
        <x:v>Inspect a calculation</x:v>
      </x:c>
      <x:c r="J44" s="10" t="str">
        <x:v>Would you prefer the money today or later, and what rate changes your answer? Apply the question to real versus nominal interest rates.</x:v>
      </x:c>
      <x:c r="K44" s="13" t="str">
        <x:v>Not authored</x:v>
      </x:c>
      <x:c r="L44" s="13" t="str">
        <x:v>No</x:v>
      </x:c>
      <x:c r="M44" s="13" t="str"/>
    </x:row>
    <x:row r="45" ht="58" customHeight="1">
      <x:c r="A45" s="9" t="str">
        <x:v>T03.10</x:v>
      </x:c>
      <x:c r="B45" s="9" t="str">
        <x:v>D03</x:v>
      </x:c>
      <x:c r="C45" s="9" t="str">
        <x:v>Loan amortisation and EMI calculations</x:v>
      </x:c>
      <x:c r="D45" s="9" t="str">
        <x:v>Foundation</x:v>
      </x:c>
      <x:c r="E45" s="9" t="str">
        <x:v>T02.03, T03.04</x:v>
      </x:c>
      <x:c r="F45" s="9" t="str">
        <x:v>T03.04</x:v>
      </x:c>
      <x:c r="G45" s="12" t="n">
        <x:v>6</x:v>
      </x:c>
      <x:c r="H45" s="12" t="n">
        <x:v>2</x:v>
      </x:c>
      <x:c r="I45" s="9" t="str">
        <x:v>Inspect a calculation</x:v>
      </x:c>
      <x:c r="J45" s="9" t="str">
        <x:v>Would you prefer the money today or later, and what rate changes your answer? Apply the question to loan amortisation and emi calculations.</x:v>
      </x:c>
      <x:c r="K45" s="13" t="str">
        <x:v>Not authored</x:v>
      </x:c>
      <x:c r="L45" s="13" t="str">
        <x:v>No</x:v>
      </x:c>
      <x:c r="M45" s="13" t="str"/>
    </x:row>
    <x:row r="46" ht="58" customHeight="1">
      <x:c r="A46" s="10" t="str">
        <x:v>T03.11</x:v>
      </x:c>
      <x:c r="B46" s="10" t="str">
        <x:v>D03</x:v>
      </x:c>
      <x:c r="C46" s="10" t="str">
        <x:v>Sinking funds and savings accumulation</x:v>
      </x:c>
      <x:c r="D46" s="10" t="str">
        <x:v>Foundation</x:v>
      </x:c>
      <x:c r="E46" s="10" t="str">
        <x:v>T02.03</x:v>
      </x:c>
      <x:c r="F46" s="10" t="str">
        <x:v>T03.04</x:v>
      </x:c>
      <x:c r="G46" s="11" t="n">
        <x:v>4</x:v>
      </x:c>
      <x:c r="H46" s="11" t="n">
        <x:v>1</x:v>
      </x:c>
      <x:c r="I46" s="10" t="str">
        <x:v>Inspect a calculation</x:v>
      </x:c>
      <x:c r="J46" s="10" t="str">
        <x:v>Would you prefer the money today or later, and what rate changes your answer? Apply the question to sinking funds and savings accumulation.</x:v>
      </x:c>
      <x:c r="K46" s="13" t="str">
        <x:v>Not authored</x:v>
      </x:c>
      <x:c r="L46" s="13" t="str">
        <x:v>No</x:v>
      </x:c>
      <x:c r="M46" s="13" t="str"/>
    </x:row>
    <x:row r="47" ht="58" customHeight="1">
      <x:c r="A47" s="9" t="str">
        <x:v>T03.12</x:v>
      </x:c>
      <x:c r="B47" s="9" t="str">
        <x:v>D03</x:v>
      </x:c>
      <x:c r="C47" s="9" t="str">
        <x:v>Net present value</x:v>
      </x:c>
      <x:c r="D47" s="9" t="str">
        <x:v>Foundation</x:v>
      </x:c>
      <x:c r="E47" s="9" t="str">
        <x:v>T02.03, T03.07</x:v>
      </x:c>
      <x:c r="F47" s="9" t="str">
        <x:v>T03.13</x:v>
      </x:c>
      <x:c r="G47" s="12" t="n">
        <x:v>22</x:v>
      </x:c>
      <x:c r="H47" s="12" t="n">
        <x:v>1</x:v>
      </x:c>
      <x:c r="I47" s="9" t="str">
        <x:v>Inspect a calculation</x:v>
      </x:c>
      <x:c r="J47" s="9" t="str">
        <x:v>Would you prefer the money today or later, and what rate changes your answer? Apply the question to net present value.</x:v>
      </x:c>
      <x:c r="K47" s="13" t="str">
        <x:v>Not authored</x:v>
      </x:c>
      <x:c r="L47" s="13" t="str">
        <x:v>No</x:v>
      </x:c>
      <x:c r="M47" s="13" t="str"/>
    </x:row>
    <x:row r="48" ht="58" customHeight="1">
      <x:c r="A48" s="10" t="str">
        <x:v>T03.13</x:v>
      </x:c>
      <x:c r="B48" s="10" t="str">
        <x:v>D03</x:v>
      </x:c>
      <x:c r="C48" s="10" t="str">
        <x:v>Internal rate of return and modified IRR</x:v>
      </x:c>
      <x:c r="D48" s="10" t="str">
        <x:v>Foundation</x:v>
      </x:c>
      <x:c r="E48" s="10" t="str">
        <x:v>T02.03, T03.12</x:v>
      </x:c>
      <x:c r="F48" s="10" t="str">
        <x:v>T03.12</x:v>
      </x:c>
      <x:c r="G48" s="11" t="n">
        <x:v>7</x:v>
      </x:c>
      <x:c r="H48" s="11" t="n">
        <x:v>1</x:v>
      </x:c>
      <x:c r="I48" s="10" t="str">
        <x:v>Inspect a calculation</x:v>
      </x:c>
      <x:c r="J48" s="10" t="str">
        <x:v>Would you prefer the money today or later, and what rate changes your answer? Apply the question to internal rate of return and modified irr.</x:v>
      </x:c>
      <x:c r="K48" s="13" t="str">
        <x:v>Not authored</x:v>
      </x:c>
      <x:c r="L48" s="13" t="str">
        <x:v>No</x:v>
      </x:c>
      <x:c r="M48" s="13" t="str"/>
    </x:row>
    <x:row r="49" ht="58" customHeight="1">
      <x:c r="A49" s="9" t="str">
        <x:v>T03.14</x:v>
      </x:c>
      <x:c r="B49" s="9" t="str">
        <x:v>D03</x:v>
      </x:c>
      <x:c r="C49" s="9" t="str">
        <x:v>Money-weighted versus time-weighted returns</x:v>
      </x:c>
      <x:c r="D49" s="9" t="str">
        <x:v>Foundation</x:v>
      </x:c>
      <x:c r="E49" s="9" t="str">
        <x:v>T02.03, T02.04</x:v>
      </x:c>
      <x:c r="F49" s="9" t="str">
        <x:v>T03.05</x:v>
      </x:c>
      <x:c r="G49" s="12" t="n">
        <x:v>6</x:v>
      </x:c>
      <x:c r="H49" s="12" t="n">
        <x:v>2</x:v>
      </x:c>
      <x:c r="I49" s="9" t="str">
        <x:v>Inspect a calculation</x:v>
      </x:c>
      <x:c r="J49" s="9" t="str">
        <x:v>Would you prefer the money today or later, and what rate changes your answer? Apply the question to money-weighted versus time-weighted returns.</x:v>
      </x:c>
      <x:c r="K49" s="13" t="str">
        <x:v>Not authored</x:v>
      </x:c>
      <x:c r="L49" s="13" t="str">
        <x:v>No</x:v>
      </x:c>
      <x:c r="M49" s="13" t="str"/>
    </x:row>
    <x:row r="50" ht="58" customHeight="1">
      <x:c r="A50" s="10" t="str">
        <x:v>T03.15</x:v>
      </x:c>
      <x:c r="B50" s="10" t="str">
        <x:v>D03</x:v>
      </x:c>
      <x:c r="C50" s="10" t="str">
        <x:v>Matching cash-flow frequency, currency, and discount rates</x:v>
      </x:c>
      <x:c r="D50" s="10" t="str">
        <x:v>Foundation</x:v>
      </x:c>
      <x:c r="E50" s="10" t="str">
        <x:v>T02.03</x:v>
      </x:c>
      <x:c r="F50" s="10" t="str">
        <x:v>T03.09</x:v>
      </x:c>
      <x:c r="G50" s="11" t="n">
        <x:v>4</x:v>
      </x:c>
      <x:c r="H50" s="11" t="n">
        <x:v>1</x:v>
      </x:c>
      <x:c r="I50" s="10" t="str">
        <x:v>Inspect a calculation</x:v>
      </x:c>
      <x:c r="J50" s="10" t="str">
        <x:v>Would you prefer the money today or later, and what rate changes your answer? Apply the question to matching cash-flow frequency, currency, and discount rates.</x:v>
      </x:c>
      <x:c r="K50" s="13" t="str">
        <x:v>Not authored</x:v>
      </x:c>
      <x:c r="L50" s="13" t="str">
        <x:v>No</x:v>
      </x:c>
      <x:c r="M50" s="13" t="str"/>
    </x:row>
    <x:row r="51" ht="58" customHeight="1">
      <x:c r="A51" s="9" t="str">
        <x:v>T04.01</x:v>
      </x:c>
      <x:c r="B51" s="9" t="str">
        <x:v>D04</x:v>
      </x:c>
      <x:c r="C51" s="9" t="str">
        <x:v>The accounting equation</x:v>
      </x:c>
      <x:c r="D51" s="9" t="str">
        <x:v>Foundation</x:v>
      </x:c>
      <x:c r="E51" s="9" t="str">
        <x:v>T01.05</x:v>
      </x:c>
      <x:c r="F51" s="9" t="str">
        <x:v>T04.02</x:v>
      </x:c>
      <x:c r="G51" s="12" t="n">
        <x:v>26</x:v>
      </x:c>
      <x:c r="H51" s="12" t="n">
        <x:v>2</x:v>
      </x:c>
      <x:c r="I51" s="9" t="str">
        <x:v>Trace a transaction</x:v>
      </x:c>
      <x:c r="J51" s="9" t="str">
        <x:v>Which accounts change when this transaction happens? Apply the question to the accounting equation.</x:v>
      </x:c>
      <x:c r="K51" s="13" t="str">
        <x:v>Not authored</x:v>
      </x:c>
      <x:c r="L51" s="13" t="str">
        <x:v>No</x:v>
      </x:c>
      <x:c r="M51" s="13" t="str"/>
    </x:row>
    <x:row r="52" ht="58" customHeight="1">
      <x:c r="A52" s="10" t="str">
        <x:v>T04.02</x:v>
      </x:c>
      <x:c r="B52" s="10" t="str">
        <x:v>D04</x:v>
      </x:c>
      <x:c r="C52" s="10" t="str">
        <x:v>Double-entry bookkeeping</x:v>
      </x:c>
      <x:c r="D52" s="10" t="str">
        <x:v>Foundation</x:v>
      </x:c>
      <x:c r="E52" s="10" t="str">
        <x:v>T01.05, T04.01</x:v>
      </x:c>
      <x:c r="F52" s="10" t="str">
        <x:v>T04.03</x:v>
      </x:c>
      <x:c r="G52" s="11" t="n">
        <x:v>9</x:v>
      </x:c>
      <x:c r="H52" s="11" t="n">
        <x:v>1</x:v>
      </x:c>
      <x:c r="I52" s="10" t="str">
        <x:v>Trace a transaction</x:v>
      </x:c>
      <x:c r="J52" s="10" t="str">
        <x:v>Which accounts change when this transaction happens? Apply the question to double-entry bookkeeping.</x:v>
      </x:c>
      <x:c r="K52" s="13" t="str">
        <x:v>Not authored</x:v>
      </x:c>
      <x:c r="L52" s="13" t="str">
        <x:v>No</x:v>
      </x:c>
      <x:c r="M52" s="13" t="str"/>
    </x:row>
    <x:row r="53" ht="58" customHeight="1">
      <x:c r="A53" s="9" t="str">
        <x:v>T04.03</x:v>
      </x:c>
      <x:c r="B53" s="9" t="str">
        <x:v>D04</x:v>
      </x:c>
      <x:c r="C53" s="9" t="str">
        <x:v>Debits and credits</x:v>
      </x:c>
      <x:c r="D53" s="9" t="str">
        <x:v>Foundation</x:v>
      </x:c>
      <x:c r="E53" s="9" t="str">
        <x:v>T01.05, T04.02</x:v>
      </x:c>
      <x:c r="F53" s="9" t="str">
        <x:v>T04.02</x:v>
      </x:c>
      <x:c r="G53" s="12" t="n">
        <x:v>6</x:v>
      </x:c>
      <x:c r="H53" s="12" t="n">
        <x:v>0</x:v>
      </x:c>
      <x:c r="I53" s="9" t="str">
        <x:v>Trace a transaction</x:v>
      </x:c>
      <x:c r="J53" s="9" t="str">
        <x:v>Which accounts change when this transaction happens? Apply the question to debits and credits.</x:v>
      </x:c>
      <x:c r="K53" s="13" t="str">
        <x:v>Not authored</x:v>
      </x:c>
      <x:c r="L53" s="13" t="str">
        <x:v>No</x:v>
      </x:c>
      <x:c r="M53" s="13" t="str"/>
    </x:row>
    <x:row r="54" ht="58" customHeight="1">
      <x:c r="A54" s="10" t="str">
        <x:v>T04.04</x:v>
      </x:c>
      <x:c r="B54" s="10" t="str">
        <x:v>D04</x:v>
      </x:c>
      <x:c r="C54" s="10" t="str">
        <x:v>Journals, ledgers, trial balances, and closing entries</x:v>
      </x:c>
      <x:c r="D54" s="10" t="str">
        <x:v>Foundation</x:v>
      </x:c>
      <x:c r="E54" s="10" t="str">
        <x:v>T01.05, T04.03</x:v>
      </x:c>
      <x:c r="F54" s="10" t="str">
        <x:v>T04.02</x:v>
      </x:c>
      <x:c r="G54" s="11" t="n">
        <x:v>4</x:v>
      </x:c>
      <x:c r="H54" s="11" t="n">
        <x:v>0</x:v>
      </x:c>
      <x:c r="I54" s="10" t="str">
        <x:v>Trace a transaction</x:v>
      </x:c>
      <x:c r="J54" s="10" t="str">
        <x:v>Which accounts change when this transaction happens? Apply the question to journals, ledgers, trial balances, and closing entries.</x:v>
      </x:c>
      <x:c r="K54" s="13" t="str">
        <x:v>Not authored</x:v>
      </x:c>
      <x:c r="L54" s="13" t="str">
        <x:v>No</x:v>
      </x:c>
      <x:c r="M54" s="13" t="str"/>
    </x:row>
    <x:row r="55" ht="58" customHeight="1">
      <x:c r="A55" s="9" t="str">
        <x:v>T04.05</x:v>
      </x:c>
      <x:c r="B55" s="9" t="str">
        <x:v>D04</x:v>
      </x:c>
      <x:c r="C55" s="9" t="str">
        <x:v>Cash accounting versus accrual accounting</x:v>
      </x:c>
      <x:c r="D55" s="9" t="str">
        <x:v>Foundation</x:v>
      </x:c>
      <x:c r="E55" s="9" t="str">
        <x:v>T01.05</x:v>
      </x:c>
      <x:c r="F55" s="9" t="str">
        <x:v>T04.06</x:v>
      </x:c>
      <x:c r="G55" s="12" t="n">
        <x:v>54</x:v>
      </x:c>
      <x:c r="H55" s="12" t="n">
        <x:v>1</x:v>
      </x:c>
      <x:c r="I55" s="9" t="str">
        <x:v>Trace a transaction</x:v>
      </x:c>
      <x:c r="J55" s="9" t="str">
        <x:v>Which accounts change when this transaction happens? Apply the question to cash accounting versus accrual accounting.</x:v>
      </x:c>
      <x:c r="K55" s="13" t="str">
        <x:v>Not authored</x:v>
      </x:c>
      <x:c r="L55" s="13" t="str">
        <x:v>No</x:v>
      </x:c>
      <x:c r="M55" s="13" t="str"/>
    </x:row>
    <x:row r="56" ht="58" customHeight="1">
      <x:c r="A56" s="10" t="str">
        <x:v>T04.06</x:v>
      </x:c>
      <x:c r="B56" s="10" t="str">
        <x:v>D04</x:v>
      </x:c>
      <x:c r="C56" s="10" t="str">
        <x:v>Revenue recognition and expense recognition</x:v>
      </x:c>
      <x:c r="D56" s="10" t="str">
        <x:v>Foundation</x:v>
      </x:c>
      <x:c r="E56" s="10" t="str">
        <x:v>T01.05, T04.05</x:v>
      </x:c>
      <x:c r="F56" s="10" t="str">
        <x:v>T04.05</x:v>
      </x:c>
      <x:c r="G56" s="11" t="n">
        <x:v>27</x:v>
      </x:c>
      <x:c r="H56" s="11" t="n">
        <x:v>1</x:v>
      </x:c>
      <x:c r="I56" s="10" t="str">
        <x:v>Trace a transaction</x:v>
      </x:c>
      <x:c r="J56" s="10" t="str">
        <x:v>Which accounts change when this transaction happens? Apply the question to revenue recognition and expense recognition.</x:v>
      </x:c>
      <x:c r="K56" s="13" t="str">
        <x:v>Not authored</x:v>
      </x:c>
      <x:c r="L56" s="13" t="str">
        <x:v>No</x:v>
      </x:c>
      <x:c r="M56" s="13" t="str"/>
    </x:row>
    <x:row r="57" ht="58" customHeight="1">
      <x:c r="A57" s="9" t="str">
        <x:v>T04.07</x:v>
      </x:c>
      <x:c r="B57" s="9" t="str">
        <x:v>D04</x:v>
      </x:c>
      <x:c r="C57" s="9" t="str">
        <x:v>Accruals, deferrals, prepayments, and provisions</x:v>
      </x:c>
      <x:c r="D57" s="9" t="str">
        <x:v>Foundation</x:v>
      </x:c>
      <x:c r="E57" s="9" t="str">
        <x:v>T01.05</x:v>
      </x:c>
      <x:c r="F57" s="9" t="str">
        <x:v>T04.05</x:v>
      </x:c>
      <x:c r="G57" s="12" t="n">
        <x:v>3</x:v>
      </x:c>
      <x:c r="H57" s="12" t="n">
        <x:v>0</x:v>
      </x:c>
      <x:c r="I57" s="9" t="str">
        <x:v>Trace a transaction</x:v>
      </x:c>
      <x:c r="J57" s="9" t="str">
        <x:v>Which accounts change when this transaction happens? Apply the question to accruals, deferrals, prepayments, and provisions.</x:v>
      </x:c>
      <x:c r="K57" s="13" t="str">
        <x:v>Not authored</x:v>
      </x:c>
      <x:c r="L57" s="13" t="str">
        <x:v>No</x:v>
      </x:c>
      <x:c r="M57" s="13" t="str"/>
    </x:row>
    <x:row r="58" ht="58" customHeight="1">
      <x:c r="A58" s="10" t="str">
        <x:v>T04.08</x:v>
      </x:c>
      <x:c r="B58" s="10" t="str">
        <x:v>D04</x:v>
      </x:c>
      <x:c r="C58" s="10" t="str">
        <x:v>Capital expenditure versus operating expenditure</x:v>
      </x:c>
      <x:c r="D58" s="10" t="str">
        <x:v>Foundation</x:v>
      </x:c>
      <x:c r="E58" s="10" t="str">
        <x:v>T01.05</x:v>
      </x:c>
      <x:c r="F58" s="10" t="str">
        <x:v>T04.09</x:v>
      </x:c>
      <x:c r="G58" s="11" t="n">
        <x:v>6</x:v>
      </x:c>
      <x:c r="H58" s="11" t="n">
        <x:v>1</x:v>
      </x:c>
      <x:c r="I58" s="10" t="str">
        <x:v>Trace a transaction</x:v>
      </x:c>
      <x:c r="J58" s="10" t="str">
        <x:v>Which accounts change when this transaction happens? Apply the question to capital expenditure versus operating expenditure.</x:v>
      </x:c>
      <x:c r="K58" s="13" t="str">
        <x:v>Not authored</x:v>
      </x:c>
      <x:c r="L58" s="13" t="str">
        <x:v>No</x:v>
      </x:c>
      <x:c r="M58" s="13" t="str"/>
    </x:row>
    <x:row r="59" ht="58" customHeight="1">
      <x:c r="A59" s="9" t="str">
        <x:v>T04.09</x:v>
      </x:c>
      <x:c r="B59" s="9" t="str">
        <x:v>D04</x:v>
      </x:c>
      <x:c r="C59" s="9" t="str">
        <x:v>Capitalisation versus immediate expensing</x:v>
      </x:c>
      <x:c r="D59" s="9" t="str">
        <x:v>Foundation</x:v>
      </x:c>
      <x:c r="E59" s="9" t="str">
        <x:v>T01.05, T04.08</x:v>
      </x:c>
      <x:c r="F59" s="9" t="str">
        <x:v>T04.08</x:v>
      </x:c>
      <x:c r="G59" s="12" t="n">
        <x:v>7</x:v>
      </x:c>
      <x:c r="H59" s="12" t="n">
        <x:v>2</x:v>
      </x:c>
      <x:c r="I59" s="9" t="str">
        <x:v>Trace a transaction</x:v>
      </x:c>
      <x:c r="J59" s="9" t="str">
        <x:v>Which accounts change when this transaction happens? Apply the question to capitalisation versus immediate expensing.</x:v>
      </x:c>
      <x:c r="K59" s="13" t="str">
        <x:v>Not authored</x:v>
      </x:c>
      <x:c r="L59" s="13" t="str">
        <x:v>No</x:v>
      </x:c>
      <x:c r="M59" s="13" t="str"/>
    </x:row>
    <x:row r="60" ht="58" customHeight="1">
      <x:c r="A60" s="10" t="str">
        <x:v>T04.10</x:v>
      </x:c>
      <x:c r="B60" s="10" t="str">
        <x:v>D04</x:v>
      </x:c>
      <x:c r="C60" s="10" t="str">
        <x:v>Historical cost, fair value, and amortised cost</x:v>
      </x:c>
      <x:c r="D60" s="10" t="str">
        <x:v>Foundation</x:v>
      </x:c>
      <x:c r="E60" s="10" t="str">
        <x:v>T01.05</x:v>
      </x:c>
      <x:c r="F60" s="10" t="str">
        <x:v>T04.15</x:v>
      </x:c>
      <x:c r="G60" s="11" t="n">
        <x:v>3</x:v>
      </x:c>
      <x:c r="H60" s="11" t="n">
        <x:v>0</x:v>
      </x:c>
      <x:c r="I60" s="10" t="str">
        <x:v>Trace a transaction</x:v>
      </x:c>
      <x:c r="J60" s="10" t="str">
        <x:v>Which accounts change when this transaction happens? Apply the question to historical cost, fair value, and amortised cost.</x:v>
      </x:c>
      <x:c r="K60" s="13" t="str">
        <x:v>Not authored</x:v>
      </x:c>
      <x:c r="L60" s="13" t="str">
        <x:v>No</x:v>
      </x:c>
      <x:c r="M60" s="13" t="str"/>
    </x:row>
    <x:row r="61" ht="58" customHeight="1">
      <x:c r="A61" s="9" t="str">
        <x:v>T04.11</x:v>
      </x:c>
      <x:c r="B61" s="9" t="str">
        <x:v>D04</x:v>
      </x:c>
      <x:c r="C61" s="9" t="str">
        <x:v>Materiality, prudence, consistency, and going concern</x:v>
      </x:c>
      <x:c r="D61" s="9" t="str">
        <x:v>Foundation</x:v>
      </x:c>
      <x:c r="E61" s="9" t="str">
        <x:v>T01.05</x:v>
      </x:c>
      <x:c r="F61" s="9" t="str">
        <x:v>T04.12</x:v>
      </x:c>
      <x:c r="G61" s="12" t="n">
        <x:v>5</x:v>
      </x:c>
      <x:c r="H61" s="12" t="n">
        <x:v>1</x:v>
      </x:c>
      <x:c r="I61" s="9" t="str">
        <x:v>Trace a transaction</x:v>
      </x:c>
      <x:c r="J61" s="9" t="str">
        <x:v>Which accounts change when this transaction happens? Apply the question to materiality, prudence, consistency, and going concern.</x:v>
      </x:c>
      <x:c r="K61" s="13" t="str">
        <x:v>Not authored</x:v>
      </x:c>
      <x:c r="L61" s="13" t="str">
        <x:v>No</x:v>
      </x:c>
      <x:c r="M61" s="13" t="str"/>
    </x:row>
    <x:row r="62" ht="58" customHeight="1">
      <x:c r="A62" s="10" t="str">
        <x:v>T04.12</x:v>
      </x:c>
      <x:c r="B62" s="10" t="str">
        <x:v>D04</x:v>
      </x:c>
      <x:c r="C62" s="10" t="str">
        <x:v>Accounting estimates, policy changes, and errors</x:v>
      </x:c>
      <x:c r="D62" s="10" t="str">
        <x:v>Foundation</x:v>
      </x:c>
      <x:c r="E62" s="10" t="str">
        <x:v>T01.05</x:v>
      </x:c>
      <x:c r="F62" s="10" t="str">
        <x:v>T04.11</x:v>
      </x:c>
      <x:c r="G62" s="11" t="n">
        <x:v>4</x:v>
      </x:c>
      <x:c r="H62" s="11" t="n">
        <x:v>0</x:v>
      </x:c>
      <x:c r="I62" s="10" t="str">
        <x:v>Trace a transaction</x:v>
      </x:c>
      <x:c r="J62" s="10" t="str">
        <x:v>Which accounts change when this transaction happens? Apply the question to accounting estimates, policy changes, and errors.</x:v>
      </x:c>
      <x:c r="K62" s="13" t="str">
        <x:v>Not authored</x:v>
      </x:c>
      <x:c r="L62" s="13" t="str">
        <x:v>No</x:v>
      </x:c>
      <x:c r="M62" s="13" t="str"/>
    </x:row>
    <x:row r="63" ht="58" customHeight="1">
      <x:c r="A63" s="9" t="str">
        <x:v>T04.13</x:v>
      </x:c>
      <x:c r="B63" s="9" t="str">
        <x:v>D04</x:v>
      </x:c>
      <x:c r="C63" s="9" t="str">
        <x:v>Reporting periods and comparative statements</x:v>
      </x:c>
      <x:c r="D63" s="9" t="str">
        <x:v>Foundation</x:v>
      </x:c>
      <x:c r="E63" s="9" t="str">
        <x:v>T01.05</x:v>
      </x:c>
      <x:c r="F63" s="9" t="str">
        <x:v>T04.16</x:v>
      </x:c>
      <x:c r="G63" s="12" t="n">
        <x:v>5</x:v>
      </x:c>
      <x:c r="H63" s="12" t="n">
        <x:v>0</x:v>
      </x:c>
      <x:c r="I63" s="9" t="str">
        <x:v>Trace a transaction</x:v>
      </x:c>
      <x:c r="J63" s="9" t="str">
        <x:v>Which accounts change when this transaction happens? Apply the question to reporting periods and comparative statements.</x:v>
      </x:c>
      <x:c r="K63" s="13" t="str">
        <x:v>Not authored</x:v>
      </x:c>
      <x:c r="L63" s="13" t="str">
        <x:v>No</x:v>
      </x:c>
      <x:c r="M63" s="13" t="str"/>
    </x:row>
    <x:row r="64" ht="58" customHeight="1">
      <x:c r="A64" s="10" t="str">
        <x:v>T04.14</x:v>
      </x:c>
      <x:c r="B64" s="10" t="str">
        <x:v>D04</x:v>
      </x:c>
      <x:c r="C64" s="10" t="str">
        <x:v>Standalone versus consolidated accounts</x:v>
      </x:c>
      <x:c r="D64" s="10" t="str">
        <x:v>Foundation</x:v>
      </x:c>
      <x:c r="E64" s="10" t="str">
        <x:v>T01.05, T04.13</x:v>
      </x:c>
      <x:c r="F64" s="10" t="str">
        <x:v>T04.15</x:v>
      </x:c>
      <x:c r="G64" s="11" t="n">
        <x:v>6</x:v>
      </x:c>
      <x:c r="H64" s="11" t="n">
        <x:v>1</x:v>
      </x:c>
      <x:c r="I64" s="10" t="str">
        <x:v>Trace a transaction</x:v>
      </x:c>
      <x:c r="J64" s="10" t="str">
        <x:v>Which accounts change when this transaction happens? Apply the question to standalone versus consolidated accounts.</x:v>
      </x:c>
      <x:c r="K64" s="13" t="str">
        <x:v>Not authored</x:v>
      </x:c>
      <x:c r="L64" s="13" t="str">
        <x:v>No</x:v>
      </x:c>
      <x:c r="M64" s="13" t="str"/>
    </x:row>
    <x:row r="65" ht="58" customHeight="1">
      <x:c r="A65" s="9" t="str">
        <x:v>T04.15</x:v>
      </x:c>
      <x:c r="B65" s="9" t="str">
        <x:v>D04</x:v>
      </x:c>
      <x:c r="C65" s="9" t="str">
        <x:v>Financial reporting frameworks: Ind AS, IFRS, and US GAAP</x:v>
      </x:c>
      <x:c r="D65" s="9" t="str">
        <x:v>Foundation</x:v>
      </x:c>
      <x:c r="E65" s="9" t="str">
        <x:v>T01.05</x:v>
      </x:c>
      <x:c r="F65" s="9" t="str">
        <x:v>T04.14</x:v>
      </x:c>
      <x:c r="G65" s="12" t="n">
        <x:v>21</x:v>
      </x:c>
      <x:c r="H65" s="12" t="n">
        <x:v>0</x:v>
      </x:c>
      <x:c r="I65" s="9" t="str">
        <x:v>Trace a transaction</x:v>
      </x:c>
      <x:c r="J65" s="9" t="str">
        <x:v>Which accounts change when this transaction happens? Apply the question to financial reporting frameworks: ind as, ifrs, and us gaap.</x:v>
      </x:c>
      <x:c r="K65" s="13" t="str">
        <x:v>Not authored</x:v>
      </x:c>
      <x:c r="L65" s="13" t="str">
        <x:v>No</x:v>
      </x:c>
      <x:c r="M65" s="13" t="str"/>
    </x:row>
    <x:row r="66" ht="58" customHeight="1">
      <x:c r="A66" s="10" t="str">
        <x:v>T04.16</x:v>
      </x:c>
      <x:c r="B66" s="10" t="str">
        <x:v>D04</x:v>
      </x:c>
      <x:c r="C66" s="10" t="str">
        <x:v>Annual reports, interim reports, and regulatory filings</x:v>
      </x:c>
      <x:c r="D66" s="10" t="str">
        <x:v>Foundation</x:v>
      </x:c>
      <x:c r="E66" s="10" t="str">
        <x:v>T01.05</x:v>
      </x:c>
      <x:c r="F66" s="10" t="str">
        <x:v>T04.13</x:v>
      </x:c>
      <x:c r="G66" s="11" t="n">
        <x:v>8</x:v>
      </x:c>
      <x:c r="H66" s="11" t="n">
        <x:v>4</x:v>
      </x:c>
      <x:c r="I66" s="10" t="str">
        <x:v>Trace a transaction</x:v>
      </x:c>
      <x:c r="J66" s="10" t="str">
        <x:v>Which accounts change when this transaction happens? Apply the question to annual reports, interim reports, and regulatory filings.</x:v>
      </x:c>
      <x:c r="K66" s="13" t="str">
        <x:v>Not authored</x:v>
      </x:c>
      <x:c r="L66" s="13" t="str">
        <x:v>No</x:v>
      </x:c>
      <x:c r="M66" s="13" t="str"/>
    </x:row>
    <x:row r="67" ht="58" customHeight="1">
      <x:c r="A67" s="9" t="str">
        <x:v>T05.01</x:v>
      </x:c>
      <x:c r="B67" s="9" t="str">
        <x:v>D05</x:v>
      </x:c>
      <x:c r="C67" s="9" t="str">
        <x:v>Revenue, sales, and other operating income</x:v>
      </x:c>
      <x:c r="D67" s="9" t="str">
        <x:v>Core</x:v>
      </x:c>
      <x:c r="E67" s="9" t="str">
        <x:v>T04.06</x:v>
      </x:c>
      <x:c r="F67" s="9" t="str">
        <x:v>T05.02</x:v>
      </x:c>
      <x:c r="G67" s="12" t="n">
        <x:v>8</x:v>
      </x:c>
      <x:c r="H67" s="12" t="n">
        <x:v>2</x:v>
      </x:c>
      <x:c r="I67" s="9" t="str">
        <x:v>Trace a transaction</x:v>
      </x:c>
      <x:c r="J67" s="9" t="str">
        <x:v>Can this change reported profit without changing cash today? Apply the question to revenue, sales, and other operating income.</x:v>
      </x:c>
      <x:c r="K67" s="13" t="str">
        <x:v>Not authored</x:v>
      </x:c>
      <x:c r="L67" s="13" t="str">
        <x:v>No</x:v>
      </x:c>
      <x:c r="M67" s="13" t="str"/>
    </x:row>
    <x:row r="68" ht="58" customHeight="1">
      <x:c r="A68" s="10" t="str">
        <x:v>T05.02</x:v>
      </x:c>
      <x:c r="B68" s="10" t="str">
        <x:v>D05</x:v>
      </x:c>
      <x:c r="C68" s="10" t="str">
        <x:v>Gross versus net revenue recognition</x:v>
      </x:c>
      <x:c r="D68" s="10" t="str">
        <x:v>Core</x:v>
      </x:c>
      <x:c r="E68" s="10" t="str">
        <x:v>T04.06</x:v>
      </x:c>
      <x:c r="F68" s="10" t="str">
        <x:v>T05.01</x:v>
      </x:c>
      <x:c r="G68" s="11" t="n">
        <x:v>4</x:v>
      </x:c>
      <x:c r="H68" s="11" t="n">
        <x:v>0</x:v>
      </x:c>
      <x:c r="I68" s="10" t="str">
        <x:v>Trace a transaction</x:v>
      </x:c>
      <x:c r="J68" s="10" t="str">
        <x:v>Can this change reported profit without changing cash today? Apply the question to gross versus net revenue recognition.</x:v>
      </x:c>
      <x:c r="K68" s="13" t="str">
        <x:v>Not authored</x:v>
      </x:c>
      <x:c r="L68" s="13" t="str">
        <x:v>No</x:v>
      </x:c>
      <x:c r="M68" s="13" t="str"/>
    </x:row>
    <x:row r="69" ht="58" customHeight="1">
      <x:c r="A69" s="9" t="str">
        <x:v>T05.03</x:v>
      </x:c>
      <x:c r="B69" s="9" t="str">
        <x:v>D05</x:v>
      </x:c>
      <x:c r="C69" s="9" t="str">
        <x:v>Sales returns, discounts, rebates, and indirect taxes</x:v>
      </x:c>
      <x:c r="D69" s="9" t="str">
        <x:v>Core</x:v>
      </x:c>
      <x:c r="E69" s="9" t="str">
        <x:v>T04.06</x:v>
      </x:c>
      <x:c r="F69" s="9" t="str">
        <x:v>T05.01</x:v>
      </x:c>
      <x:c r="G69" s="12" t="n">
        <x:v>3</x:v>
      </x:c>
      <x:c r="H69" s="12" t="n">
        <x:v>0</x:v>
      </x:c>
      <x:c r="I69" s="9" t="str">
        <x:v>Trace a transaction</x:v>
      </x:c>
      <x:c r="J69" s="9" t="str">
        <x:v>Can this change reported profit without changing cash today? Apply the question to sales returns, discounts, rebates, and indirect taxes.</x:v>
      </x:c>
      <x:c r="K69" s="13" t="str">
        <x:v>Not authored</x:v>
      </x:c>
      <x:c r="L69" s="13" t="str">
        <x:v>No</x:v>
      </x:c>
      <x:c r="M69" s="13" t="str"/>
    </x:row>
    <x:row r="70" ht="58" customHeight="1">
      <x:c r="A70" s="10" t="str">
        <x:v>T05.04</x:v>
      </x:c>
      <x:c r="B70" s="10" t="str">
        <x:v>D05</x:v>
      </x:c>
      <x:c r="C70" s="10" t="str">
        <x:v>Cost of goods sold and cost of services</x:v>
      </x:c>
      <x:c r="D70" s="10" t="str">
        <x:v>Core</x:v>
      </x:c>
      <x:c r="E70" s="10" t="str">
        <x:v>T04.06</x:v>
      </x:c>
      <x:c r="F70" s="10" t="str">
        <x:v>T05.06</x:v>
      </x:c>
      <x:c r="G70" s="11" t="n">
        <x:v>4</x:v>
      </x:c>
      <x:c r="H70" s="11" t="n">
        <x:v>0</x:v>
      </x:c>
      <x:c r="I70" s="10" t="str">
        <x:v>Trace a transaction</x:v>
      </x:c>
      <x:c r="J70" s="10" t="str">
        <x:v>Can this change reported profit without changing cash today? Apply the question to cost of goods sold and cost of services.</x:v>
      </x:c>
      <x:c r="K70" s="13" t="str">
        <x:v>Not authored</x:v>
      </x:c>
      <x:c r="L70" s="13" t="str">
        <x:v>No</x:v>
      </x:c>
      <x:c r="M70" s="13" t="str"/>
    </x:row>
    <x:row r="71" ht="58" customHeight="1">
      <x:c r="A71" s="9" t="str">
        <x:v>T05.05</x:v>
      </x:c>
      <x:c r="B71" s="9" t="str">
        <x:v>D05</x:v>
      </x:c>
      <x:c r="C71" s="9" t="str">
        <x:v>Inventory changes and production costs</x:v>
      </x:c>
      <x:c r="D71" s="9" t="str">
        <x:v>Core</x:v>
      </x:c>
      <x:c r="E71" s="9" t="str">
        <x:v>T04.06</x:v>
      </x:c>
      <x:c r="F71" s="9" t="str">
        <x:v>T05.04</x:v>
      </x:c>
      <x:c r="G71" s="12" t="n">
        <x:v>3</x:v>
      </x:c>
      <x:c r="H71" s="12" t="n">
        <x:v>0</x:v>
      </x:c>
      <x:c r="I71" s="9" t="str">
        <x:v>Trace a transaction</x:v>
      </x:c>
      <x:c r="J71" s="9" t="str">
        <x:v>Can this change reported profit without changing cash today? Apply the question to inventory changes and production costs.</x:v>
      </x:c>
      <x:c r="K71" s="13" t="str">
        <x:v>Not authored</x:v>
      </x:c>
      <x:c r="L71" s="13" t="str">
        <x:v>No</x:v>
      </x:c>
      <x:c r="M71" s="13" t="str"/>
    </x:row>
    <x:row r="72" ht="58" customHeight="1">
      <x:c r="A72" s="10" t="str">
        <x:v>T05.06</x:v>
      </x:c>
      <x:c r="B72" s="10" t="str">
        <x:v>D05</x:v>
      </x:c>
      <x:c r="C72" s="10" t="str">
        <x:v>Gross profit and gross margin</x:v>
      </x:c>
      <x:c r="D72" s="10" t="str">
        <x:v>Core</x:v>
      </x:c>
      <x:c r="E72" s="10" t="str">
        <x:v>T04.06</x:v>
      </x:c>
      <x:c r="F72" s="10" t="str">
        <x:v>T05.11</x:v>
      </x:c>
      <x:c r="G72" s="11" t="n">
        <x:v>19</x:v>
      </x:c>
      <x:c r="H72" s="11" t="n">
        <x:v>0</x:v>
      </x:c>
      <x:c r="I72" s="10" t="str">
        <x:v>Trace a transaction</x:v>
      </x:c>
      <x:c r="J72" s="10" t="str">
        <x:v>Can this change reported profit without changing cash today? Apply the question to gross profit and gross margin.</x:v>
      </x:c>
      <x:c r="K72" s="13" t="str">
        <x:v>Not authored</x:v>
      </x:c>
      <x:c r="L72" s="13" t="str">
        <x:v>No</x:v>
      </x:c>
      <x:c r="M72" s="13" t="str"/>
    </x:row>
    <x:row r="73" ht="58" customHeight="1">
      <x:c r="A73" s="9" t="str">
        <x:v>T05.07</x:v>
      </x:c>
      <x:c r="B73" s="9" t="str">
        <x:v>D05</x:v>
      </x:c>
      <x:c r="C73" s="9" t="str">
        <x:v>Employee expenses</x:v>
      </x:c>
      <x:c r="D73" s="9" t="str">
        <x:v>Core</x:v>
      </x:c>
      <x:c r="E73" s="9" t="str">
        <x:v>T04.06</x:v>
      </x:c>
      <x:c r="F73" s="9" t="str">
        <x:v>T05.08</x:v>
      </x:c>
      <x:c r="G73" s="12" t="n">
        <x:v>3</x:v>
      </x:c>
      <x:c r="H73" s="12" t="n">
        <x:v>0</x:v>
      </x:c>
      <x:c r="I73" s="9" t="str">
        <x:v>Trace a transaction</x:v>
      </x:c>
      <x:c r="J73" s="9" t="str">
        <x:v>Can this change reported profit without changing cash today? Apply the question to employee expenses.</x:v>
      </x:c>
      <x:c r="K73" s="13" t="str">
        <x:v>Not authored</x:v>
      </x:c>
      <x:c r="L73" s="13" t="str">
        <x:v>No</x:v>
      </x:c>
      <x:c r="M73" s="13" t="str"/>
    </x:row>
    <x:row r="74" ht="58" customHeight="1">
      <x:c r="A74" s="10" t="str">
        <x:v>T05.08</x:v>
      </x:c>
      <x:c r="B74" s="10" t="str">
        <x:v>D05</x:v>
      </x:c>
      <x:c r="C74" s="10" t="str">
        <x:v>Selling, general, and administrative expenses</x:v>
      </x:c>
      <x:c r="D74" s="10" t="str">
        <x:v>Core</x:v>
      </x:c>
      <x:c r="E74" s="10" t="str">
        <x:v>T04.06</x:v>
      </x:c>
      <x:c r="F74" s="10" t="str">
        <x:v>T05.11</x:v>
      </x:c>
      <x:c r="G74" s="11" t="n">
        <x:v>4</x:v>
      </x:c>
      <x:c r="H74" s="11" t="n">
        <x:v>0</x:v>
      </x:c>
      <x:c r="I74" s="10" t="str">
        <x:v>Trace a transaction</x:v>
      </x:c>
      <x:c r="J74" s="10" t="str">
        <x:v>Can this change reported profit without changing cash today? Apply the question to selling, general, and administrative expenses.</x:v>
      </x:c>
      <x:c r="K74" s="13" t="str">
        <x:v>Not authored</x:v>
      </x:c>
      <x:c r="L74" s="13" t="str">
        <x:v>No</x:v>
      </x:c>
      <x:c r="M74" s="13" t="str"/>
    </x:row>
    <x:row r="75" ht="58" customHeight="1">
      <x:c r="A75" s="9" t="str">
        <x:v>T05.09</x:v>
      </x:c>
      <x:c r="B75" s="9" t="str">
        <x:v>D05</x:v>
      </x:c>
      <x:c r="C75" s="9" t="str">
        <x:v>Research and development expenses</x:v>
      </x:c>
      <x:c r="D75" s="9" t="str">
        <x:v>Core</x:v>
      </x:c>
      <x:c r="E75" s="9" t="str">
        <x:v>T04.06</x:v>
      </x:c>
      <x:c r="F75" s="9" t="str">
        <x:v>T05.11</x:v>
      </x:c>
      <x:c r="G75" s="12" t="n">
        <x:v>4</x:v>
      </x:c>
      <x:c r="H75" s="12" t="n">
        <x:v>1</x:v>
      </x:c>
      <x:c r="I75" s="9" t="str">
        <x:v>Trace a transaction</x:v>
      </x:c>
      <x:c r="J75" s="9" t="str">
        <x:v>Can this change reported profit without changing cash today? Apply the question to research and development expenses.</x:v>
      </x:c>
      <x:c r="K75" s="13" t="str">
        <x:v>Not authored</x:v>
      </x:c>
      <x:c r="L75" s="13" t="str">
        <x:v>No</x:v>
      </x:c>
      <x:c r="M75" s="13" t="str"/>
    </x:row>
    <x:row r="76" ht="58" customHeight="1">
      <x:c r="A76" s="10" t="str">
        <x:v>T05.10</x:v>
      </x:c>
      <x:c r="B76" s="10" t="str">
        <x:v>D05</x:v>
      </x:c>
      <x:c r="C76" s="10" t="str">
        <x:v>Depreciation, amortisation, and impairment</x:v>
      </x:c>
      <x:c r="D76" s="10" t="str">
        <x:v>Core</x:v>
      </x:c>
      <x:c r="E76" s="10" t="str">
        <x:v>T04.06</x:v>
      </x:c>
      <x:c r="F76" s="10" t="str">
        <x:v>T05.11</x:v>
      </x:c>
      <x:c r="G76" s="11" t="n">
        <x:v>5</x:v>
      </x:c>
      <x:c r="H76" s="11" t="n">
        <x:v>1</x:v>
      </x:c>
      <x:c r="I76" s="10" t="str">
        <x:v>Trace a transaction</x:v>
      </x:c>
      <x:c r="J76" s="10" t="str">
        <x:v>Can this change reported profit without changing cash today? Apply the question to depreciation, amortisation, and impairment.</x:v>
      </x:c>
      <x:c r="K76" s="13" t="str">
        <x:v>Not authored</x:v>
      </x:c>
      <x:c r="L76" s="13" t="str">
        <x:v>No</x:v>
      </x:c>
      <x:c r="M76" s="13" t="str"/>
    </x:row>
    <x:row r="77" ht="58" customHeight="1">
      <x:c r="A77" s="9" t="str">
        <x:v>T05.11</x:v>
      </x:c>
      <x:c r="B77" s="9" t="str">
        <x:v>D05</x:v>
      </x:c>
      <x:c r="C77" s="9" t="str">
        <x:v>EBITDA, EBIT, and operating profit</x:v>
      </x:c>
      <x:c r="D77" s="9" t="str">
        <x:v>Core</x:v>
      </x:c>
      <x:c r="E77" s="9" t="str">
        <x:v>T04.06</x:v>
      </x:c>
      <x:c r="F77" s="9" t="str">
        <x:v>T05.17</x:v>
      </x:c>
      <x:c r="G77" s="12" t="n">
        <x:v>9</x:v>
      </x:c>
      <x:c r="H77" s="12" t="n">
        <x:v>1</x:v>
      </x:c>
      <x:c r="I77" s="9" t="str">
        <x:v>Trace a transaction</x:v>
      </x:c>
      <x:c r="J77" s="9" t="str">
        <x:v>Can this change reported profit without changing cash today? Apply the question to ebitda, ebit, and operating profit.</x:v>
      </x:c>
      <x:c r="K77" s="13" t="str">
        <x:v>Not authored</x:v>
      </x:c>
      <x:c r="L77" s="13" t="str">
        <x:v>No</x:v>
      </x:c>
      <x:c r="M77" s="13" t="str"/>
    </x:row>
    <x:row r="78" ht="58" customHeight="1">
      <x:c r="A78" s="10" t="str">
        <x:v>T05.12</x:v>
      </x:c>
      <x:c r="B78" s="10" t="str">
        <x:v>D05</x:v>
      </x:c>
      <x:c r="C78" s="10" t="str">
        <x:v>Finance costs and interest income</x:v>
      </x:c>
      <x:c r="D78" s="10" t="str">
        <x:v>Core</x:v>
      </x:c>
      <x:c r="E78" s="10" t="str">
        <x:v>T04.06</x:v>
      </x:c>
      <x:c r="F78" s="10" t="str">
        <x:v>T05.15</x:v>
      </x:c>
      <x:c r="G78" s="11" t="n">
        <x:v>3</x:v>
      </x:c>
      <x:c r="H78" s="11" t="n">
        <x:v>0</x:v>
      </x:c>
      <x:c r="I78" s="10" t="str">
        <x:v>Trace a transaction</x:v>
      </x:c>
      <x:c r="J78" s="10" t="str">
        <x:v>Can this change reported profit without changing cash today? Apply the question to finance costs and interest income.</x:v>
      </x:c>
      <x:c r="K78" s="13" t="str">
        <x:v>Not authored</x:v>
      </x:c>
      <x:c r="L78" s="13" t="str">
        <x:v>No</x:v>
      </x:c>
      <x:c r="M78" s="13" t="str"/>
    </x:row>
    <x:row r="79" ht="58" customHeight="1">
      <x:c r="A79" s="9" t="str">
        <x:v>T05.13</x:v>
      </x:c>
      <x:c r="B79" s="9" t="str">
        <x:v>D05</x:v>
      </x:c>
      <x:c r="C79" s="9" t="str">
        <x:v>Other income and investment gains</x:v>
      </x:c>
      <x:c r="D79" s="9" t="str">
        <x:v>Core</x:v>
      </x:c>
      <x:c r="E79" s="9" t="str">
        <x:v>T04.06</x:v>
      </x:c>
      <x:c r="F79" s="9" t="str">
        <x:v>T05.17</x:v>
      </x:c>
      <x:c r="G79" s="12" t="n">
        <x:v>4</x:v>
      </x:c>
      <x:c r="H79" s="12" t="n">
        <x:v>1</x:v>
      </x:c>
      <x:c r="I79" s="9" t="str">
        <x:v>Trace a transaction</x:v>
      </x:c>
      <x:c r="J79" s="9" t="str">
        <x:v>Can this change reported profit without changing cash today? Apply the question to other income and investment gains.</x:v>
      </x:c>
      <x:c r="K79" s="13" t="str">
        <x:v>Not authored</x:v>
      </x:c>
      <x:c r="L79" s="13" t="str">
        <x:v>No</x:v>
      </x:c>
      <x:c r="M79" s="13" t="str"/>
    </x:row>
    <x:row r="80" ht="58" customHeight="1">
      <x:c r="A80" s="10" t="str">
        <x:v>T05.14</x:v>
      </x:c>
      <x:c r="B80" s="10" t="str">
        <x:v>D05</x:v>
      </x:c>
      <x:c r="C80" s="10" t="str">
        <x:v>Exceptional items and non-recurring adjustments</x:v>
      </x:c>
      <x:c r="D80" s="10" t="str">
        <x:v>Core</x:v>
      </x:c>
      <x:c r="E80" s="10" t="str">
        <x:v>T04.06</x:v>
      </x:c>
      <x:c r="F80" s="10" t="str">
        <x:v>T05.17</x:v>
      </x:c>
      <x:c r="G80" s="11" t="n">
        <x:v>3</x:v>
      </x:c>
      <x:c r="H80" s="11" t="n">
        <x:v>0</x:v>
      </x:c>
      <x:c r="I80" s="10" t="str">
        <x:v>Trace a transaction</x:v>
      </x:c>
      <x:c r="J80" s="10" t="str">
        <x:v>Can this change reported profit without changing cash today? Apply the question to exceptional items and non-recurring adjustments.</x:v>
      </x:c>
      <x:c r="K80" s="13" t="str">
        <x:v>Not authored</x:v>
      </x:c>
      <x:c r="L80" s="13" t="str">
        <x:v>No</x:v>
      </x:c>
      <x:c r="M80" s="13" t="str"/>
    </x:row>
    <x:row r="81" ht="58" customHeight="1">
      <x:c r="A81" s="9" t="str">
        <x:v>T05.15</x:v>
      </x:c>
      <x:c r="B81" s="9" t="str">
        <x:v>D05</x:v>
      </x:c>
      <x:c r="C81" s="9" t="str">
        <x:v>Profit before tax and income tax expense</x:v>
      </x:c>
      <x:c r="D81" s="9" t="str">
        <x:v>Core</x:v>
      </x:c>
      <x:c r="E81" s="9" t="str">
        <x:v>T04.06</x:v>
      </x:c>
      <x:c r="F81" s="9" t="str">
        <x:v>T05.17</x:v>
      </x:c>
      <x:c r="G81" s="12" t="n">
        <x:v>4</x:v>
      </x:c>
      <x:c r="H81" s="12" t="n">
        <x:v>0</x:v>
      </x:c>
      <x:c r="I81" s="9" t="str">
        <x:v>Trace a transaction</x:v>
      </x:c>
      <x:c r="J81" s="9" t="str">
        <x:v>Can this change reported profit without changing cash today? Apply the question to profit before tax and income tax expense.</x:v>
      </x:c>
      <x:c r="K81" s="13" t="str">
        <x:v>Not authored</x:v>
      </x:c>
      <x:c r="L81" s="13" t="str">
        <x:v>No</x:v>
      </x:c>
      <x:c r="M81" s="13" t="str"/>
    </x:row>
    <x:row r="82" ht="58" customHeight="1">
      <x:c r="A82" s="10" t="str">
        <x:v>T05.16</x:v>
      </x:c>
      <x:c r="B82" s="10" t="str">
        <x:v>D05</x:v>
      </x:c>
      <x:c r="C82" s="10" t="str">
        <x:v>Continuing versus discontinued operations</x:v>
      </x:c>
      <x:c r="D82" s="10" t="str">
        <x:v>Core</x:v>
      </x:c>
      <x:c r="E82" s="10" t="str">
        <x:v>T04.06</x:v>
      </x:c>
      <x:c r="F82" s="10" t="str">
        <x:v>T05.17</x:v>
      </x:c>
      <x:c r="G82" s="11" t="n">
        <x:v>3</x:v>
      </x:c>
      <x:c r="H82" s="11" t="n">
        <x:v>0</x:v>
      </x:c>
      <x:c r="I82" s="10" t="str">
        <x:v>Trace a transaction</x:v>
      </x:c>
      <x:c r="J82" s="10" t="str">
        <x:v>Can this change reported profit without changing cash today? Apply the question to continuing versus discontinued operations.</x:v>
      </x:c>
      <x:c r="K82" s="13" t="str">
        <x:v>Not authored</x:v>
      </x:c>
      <x:c r="L82" s="13" t="str">
        <x:v>No</x:v>
      </x:c>
      <x:c r="M82" s="13" t="str"/>
    </x:row>
    <x:row r="83" ht="58" customHeight="1">
      <x:c r="A83" s="9" t="str">
        <x:v>T05.17</x:v>
      </x:c>
      <x:c r="B83" s="9" t="str">
        <x:v>D05</x:v>
      </x:c>
      <x:c r="C83" s="9" t="str">
        <x:v>Net profit and profit attributable to shareholders</x:v>
      </x:c>
      <x:c r="D83" s="9" t="str">
        <x:v>Core</x:v>
      </x:c>
      <x:c r="E83" s="9" t="str">
        <x:v>T04.06</x:v>
      </x:c>
      <x:c r="F83" s="9" t="str">
        <x:v>T05.18</x:v>
      </x:c>
      <x:c r="G83" s="12" t="n">
        <x:v>11</x:v>
      </x:c>
      <x:c r="H83" s="12" t="n">
        <x:v>1</x:v>
      </x:c>
      <x:c r="I83" s="9" t="str">
        <x:v>Trace a transaction</x:v>
      </x:c>
      <x:c r="J83" s="9" t="str">
        <x:v>Can this change reported profit without changing cash today? Apply the question to net profit and profit attributable to shareholders.</x:v>
      </x:c>
      <x:c r="K83" s="13" t="str">
        <x:v>Not authored</x:v>
      </x:c>
      <x:c r="L83" s="13" t="str">
        <x:v>No</x:v>
      </x:c>
      <x:c r="M83" s="13" t="str"/>
    </x:row>
    <x:row r="84" ht="58" customHeight="1">
      <x:c r="A84" s="10" t="str">
        <x:v>T05.18</x:v>
      </x:c>
      <x:c r="B84" s="10" t="str">
        <x:v>D05</x:v>
      </x:c>
      <x:c r="C84" s="10" t="str">
        <x:v>Basic and diluted earnings per share</x:v>
      </x:c>
      <x:c r="D84" s="10" t="str">
        <x:v>Core</x:v>
      </x:c>
      <x:c r="E84" s="10" t="str">
        <x:v>T04.06</x:v>
      </x:c>
      <x:c r="F84" s="10" t="str">
        <x:v>T05.17</x:v>
      </x:c>
      <x:c r="G84" s="11" t="n">
        <x:v>8</x:v>
      </x:c>
      <x:c r="H84" s="11" t="n">
        <x:v>2</x:v>
      </x:c>
      <x:c r="I84" s="10" t="str">
        <x:v>Trace a transaction</x:v>
      </x:c>
      <x:c r="J84" s="10" t="str">
        <x:v>Can this change reported profit without changing cash today? Apply the question to basic and diluted earnings per share.</x:v>
      </x:c>
      <x:c r="K84" s="13" t="str">
        <x:v>Not authored</x:v>
      </x:c>
      <x:c r="L84" s="13" t="str">
        <x:v>No</x:v>
      </x:c>
      <x:c r="M84" s="13" t="str"/>
    </x:row>
    <x:row r="85" ht="58" customHeight="1">
      <x:c r="A85" s="9" t="str">
        <x:v>T05.19</x:v>
      </x:c>
      <x:c r="B85" s="9" t="str">
        <x:v>D05</x:v>
      </x:c>
      <x:c r="C85" s="9" t="str">
        <x:v>Other comprehensive income and total comprehensive income</x:v>
      </x:c>
      <x:c r="D85" s="9" t="str">
        <x:v>Core</x:v>
      </x:c>
      <x:c r="E85" s="9" t="str">
        <x:v>T04.06</x:v>
      </x:c>
      <x:c r="F85" s="9" t="str">
        <x:v>T05.17</x:v>
      </x:c>
      <x:c r="G85" s="12" t="n">
        <x:v>3</x:v>
      </x:c>
      <x:c r="H85" s="12" t="n">
        <x:v>0</x:v>
      </x:c>
      <x:c r="I85" s="9" t="str">
        <x:v>Trace a transaction</x:v>
      </x:c>
      <x:c r="J85" s="9" t="str">
        <x:v>Can this change reported profit without changing cash today? Apply the question to other comprehensive income and total comprehensive income.</x:v>
      </x:c>
      <x:c r="K85" s="13" t="str">
        <x:v>Not authored</x:v>
      </x:c>
      <x:c r="L85" s="13" t="str">
        <x:v>No</x:v>
      </x:c>
      <x:c r="M85" s="13" t="str"/>
    </x:row>
    <x:row r="86" ht="58" customHeight="1">
      <x:c r="A86" s="10" t="str">
        <x:v>T05.20</x:v>
      </x:c>
      <x:c r="B86" s="10" t="str">
        <x:v>D05</x:v>
      </x:c>
      <x:c r="C86" s="10" t="str">
        <x:v>Segment revenue and segment profitability</x:v>
      </x:c>
      <x:c r="D86" s="10" t="str">
        <x:v>Core</x:v>
      </x:c>
      <x:c r="E86" s="10" t="str">
        <x:v>T04.06</x:v>
      </x:c>
      <x:c r="F86" s="10" t="str">
        <x:v>T05.01</x:v>
      </x:c>
      <x:c r="G86" s="11" t="n">
        <x:v>4</x:v>
      </x:c>
      <x:c r="H86" s="11" t="n">
        <x:v>1</x:v>
      </x:c>
      <x:c r="I86" s="10" t="str">
        <x:v>Trace a transaction</x:v>
      </x:c>
      <x:c r="J86" s="10" t="str">
        <x:v>Can this change reported profit without changing cash today? Apply the question to segment revenue and segment profitability.</x:v>
      </x:c>
      <x:c r="K86" s="13" t="str">
        <x:v>Not authored</x:v>
      </x:c>
      <x:c r="L86" s="13" t="str">
        <x:v>No</x:v>
      </x:c>
      <x:c r="M86" s="13" t="str"/>
    </x:row>
    <x:row r="87" ht="58" customHeight="1">
      <x:c r="A87" s="9" t="str">
        <x:v>T06.01</x:v>
      </x:c>
      <x:c r="B87" s="9" t="str">
        <x:v>D06</x:v>
      </x:c>
      <x:c r="C87" s="9" t="str">
        <x:v>Current versus non-current classification</x:v>
      </x:c>
      <x:c r="D87" s="9" t="str">
        <x:v>Core</x:v>
      </x:c>
      <x:c r="E87" s="9" t="str">
        <x:v>T04.01</x:v>
      </x:c>
      <x:c r="F87" s="9" t="str">
        <x:v>T06.02</x:v>
      </x:c>
      <x:c r="G87" s="12" t="n">
        <x:v>19</x:v>
      </x:c>
      <x:c r="H87" s="12" t="n">
        <x:v>0</x:v>
      </x:c>
      <x:c r="I87" s="9" t="str">
        <x:v>Trace a transaction</x:v>
      </x:c>
      <x:c r="J87" s="9" t="str">
        <x:v>Where did this balance come from, and what transaction would change it? Apply the question to current versus non-current classification.</x:v>
      </x:c>
      <x:c r="K87" s="13" t="str">
        <x:v>Not authored</x:v>
      </x:c>
      <x:c r="L87" s="13" t="str">
        <x:v>No</x:v>
      </x:c>
      <x:c r="M87" s="13" t="str"/>
    </x:row>
    <x:row r="88" ht="58" customHeight="1">
      <x:c r="A88" s="10" t="str">
        <x:v>T06.02</x:v>
      </x:c>
      <x:c r="B88" s="10" t="str">
        <x:v>D06</x:v>
      </x:c>
      <x:c r="C88" s="10" t="str">
        <x:v>Cash and cash equivalents</x:v>
      </x:c>
      <x:c r="D88" s="10" t="str">
        <x:v>Core</x:v>
      </x:c>
      <x:c r="E88" s="10" t="str">
        <x:v>T04.01</x:v>
      </x:c>
      <x:c r="F88" s="10" t="str">
        <x:v>T06.03</x:v>
      </x:c>
      <x:c r="G88" s="11" t="n">
        <x:v>7</x:v>
      </x:c>
      <x:c r="H88" s="11" t="n">
        <x:v>1</x:v>
      </x:c>
      <x:c r="I88" s="10" t="str">
        <x:v>Trace a transaction</x:v>
      </x:c>
      <x:c r="J88" s="10" t="str">
        <x:v>Where did this balance come from, and what transaction would change it? Apply the question to cash and cash equivalents.</x:v>
      </x:c>
      <x:c r="K88" s="13" t="str">
        <x:v>Not authored</x:v>
      </x:c>
      <x:c r="L88" s="13" t="str">
        <x:v>No</x:v>
      </x:c>
      <x:c r="M88" s="13" t="str"/>
    </x:row>
    <x:row r="89" ht="58" customHeight="1">
      <x:c r="A89" s="9" t="str">
        <x:v>T06.03</x:v>
      </x:c>
      <x:c r="B89" s="9" t="str">
        <x:v>D06</x:v>
      </x:c>
      <x:c r="C89" s="9" t="str">
        <x:v>Restricted cash and liquid investments</x:v>
      </x:c>
      <x:c r="D89" s="9" t="str">
        <x:v>Core</x:v>
      </x:c>
      <x:c r="E89" s="9" t="str">
        <x:v>T04.01</x:v>
      </x:c>
      <x:c r="F89" s="9" t="str">
        <x:v>T06.02</x:v>
      </x:c>
      <x:c r="G89" s="12" t="n">
        <x:v>5</x:v>
      </x:c>
      <x:c r="H89" s="12" t="n">
        <x:v>1</x:v>
      </x:c>
      <x:c r="I89" s="9" t="str">
        <x:v>Trace a transaction</x:v>
      </x:c>
      <x:c r="J89" s="9" t="str">
        <x:v>Where did this balance come from, and what transaction would change it? Apply the question to restricted cash and liquid investments.</x:v>
      </x:c>
      <x:c r="K89" s="13" t="str">
        <x:v>Not authored</x:v>
      </x:c>
      <x:c r="L89" s="13" t="str">
        <x:v>No</x:v>
      </x:c>
      <x:c r="M89" s="13" t="str"/>
    </x:row>
    <x:row r="90" ht="58" customHeight="1">
      <x:c r="A90" s="10" t="str">
        <x:v>T06.04</x:v>
      </x:c>
      <x:c r="B90" s="10" t="str">
        <x:v>D06</x:v>
      </x:c>
      <x:c r="C90" s="10" t="str">
        <x:v>Trade receivables and expected credit losses</x:v>
      </x:c>
      <x:c r="D90" s="10" t="str">
        <x:v>Core</x:v>
      </x:c>
      <x:c r="E90" s="10" t="str">
        <x:v>T04.01</x:v>
      </x:c>
      <x:c r="F90" s="10" t="str">
        <x:v>T06.13</x:v>
      </x:c>
      <x:c r="G90" s="11" t="n">
        <x:v>6</x:v>
      </x:c>
      <x:c r="H90" s="11" t="n">
        <x:v>0</x:v>
      </x:c>
      <x:c r="I90" s="10" t="str">
        <x:v>Trace a transaction</x:v>
      </x:c>
      <x:c r="J90" s="10" t="str">
        <x:v>Where did this balance come from, and what transaction would change it? Apply the question to trade receivables and expected credit losses.</x:v>
      </x:c>
      <x:c r="K90" s="13" t="str">
        <x:v>Not authored</x:v>
      </x:c>
      <x:c r="L90" s="13" t="str">
        <x:v>No</x:v>
      </x:c>
      <x:c r="M90" s="13" t="str"/>
    </x:row>
    <x:row r="91" ht="58" customHeight="1">
      <x:c r="A91" s="9" t="str">
        <x:v>T06.05</x:v>
      </x:c>
      <x:c r="B91" s="9" t="str">
        <x:v>D06</x:v>
      </x:c>
      <x:c r="C91" s="9" t="str">
        <x:v>Inventory: raw materials, work in progress, and finished goods</x:v>
      </x:c>
      <x:c r="D91" s="9" t="str">
        <x:v>Core</x:v>
      </x:c>
      <x:c r="E91" s="9" t="str">
        <x:v>T04.01</x:v>
      </x:c>
      <x:c r="F91" s="9" t="str">
        <x:v>T06.13</x:v>
      </x:c>
      <x:c r="G91" s="12" t="n">
        <x:v>4</x:v>
      </x:c>
      <x:c r="H91" s="12" t="n">
        <x:v>0</x:v>
      </x:c>
      <x:c r="I91" s="9" t="str">
        <x:v>Trace a transaction</x:v>
      </x:c>
      <x:c r="J91" s="9" t="str">
        <x:v>Where did this balance come from, and what transaction would change it? Apply the question to inventory: raw materials, work in progress, and finished goods.</x:v>
      </x:c>
      <x:c r="K91" s="13" t="str">
        <x:v>Not authored</x:v>
      </x:c>
      <x:c r="L91" s="13" t="str">
        <x:v>No</x:v>
      </x:c>
      <x:c r="M91" s="13" t="str"/>
    </x:row>
    <x:row r="92" ht="58" customHeight="1">
      <x:c r="A92" s="10" t="str">
        <x:v>T06.06</x:v>
      </x:c>
      <x:c r="B92" s="10" t="str">
        <x:v>D06</x:v>
      </x:c>
      <x:c r="C92" s="10" t="str">
        <x:v>Prepayments, advances, and other current assets</x:v>
      </x:c>
      <x:c r="D92" s="10" t="str">
        <x:v>Core</x:v>
      </x:c>
      <x:c r="E92" s="10" t="str">
        <x:v>T04.01</x:v>
      </x:c>
      <x:c r="F92" s="10" t="str">
        <x:v>T06.13</x:v>
      </x:c>
      <x:c r="G92" s="11" t="n">
        <x:v>3</x:v>
      </x:c>
      <x:c r="H92" s="11" t="n">
        <x:v>0</x:v>
      </x:c>
      <x:c r="I92" s="10" t="str">
        <x:v>Trace a transaction</x:v>
      </x:c>
      <x:c r="J92" s="10" t="str">
        <x:v>Where did this balance come from, and what transaction would change it? Apply the question to prepayments, advances, and other current assets.</x:v>
      </x:c>
      <x:c r="K92" s="13" t="str">
        <x:v>Not authored</x:v>
      </x:c>
      <x:c r="L92" s="13" t="str">
        <x:v>No</x:v>
      </x:c>
      <x:c r="M92" s="13" t="str"/>
    </x:row>
    <x:row r="93" ht="58" customHeight="1">
      <x:c r="A93" s="9" t="str">
        <x:v>T06.07</x:v>
      </x:c>
      <x:c r="B93" s="9" t="str">
        <x:v>D06</x:v>
      </x:c>
      <x:c r="C93" s="9" t="str">
        <x:v>Property, plant, and equipment</x:v>
      </x:c>
      <x:c r="D93" s="9" t="str">
        <x:v>Core</x:v>
      </x:c>
      <x:c r="E93" s="9" t="str">
        <x:v>T04.01</x:v>
      </x:c>
      <x:c r="F93" s="9" t="str">
        <x:v>T06.08</x:v>
      </x:c>
      <x:c r="G93" s="12" t="n">
        <x:v>7</x:v>
      </x:c>
      <x:c r="H93" s="12" t="n">
        <x:v>2</x:v>
      </x:c>
      <x:c r="I93" s="9" t="str">
        <x:v>Trace a transaction</x:v>
      </x:c>
      <x:c r="J93" s="9" t="str">
        <x:v>Where did this balance come from, and what transaction would change it? Apply the question to property, plant, and equipment.</x:v>
      </x:c>
      <x:c r="K93" s="13" t="str">
        <x:v>Not authored</x:v>
      </x:c>
      <x:c r="L93" s="13" t="str">
        <x:v>No</x:v>
      </x:c>
      <x:c r="M93" s="13" t="str"/>
    </x:row>
    <x:row r="94" ht="58" customHeight="1">
      <x:c r="A94" s="10" t="str">
        <x:v>T06.08</x:v>
      </x:c>
      <x:c r="B94" s="10" t="str">
        <x:v>D06</x:v>
      </x:c>
      <x:c r="C94" s="10" t="str">
        <x:v>Capital work in progress</x:v>
      </x:c>
      <x:c r="D94" s="10" t="str">
        <x:v>Core</x:v>
      </x:c>
      <x:c r="E94" s="10" t="str">
        <x:v>T04.01</x:v>
      </x:c>
      <x:c r="F94" s="10" t="str">
        <x:v>T06.07</x:v>
      </x:c>
      <x:c r="G94" s="11" t="n">
        <x:v>5</x:v>
      </x:c>
      <x:c r="H94" s="11" t="n">
        <x:v>1</x:v>
      </x:c>
      <x:c r="I94" s="10" t="str">
        <x:v>Trace a transaction</x:v>
      </x:c>
      <x:c r="J94" s="10" t="str">
        <x:v>Where did this balance come from, and what transaction would change it? Apply the question to capital work in progress.</x:v>
      </x:c>
      <x:c r="K94" s="13" t="str">
        <x:v>Not authored</x:v>
      </x:c>
      <x:c r="L94" s="13" t="str">
        <x:v>No</x:v>
      </x:c>
      <x:c r="M94" s="13" t="str"/>
    </x:row>
    <x:row r="95" ht="58" customHeight="1">
      <x:c r="A95" s="9" t="str">
        <x:v>T06.09</x:v>
      </x:c>
      <x:c r="B95" s="9" t="str">
        <x:v>D06</x:v>
      </x:c>
      <x:c r="C95" s="9" t="str">
        <x:v>Right-of-use assets</x:v>
      </x:c>
      <x:c r="D95" s="9" t="str">
        <x:v>Core</x:v>
      </x:c>
      <x:c r="E95" s="9" t="str">
        <x:v>T04.01</x:v>
      </x:c>
      <x:c r="F95" s="9" t="str">
        <x:v>T06.16</x:v>
      </x:c>
      <x:c r="G95" s="12" t="n">
        <x:v>5</x:v>
      </x:c>
      <x:c r="H95" s="12" t="n">
        <x:v>1</x:v>
      </x:c>
      <x:c r="I95" s="9" t="str">
        <x:v>Trace a transaction</x:v>
      </x:c>
      <x:c r="J95" s="9" t="str">
        <x:v>Where did this balance come from, and what transaction would change it? Apply the question to right-of-use assets.</x:v>
      </x:c>
      <x:c r="K95" s="13" t="str">
        <x:v>Not authored</x:v>
      </x:c>
      <x:c r="L95" s="13" t="str">
        <x:v>No</x:v>
      </x:c>
      <x:c r="M95" s="13" t="str"/>
    </x:row>
    <x:row r="96" ht="58" customHeight="1">
      <x:c r="A96" s="10" t="str">
        <x:v>T06.10</x:v>
      </x:c>
      <x:c r="B96" s="10" t="str">
        <x:v>D06</x:v>
      </x:c>
      <x:c r="C96" s="10" t="str">
        <x:v>Intangible assets and goodwill</x:v>
      </x:c>
      <x:c r="D96" s="10" t="str">
        <x:v>Core</x:v>
      </x:c>
      <x:c r="E96" s="10" t="str">
        <x:v>T04.01</x:v>
      </x:c>
      <x:c r="F96" s="10" t="str">
        <x:v>T06.07</x:v>
      </x:c>
      <x:c r="G96" s="11" t="n">
        <x:v>6</x:v>
      </x:c>
      <x:c r="H96" s="11" t="n">
        <x:v>3</x:v>
      </x:c>
      <x:c r="I96" s="10" t="str">
        <x:v>Trace a transaction</x:v>
      </x:c>
      <x:c r="J96" s="10" t="str">
        <x:v>Where did this balance come from, and what transaction would change it? Apply the question to intangible assets and goodwill.</x:v>
      </x:c>
      <x:c r="K96" s="13" t="str">
        <x:v>Not authored</x:v>
      </x:c>
      <x:c r="L96" s="13" t="str">
        <x:v>No</x:v>
      </x:c>
      <x:c r="M96" s="13" t="str"/>
    </x:row>
    <x:row r="97" ht="58" customHeight="1">
      <x:c r="A97" s="9" t="str">
        <x:v>T06.11</x:v>
      </x:c>
      <x:c r="B97" s="9" t="str">
        <x:v>D06</x:v>
      </x:c>
      <x:c r="C97" s="9" t="str">
        <x:v>Financial investments and investment property</x:v>
      </x:c>
      <x:c r="D97" s="9" t="str">
        <x:v>Core</x:v>
      </x:c>
      <x:c r="E97" s="9" t="str">
        <x:v>T04.01</x:v>
      </x:c>
      <x:c r="F97" s="9" t="str">
        <x:v>T06.02</x:v>
      </x:c>
      <x:c r="G97" s="12" t="n">
        <x:v>3</x:v>
      </x:c>
      <x:c r="H97" s="12" t="n">
        <x:v>0</x:v>
      </x:c>
      <x:c r="I97" s="9" t="str">
        <x:v>Trace a transaction</x:v>
      </x:c>
      <x:c r="J97" s="9" t="str">
        <x:v>Where did this balance come from, and what transaction would change it? Apply the question to financial investments and investment property.</x:v>
      </x:c>
      <x:c r="K97" s="13" t="str">
        <x:v>Not authored</x:v>
      </x:c>
      <x:c r="L97" s="13" t="str">
        <x:v>No</x:v>
      </x:c>
      <x:c r="M97" s="13" t="str"/>
    </x:row>
    <x:row r="98" ht="58" customHeight="1">
      <x:c r="A98" s="10" t="str">
        <x:v>T06.12</x:v>
      </x:c>
      <x:c r="B98" s="10" t="str">
        <x:v>D06</x:v>
      </x:c>
      <x:c r="C98" s="10" t="str">
        <x:v>Deferred tax assets and liabilities</x:v>
      </x:c>
      <x:c r="D98" s="10" t="str">
        <x:v>Core</x:v>
      </x:c>
      <x:c r="E98" s="10" t="str">
        <x:v>T04.01</x:v>
      </x:c>
      <x:c r="F98" s="10" t="str">
        <x:v>T06.17</x:v>
      </x:c>
      <x:c r="G98" s="11" t="n">
        <x:v>5</x:v>
      </x:c>
      <x:c r="H98" s="11" t="n">
        <x:v>1</x:v>
      </x:c>
      <x:c r="I98" s="10" t="str">
        <x:v>Trace a transaction</x:v>
      </x:c>
      <x:c r="J98" s="10" t="str">
        <x:v>Where did this balance come from, and what transaction would change it? Apply the question to deferred tax assets and liabilities.</x:v>
      </x:c>
      <x:c r="K98" s="13" t="str">
        <x:v>Not authored</x:v>
      </x:c>
      <x:c r="L98" s="13" t="str">
        <x:v>No</x:v>
      </x:c>
      <x:c r="M98" s="13" t="str"/>
    </x:row>
    <x:row r="99" ht="58" customHeight="1">
      <x:c r="A99" s="9" t="str">
        <x:v>T06.13</x:v>
      </x:c>
      <x:c r="B99" s="9" t="str">
        <x:v>D06</x:v>
      </x:c>
      <x:c r="C99" s="9" t="str">
        <x:v>Trade payables and accrued expenses</x:v>
      </x:c>
      <x:c r="D99" s="9" t="str">
        <x:v>Core</x:v>
      </x:c>
      <x:c r="E99" s="9" t="str">
        <x:v>T04.01</x:v>
      </x:c>
      <x:c r="F99" s="9" t="str">
        <x:v>T06.04</x:v>
      </x:c>
      <x:c r="G99" s="12" t="n">
        <x:v>7</x:v>
      </x:c>
      <x:c r="H99" s="12" t="n">
        <x:v>0</x:v>
      </x:c>
      <x:c r="I99" s="9" t="str">
        <x:v>Trace a transaction</x:v>
      </x:c>
      <x:c r="J99" s="9" t="str">
        <x:v>Where did this balance come from, and what transaction would change it? Apply the question to trade payables and accrued expenses.</x:v>
      </x:c>
      <x:c r="K99" s="13" t="str">
        <x:v>Not authored</x:v>
      </x:c>
      <x:c r="L99" s="13" t="str">
        <x:v>No</x:v>
      </x:c>
      <x:c r="M99" s="13" t="str"/>
    </x:row>
    <x:row r="100" ht="58" customHeight="1">
      <x:c r="A100" s="10" t="str">
        <x:v>T06.14</x:v>
      </x:c>
      <x:c r="B100" s="10" t="str">
        <x:v>D06</x:v>
      </x:c>
      <x:c r="C100" s="10" t="str">
        <x:v>Contract assets, contract liabilities, and deferred revenue</x:v>
      </x:c>
      <x:c r="D100" s="10" t="str">
        <x:v>Core</x:v>
      </x:c>
      <x:c r="E100" s="10" t="str">
        <x:v>T04.01</x:v>
      </x:c>
      <x:c r="F100" s="10" t="str">
        <x:v>T06.04</x:v>
      </x:c>
      <x:c r="G100" s="11" t="n">
        <x:v>3</x:v>
      </x:c>
      <x:c r="H100" s="11" t="n">
        <x:v>0</x:v>
      </x:c>
      <x:c r="I100" s="10" t="str">
        <x:v>Trace a transaction</x:v>
      </x:c>
      <x:c r="J100" s="10" t="str">
        <x:v>Where did this balance come from, and what transaction would change it? Apply the question to contract assets, contract liabilities, and deferred revenue.</x:v>
      </x:c>
      <x:c r="K100" s="13" t="str">
        <x:v>Not authored</x:v>
      </x:c>
      <x:c r="L100" s="13" t="str">
        <x:v>No</x:v>
      </x:c>
      <x:c r="M100" s="13" t="str"/>
    </x:row>
    <x:row r="101" ht="58" customHeight="1">
      <x:c r="A101" s="9" t="str">
        <x:v>T06.15</x:v>
      </x:c>
      <x:c r="B101" s="9" t="str">
        <x:v>D06</x:v>
      </x:c>
      <x:c r="C101" s="9" t="str">
        <x:v>Short-term and long-term borrowings</x:v>
      </x:c>
      <x:c r="D101" s="9" t="str">
        <x:v>Core</x:v>
      </x:c>
      <x:c r="E101" s="9" t="str">
        <x:v>T04.01</x:v>
      </x:c>
      <x:c r="F101" s="9" t="str">
        <x:v>T06.16</x:v>
      </x:c>
      <x:c r="G101" s="12" t="n">
        <x:v>5</x:v>
      </x:c>
      <x:c r="H101" s="12" t="n">
        <x:v>1</x:v>
      </x:c>
      <x:c r="I101" s="9" t="str">
        <x:v>Trace a transaction</x:v>
      </x:c>
      <x:c r="J101" s="9" t="str">
        <x:v>Where did this balance come from, and what transaction would change it? Apply the question to short-term and long-term borrowings.</x:v>
      </x:c>
      <x:c r="K101" s="13" t="str">
        <x:v>Not authored</x:v>
      </x:c>
      <x:c r="L101" s="13" t="str">
        <x:v>No</x:v>
      </x:c>
      <x:c r="M101" s="13" t="str"/>
    </x:row>
    <x:row r="102" ht="58" customHeight="1">
      <x:c r="A102" s="10" t="str">
        <x:v>T06.16</x:v>
      </x:c>
      <x:c r="B102" s="10" t="str">
        <x:v>D06</x:v>
      </x:c>
      <x:c r="C102" s="10" t="str">
        <x:v>Lease liabilities</x:v>
      </x:c>
      <x:c r="D102" s="10" t="str">
        <x:v>Core</x:v>
      </x:c>
      <x:c r="E102" s="10" t="str">
        <x:v>T04.01</x:v>
      </x:c>
      <x:c r="F102" s="10" t="str">
        <x:v>T06.09</x:v>
      </x:c>
      <x:c r="G102" s="11" t="n">
        <x:v>7</x:v>
      </x:c>
      <x:c r="H102" s="11" t="n">
        <x:v>2</x:v>
      </x:c>
      <x:c r="I102" s="10" t="str">
        <x:v>Trace a transaction</x:v>
      </x:c>
      <x:c r="J102" s="10" t="str">
        <x:v>Where did this balance come from, and what transaction would change it? Apply the question to lease liabilities.</x:v>
      </x:c>
      <x:c r="K102" s="13" t="str">
        <x:v>Not authored</x:v>
      </x:c>
      <x:c r="L102" s="13" t="str">
        <x:v>No</x:v>
      </x:c>
      <x:c r="M102" s="13" t="str"/>
    </x:row>
    <x:row r="103" ht="58" customHeight="1">
      <x:c r="A103" s="9" t="str">
        <x:v>T06.17</x:v>
      </x:c>
      <x:c r="B103" s="9" t="str">
        <x:v>D06</x:v>
      </x:c>
      <x:c r="C103" s="9" t="str">
        <x:v>Provisions, pension obligations, and employee benefits</x:v>
      </x:c>
      <x:c r="D103" s="9" t="str">
        <x:v>Core</x:v>
      </x:c>
      <x:c r="E103" s="9" t="str">
        <x:v>T04.01</x:v>
      </x:c>
      <x:c r="F103" s="9" t="str">
        <x:v>T06.12</x:v>
      </x:c>
      <x:c r="G103" s="12" t="n">
        <x:v>6</x:v>
      </x:c>
      <x:c r="H103" s="12" t="n">
        <x:v>2</x:v>
      </x:c>
      <x:c r="I103" s="9" t="str">
        <x:v>Trace a transaction</x:v>
      </x:c>
      <x:c r="J103" s="9" t="str">
        <x:v>Where did this balance come from, and what transaction would change it? Apply the question to provisions, pension obligations, and employee benefits.</x:v>
      </x:c>
      <x:c r="K103" s="13" t="str">
        <x:v>Not authored</x:v>
      </x:c>
      <x:c r="L103" s="13" t="str">
        <x:v>No</x:v>
      </x:c>
      <x:c r="M103" s="13" t="str"/>
    </x:row>
    <x:row r="104" ht="58" customHeight="1">
      <x:c r="A104" s="10" t="str">
        <x:v>T06.18</x:v>
      </x:c>
      <x:c r="B104" s="10" t="str">
        <x:v>D06</x:v>
      </x:c>
      <x:c r="C104" s="10" t="str">
        <x:v>Share capital, securities premium, and retained earnings</x:v>
      </x:c>
      <x:c r="D104" s="10" t="str">
        <x:v>Core</x:v>
      </x:c>
      <x:c r="E104" s="10" t="str">
        <x:v>T04.01</x:v>
      </x:c>
      <x:c r="F104" s="10" t="str">
        <x:v>T06.19</x:v>
      </x:c>
      <x:c r="G104" s="11" t="n">
        <x:v>6</x:v>
      </x:c>
      <x:c r="H104" s="11" t="n">
        <x:v>2</x:v>
      </x:c>
      <x:c r="I104" s="10" t="str">
        <x:v>Trace a transaction</x:v>
      </x:c>
      <x:c r="J104" s="10" t="str">
        <x:v>Where did this balance come from, and what transaction would change it? Apply the question to share capital, securities premium, and retained earnings.</x:v>
      </x:c>
      <x:c r="K104" s="13" t="str">
        <x:v>Not authored</x:v>
      </x:c>
      <x:c r="L104" s="13" t="str">
        <x:v>No</x:v>
      </x:c>
      <x:c r="M104" s="13" t="str"/>
    </x:row>
    <x:row r="105" ht="58" customHeight="1">
      <x:c r="A105" s="9" t="str">
        <x:v>T06.19</x:v>
      </x:c>
      <x:c r="B105" s="9" t="str">
        <x:v>D06</x:v>
      </x:c>
      <x:c r="C105" s="9" t="str">
        <x:v>Reserves, treasury shares, and non-controlling interests</x:v>
      </x:c>
      <x:c r="D105" s="9" t="str">
        <x:v>Core</x:v>
      </x:c>
      <x:c r="E105" s="9" t="str">
        <x:v>T04.01</x:v>
      </x:c>
      <x:c r="F105" s="9" t="str">
        <x:v>T06.18</x:v>
      </x:c>
      <x:c r="G105" s="12" t="n">
        <x:v>5</x:v>
      </x:c>
      <x:c r="H105" s="12" t="n">
        <x:v>1</x:v>
      </x:c>
      <x:c r="I105" s="9" t="str">
        <x:v>Trace a transaction</x:v>
      </x:c>
      <x:c r="J105" s="9" t="str">
        <x:v>Where did this balance come from, and what transaction would change it? Apply the question to reserves, treasury shares, and non-controlling interests.</x:v>
      </x:c>
      <x:c r="K105" s="13" t="str">
        <x:v>Not authored</x:v>
      </x:c>
      <x:c r="L105" s="13" t="str">
        <x:v>No</x:v>
      </x:c>
      <x:c r="M105" s="13" t="str"/>
    </x:row>
    <x:row r="106" ht="58" customHeight="1">
      <x:c r="A106" s="10" t="str">
        <x:v>T06.20</x:v>
      </x:c>
      <x:c r="B106" s="10" t="str">
        <x:v>D06</x:v>
      </x:c>
      <x:c r="C106" s="10" t="str">
        <x:v>Contingent liabilities, guarantees, and off-balance-sheet commitments</x:v>
      </x:c>
      <x:c r="D106" s="10" t="str">
        <x:v>Core</x:v>
      </x:c>
      <x:c r="E106" s="10" t="str">
        <x:v>T04.01</x:v>
      </x:c>
      <x:c r="F106" s="10" t="str">
        <x:v>T06.15</x:v>
      </x:c>
      <x:c r="G106" s="11" t="n">
        <x:v>4</x:v>
      </x:c>
      <x:c r="H106" s="11" t="n">
        <x:v>1</x:v>
      </x:c>
      <x:c r="I106" s="10" t="str">
        <x:v>Trace a transaction</x:v>
      </x:c>
      <x:c r="J106" s="10" t="str">
        <x:v>Where did this balance come from, and what transaction would change it? Apply the question to contingent liabilities, guarantees, and off-balance-sheet commitments.</x:v>
      </x:c>
      <x:c r="K106" s="13" t="str">
        <x:v>Not authored</x:v>
      </x:c>
      <x:c r="L106" s="13" t="str">
        <x:v>No</x:v>
      </x:c>
      <x:c r="M106" s="13" t="str"/>
    </x:row>
    <x:row r="107" ht="58" customHeight="1">
      <x:c r="A107" s="9" t="str">
        <x:v>T07.01</x:v>
      </x:c>
      <x:c r="B107" s="9" t="str">
        <x:v>D07</x:v>
      </x:c>
      <x:c r="C107" s="9" t="str">
        <x:v>Cash flow from operations, investing, and financing</x:v>
      </x:c>
      <x:c r="D107" s="9" t="str">
        <x:v>Core</x:v>
      </x:c>
      <x:c r="E107" s="9" t="str">
        <x:v>T04.05</x:v>
      </x:c>
      <x:c r="F107" s="9" t="str">
        <x:v>T07.02</x:v>
      </x:c>
      <x:c r="G107" s="12" t="n">
        <x:v>6</x:v>
      </x:c>
      <x:c r="H107" s="12" t="n">
        <x:v>0</x:v>
      </x:c>
      <x:c r="I107" s="9" t="str">
        <x:v>Trace a transaction</x:v>
      </x:c>
      <x:c r="J107" s="9" t="str">
        <x:v>Why might cash move differently from reported profit? Apply the question to cash flow from operations, investing, and financing.</x:v>
      </x:c>
      <x:c r="K107" s="13" t="str">
        <x:v>Not authored</x:v>
      </x:c>
      <x:c r="L107" s="13" t="str">
        <x:v>No</x:v>
      </x:c>
      <x:c r="M107" s="13" t="str"/>
    </x:row>
    <x:row r="108" ht="58" customHeight="1">
      <x:c r="A108" s="10" t="str">
        <x:v>T07.02</x:v>
      </x:c>
      <x:c r="B108" s="10" t="str">
        <x:v>D07</x:v>
      </x:c>
      <x:c r="C108" s="10" t="str">
        <x:v>Direct versus indirect operating cash flow</x:v>
      </x:c>
      <x:c r="D108" s="10" t="str">
        <x:v>Core</x:v>
      </x:c>
      <x:c r="E108" s="10" t="str">
        <x:v>T04.05</x:v>
      </x:c>
      <x:c r="F108" s="10" t="str">
        <x:v>T07.03</x:v>
      </x:c>
      <x:c r="G108" s="11" t="n">
        <x:v>4</x:v>
      </x:c>
      <x:c r="H108" s="11" t="n">
        <x:v>0</x:v>
      </x:c>
      <x:c r="I108" s="10" t="str">
        <x:v>Trace a transaction</x:v>
      </x:c>
      <x:c r="J108" s="10" t="str">
        <x:v>Why might cash move differently from reported profit? Apply the question to direct versus indirect operating cash flow.</x:v>
      </x:c>
      <x:c r="K108" s="13" t="str">
        <x:v>Not authored</x:v>
      </x:c>
      <x:c r="L108" s="13" t="str">
        <x:v>No</x:v>
      </x:c>
      <x:c r="M108" s="13" t="str"/>
    </x:row>
    <x:row r="109" ht="58" customHeight="1">
      <x:c r="A109" s="9" t="str">
        <x:v>T07.03</x:v>
      </x:c>
      <x:c r="B109" s="9" t="str">
        <x:v>D07</x:v>
      </x:c>
      <x:c r="C109" s="9" t="str">
        <x:v>Reconciling profit to operating cash flow</x:v>
      </x:c>
      <x:c r="D109" s="9" t="str">
        <x:v>Core</x:v>
      </x:c>
      <x:c r="E109" s="9" t="str">
        <x:v>T04.05</x:v>
      </x:c>
      <x:c r="F109" s="9" t="str">
        <x:v>T07.04</x:v>
      </x:c>
      <x:c r="G109" s="12" t="n">
        <x:v>10</x:v>
      </x:c>
      <x:c r="H109" s="12" t="n">
        <x:v>1</x:v>
      </x:c>
      <x:c r="I109" s="9" t="str">
        <x:v>Trace a transaction</x:v>
      </x:c>
      <x:c r="J109" s="9" t="str">
        <x:v>Why might cash move differently from reported profit? Apply the question to reconciling profit to operating cash flow.</x:v>
      </x:c>
      <x:c r="K109" s="13" t="str">
        <x:v>Not authored</x:v>
      </x:c>
      <x:c r="L109" s="13" t="str">
        <x:v>No</x:v>
      </x:c>
      <x:c r="M109" s="13" t="str"/>
    </x:row>
    <x:row r="110" ht="58" customHeight="1">
      <x:c r="A110" s="10" t="str">
        <x:v>T07.04</x:v>
      </x:c>
      <x:c r="B110" s="10" t="str">
        <x:v>D07</x:v>
      </x:c>
      <x:c r="C110" s="10" t="str">
        <x:v>Non-cash expenses and non-cash income</x:v>
      </x:c>
      <x:c r="D110" s="10" t="str">
        <x:v>Core</x:v>
      </x:c>
      <x:c r="E110" s="10" t="str">
        <x:v>T04.05</x:v>
      </x:c>
      <x:c r="F110" s="10" t="str">
        <x:v>T07.03</x:v>
      </x:c>
      <x:c r="G110" s="11" t="n">
        <x:v>5</x:v>
      </x:c>
      <x:c r="H110" s="11" t="n">
        <x:v>0</x:v>
      </x:c>
      <x:c r="I110" s="10" t="str">
        <x:v>Trace a transaction</x:v>
      </x:c>
      <x:c r="J110" s="10" t="str">
        <x:v>Why might cash move differently from reported profit? Apply the question to non-cash expenses and non-cash income.</x:v>
      </x:c>
      <x:c r="K110" s="13" t="str">
        <x:v>Not authored</x:v>
      </x:c>
      <x:c r="L110" s="13" t="str">
        <x:v>No</x:v>
      </x:c>
      <x:c r="M110" s="13" t="str"/>
    </x:row>
    <x:row r="111" ht="58" customHeight="1">
      <x:c r="A111" s="9" t="str">
        <x:v>T07.05</x:v>
      </x:c>
      <x:c r="B111" s="9" t="str">
        <x:v>D07</x:v>
      </x:c>
      <x:c r="C111" s="9" t="str">
        <x:v>Working-capital adjustments</x:v>
      </x:c>
      <x:c r="D111" s="9" t="str">
        <x:v>Core</x:v>
      </x:c>
      <x:c r="E111" s="9" t="str">
        <x:v>T04.05</x:v>
      </x:c>
      <x:c r="F111" s="9" t="str">
        <x:v>T07.03</x:v>
      </x:c>
      <x:c r="G111" s="12" t="n">
        <x:v>3</x:v>
      </x:c>
      <x:c r="H111" s="12" t="n">
        <x:v>0</x:v>
      </x:c>
      <x:c r="I111" s="9" t="str">
        <x:v>Trace a transaction</x:v>
      </x:c>
      <x:c r="J111" s="9" t="str">
        <x:v>Why might cash move differently from reported profit? Apply the question to working-capital adjustments.</x:v>
      </x:c>
      <x:c r="K111" s="13" t="str">
        <x:v>Not authored</x:v>
      </x:c>
      <x:c r="L111" s="13" t="str">
        <x:v>No</x:v>
      </x:c>
      <x:c r="M111" s="13" t="str"/>
    </x:row>
    <x:row r="112" ht="58" customHeight="1">
      <x:c r="A112" s="10" t="str">
        <x:v>T07.06</x:v>
      </x:c>
      <x:c r="B112" s="10" t="str">
        <x:v>D07</x:v>
      </x:c>
      <x:c r="C112" s="10" t="str">
        <x:v>Capital expenditure and asset disposal proceeds</x:v>
      </x:c>
      <x:c r="D112" s="10" t="str">
        <x:v>Core</x:v>
      </x:c>
      <x:c r="E112" s="10" t="str">
        <x:v>T04.05</x:v>
      </x:c>
      <x:c r="F112" s="10" t="str">
        <x:v>T07.13</x:v>
      </x:c>
      <x:c r="G112" s="11" t="n">
        <x:v>5</x:v>
      </x:c>
      <x:c r="H112" s="11" t="n">
        <x:v>0</x:v>
      </x:c>
      <x:c r="I112" s="10" t="str">
        <x:v>Trace a transaction</x:v>
      </x:c>
      <x:c r="J112" s="10" t="str">
        <x:v>Why might cash move differently from reported profit? Apply the question to capital expenditure and asset disposal proceeds.</x:v>
      </x:c>
      <x:c r="K112" s="13" t="str">
        <x:v>Not authored</x:v>
      </x:c>
      <x:c r="L112" s="13" t="str">
        <x:v>No</x:v>
      </x:c>
      <x:c r="M112" s="13" t="str"/>
    </x:row>
    <x:row r="113" ht="58" customHeight="1">
      <x:c r="A113" s="9" t="str">
        <x:v>T07.07</x:v>
      </x:c>
      <x:c r="B113" s="9" t="str">
        <x:v>D07</x:v>
      </x:c>
      <x:c r="C113" s="9" t="str">
        <x:v>Acquisitions and investment transactions</x:v>
      </x:c>
      <x:c r="D113" s="9" t="str">
        <x:v>Core</x:v>
      </x:c>
      <x:c r="E113" s="9" t="str">
        <x:v>T04.05</x:v>
      </x:c>
      <x:c r="F113" s="9" t="str">
        <x:v>T07.06</x:v>
      </x:c>
      <x:c r="G113" s="12" t="n">
        <x:v>3</x:v>
      </x:c>
      <x:c r="H113" s="12" t="n">
        <x:v>0</x:v>
      </x:c>
      <x:c r="I113" s="9" t="str">
        <x:v>Trace a transaction</x:v>
      </x:c>
      <x:c r="J113" s="9" t="str">
        <x:v>Why might cash move differently from reported profit? Apply the question to acquisitions and investment transactions.</x:v>
      </x:c>
      <x:c r="K113" s="13" t="str">
        <x:v>Not authored</x:v>
      </x:c>
      <x:c r="L113" s="13" t="str">
        <x:v>No</x:v>
      </x:c>
      <x:c r="M113" s="13" t="str"/>
    </x:row>
    <x:row r="114" ht="58" customHeight="1">
      <x:c r="A114" s="10" t="str">
        <x:v>T07.08</x:v>
      </x:c>
      <x:c r="B114" s="10" t="str">
        <x:v>D07</x:v>
      </x:c>
      <x:c r="C114" s="10" t="str">
        <x:v>Debt issuance and repayment</x:v>
      </x:c>
      <x:c r="D114" s="10" t="str">
        <x:v>Core</x:v>
      </x:c>
      <x:c r="E114" s="10" t="str">
        <x:v>T04.05</x:v>
      </x:c>
      <x:c r="F114" s="10" t="str">
        <x:v>T07.13</x:v>
      </x:c>
      <x:c r="G114" s="11" t="n">
        <x:v>4</x:v>
      </x:c>
      <x:c r="H114" s="11" t="n">
        <x:v>0</x:v>
      </x:c>
      <x:c r="I114" s="10" t="str">
        <x:v>Trace a transaction</x:v>
      </x:c>
      <x:c r="J114" s="10" t="str">
        <x:v>Why might cash move differently from reported profit? Apply the question to debt issuance and repayment.</x:v>
      </x:c>
      <x:c r="K114" s="13" t="str">
        <x:v>Not authored</x:v>
      </x:c>
      <x:c r="L114" s="13" t="str">
        <x:v>No</x:v>
      </x:c>
      <x:c r="M114" s="13" t="str"/>
    </x:row>
    <x:row r="115" ht="58" customHeight="1">
      <x:c r="A115" s="9" t="str">
        <x:v>T07.09</x:v>
      </x:c>
      <x:c r="B115" s="9" t="str">
        <x:v>D07</x:v>
      </x:c>
      <x:c r="C115" s="9" t="str">
        <x:v>Equity issuance, buybacks, and dividends</x:v>
      </x:c>
      <x:c r="D115" s="9" t="str">
        <x:v>Core</x:v>
      </x:c>
      <x:c r="E115" s="9" t="str">
        <x:v>T04.05</x:v>
      </x:c>
      <x:c r="F115" s="9" t="str">
        <x:v>T07.13</x:v>
      </x:c>
      <x:c r="G115" s="12" t="n">
        <x:v>3</x:v>
      </x:c>
      <x:c r="H115" s="12" t="n">
        <x:v>0</x:v>
      </x:c>
      <x:c r="I115" s="9" t="str">
        <x:v>Trace a transaction</x:v>
      </x:c>
      <x:c r="J115" s="9" t="str">
        <x:v>Why might cash move differently from reported profit? Apply the question to equity issuance, buybacks, and dividends.</x:v>
      </x:c>
      <x:c r="K115" s="13" t="str">
        <x:v>Not authored</x:v>
      </x:c>
      <x:c r="L115" s="13" t="str">
        <x:v>No</x:v>
      </x:c>
      <x:c r="M115" s="13" t="str"/>
    </x:row>
    <x:row r="116" ht="58" customHeight="1">
      <x:c r="A116" s="10" t="str">
        <x:v>T07.10</x:v>
      </x:c>
      <x:c r="B116" s="10" t="str">
        <x:v>D07</x:v>
      </x:c>
      <x:c r="C116" s="10" t="str">
        <x:v>Interest and dividend classifications across reporting frameworks</x:v>
      </x:c>
      <x:c r="D116" s="10" t="str">
        <x:v>Core</x:v>
      </x:c>
      <x:c r="E116" s="10" t="str">
        <x:v>T04.05</x:v>
      </x:c>
      <x:c r="F116" s="10" t="str">
        <x:v>T07.01</x:v>
      </x:c>
      <x:c r="G116" s="11" t="n">
        <x:v>4</x:v>
      </x:c>
      <x:c r="H116" s="11" t="n">
        <x:v>1</x:v>
      </x:c>
      <x:c r="I116" s="10" t="str">
        <x:v>Trace a transaction</x:v>
      </x:c>
      <x:c r="J116" s="10" t="str">
        <x:v>Why might cash move differently from reported profit? Apply the question to interest and dividend classifications across reporting frameworks.</x:v>
      </x:c>
      <x:c r="K116" s="13" t="str">
        <x:v>Not authored</x:v>
      </x:c>
      <x:c r="L116" s="13" t="str">
        <x:v>No</x:v>
      </x:c>
      <x:c r="M116" s="13" t="str"/>
    </x:row>
    <x:row r="117" ht="58" customHeight="1">
      <x:c r="A117" s="9" t="str">
        <x:v>T07.11</x:v>
      </x:c>
      <x:c r="B117" s="9" t="str">
        <x:v>D07</x:v>
      </x:c>
      <x:c r="C117" s="9" t="str">
        <x:v>Foreign-exchange effects on cash</x:v>
      </x:c>
      <x:c r="D117" s="9" t="str">
        <x:v>Core</x:v>
      </x:c>
      <x:c r="E117" s="9" t="str">
        <x:v>T04.05</x:v>
      </x:c>
      <x:c r="F117" s="9" t="str">
        <x:v>T07.12</x:v>
      </x:c>
      <x:c r="G117" s="12" t="n">
        <x:v>3</x:v>
      </x:c>
      <x:c r="H117" s="12" t="n">
        <x:v>0</x:v>
      </x:c>
      <x:c r="I117" s="9" t="str">
        <x:v>Trace a transaction</x:v>
      </x:c>
      <x:c r="J117" s="9" t="str">
        <x:v>Why might cash move differently from reported profit? Apply the question to foreign-exchange effects on cash.</x:v>
      </x:c>
      <x:c r="K117" s="13" t="str">
        <x:v>Not authored</x:v>
      </x:c>
      <x:c r="L117" s="13" t="str">
        <x:v>No</x:v>
      </x:c>
      <x:c r="M117" s="13" t="str"/>
    </x:row>
    <x:row r="118" ht="58" customHeight="1">
      <x:c r="A118" s="10" t="str">
        <x:v>T07.12</x:v>
      </x:c>
      <x:c r="B118" s="10" t="str">
        <x:v>D07</x:v>
      </x:c>
      <x:c r="C118" s="10" t="str">
        <x:v>Restricted cash and cash reconciliation</x:v>
      </x:c>
      <x:c r="D118" s="10" t="str">
        <x:v>Core</x:v>
      </x:c>
      <x:c r="E118" s="10" t="str">
        <x:v>T04.05</x:v>
      </x:c>
      <x:c r="F118" s="10" t="str">
        <x:v>T07.01</x:v>
      </x:c>
      <x:c r="G118" s="11" t="n">
        <x:v>4</x:v>
      </x:c>
      <x:c r="H118" s="11" t="n">
        <x:v>0</x:v>
      </x:c>
      <x:c r="I118" s="10" t="str">
        <x:v>Trace a transaction</x:v>
      </x:c>
      <x:c r="J118" s="10" t="str">
        <x:v>Why might cash move differently from reported profit? Apply the question to restricted cash and cash reconciliation.</x:v>
      </x:c>
      <x:c r="K118" s="13" t="str">
        <x:v>Not authored</x:v>
      </x:c>
      <x:c r="L118" s="13" t="str">
        <x:v>No</x:v>
      </x:c>
      <x:c r="M118" s="13" t="str"/>
    </x:row>
    <x:row r="119" ht="58" customHeight="1">
      <x:c r="A119" s="9" t="str">
        <x:v>T07.13</x:v>
      </x:c>
      <x:c r="B119" s="9" t="str">
        <x:v>D07</x:v>
      </x:c>
      <x:c r="C119" s="9" t="str">
        <x:v>Free cash flow and its different definitions</x:v>
      </x:c>
      <x:c r="D119" s="9" t="str">
        <x:v>Core</x:v>
      </x:c>
      <x:c r="E119" s="9" t="str">
        <x:v>T04.05</x:v>
      </x:c>
      <x:c r="F119" s="9" t="str">
        <x:v>T07.03</x:v>
      </x:c>
      <x:c r="G119" s="12" t="n">
        <x:v>6</x:v>
      </x:c>
      <x:c r="H119" s="12" t="n">
        <x:v>0</x:v>
      </x:c>
      <x:c r="I119" s="9" t="str">
        <x:v>Trace a transaction</x:v>
      </x:c>
      <x:c r="J119" s="9" t="str">
        <x:v>Why might cash move differently from reported profit? Apply the question to free cash flow and its different definitions.</x:v>
      </x:c>
      <x:c r="K119" s="13" t="str">
        <x:v>Not authored</x:v>
      </x:c>
      <x:c r="L119" s="13" t="str">
        <x:v>No</x:v>
      </x:c>
      <x:c r="M119" s="13" t="str"/>
    </x:row>
    <x:row r="120" ht="58" customHeight="1">
      <x:c r="A120" s="10" t="str">
        <x:v>T07.14</x:v>
      </x:c>
      <x:c r="B120" s="10" t="str">
        <x:v>D07</x:v>
      </x:c>
      <x:c r="C120" s="10" t="str">
        <x:v>How transactions move through all three statements</x:v>
      </x:c>
      <x:c r="D120" s="10" t="str">
        <x:v>Core</x:v>
      </x:c>
      <x:c r="E120" s="10" t="str">
        <x:v>T04.05</x:v>
      </x:c>
      <x:c r="F120" s="10" t="str">
        <x:v>T07.03</x:v>
      </x:c>
      <x:c r="G120" s="11" t="n">
        <x:v>40</x:v>
      </x:c>
      <x:c r="H120" s="11" t="n">
        <x:v>3</x:v>
      </x:c>
      <x:c r="I120" s="10" t="str">
        <x:v>Trace a transaction</x:v>
      </x:c>
      <x:c r="J120" s="10" t="str">
        <x:v>Why might cash move differently from reported profit? Apply the question to how transactions move through all three statements.</x:v>
      </x:c>
      <x:c r="K120" s="13" t="str">
        <x:v>Not authored</x:v>
      </x:c>
      <x:c r="L120" s="13" t="str">
        <x:v>No</x:v>
      </x:c>
      <x:c r="M120" s="13" t="str"/>
    </x:row>
    <x:row r="121" ht="58" customHeight="1">
      <x:c r="A121" s="9" t="str">
        <x:v>T07.15</x:v>
      </x:c>
      <x:c r="B121" s="9" t="str">
        <x:v>D07</x:v>
      </x:c>
      <x:c r="C121" s="9" t="str">
        <x:v>Why profitable companies can run out of cash</x:v>
      </x:c>
      <x:c r="D121" s="9" t="str">
        <x:v>Core</x:v>
      </x:c>
      <x:c r="E121" s="9" t="str">
        <x:v>T04.05</x:v>
      </x:c>
      <x:c r="F121" s="9" t="str">
        <x:v>T07.03</x:v>
      </x:c>
      <x:c r="G121" s="12" t="n">
        <x:v>4</x:v>
      </x:c>
      <x:c r="H121" s="12" t="n">
        <x:v>1</x:v>
      </x:c>
      <x:c r="I121" s="9" t="str">
        <x:v>Trace a transaction</x:v>
      </x:c>
      <x:c r="J121" s="9" t="str">
        <x:v>Why might cash move differently from reported profit? Apply the question to why profitable companies can run out of cash.</x:v>
      </x:c>
      <x:c r="K121" s="13" t="str">
        <x:v>Not authored</x:v>
      </x:c>
      <x:c r="L121" s="13" t="str">
        <x:v>No</x:v>
      </x:c>
      <x:c r="M121" s="13" t="str"/>
    </x:row>
    <x:row r="122" ht="58" customHeight="1">
      <x:c r="A122" s="10" t="str">
        <x:v>T07.16</x:v>
      </x:c>
      <x:c r="B122" s="10" t="str">
        <x:v>D07</x:v>
      </x:c>
      <x:c r="C122" s="10" t="str">
        <x:v>Why cash-rich companies can report losses</x:v>
      </x:c>
      <x:c r="D122" s="10" t="str">
        <x:v>Core</x:v>
      </x:c>
      <x:c r="E122" s="10" t="str">
        <x:v>T04.05</x:v>
      </x:c>
      <x:c r="F122" s="10" t="str">
        <x:v>T07.04</x:v>
      </x:c>
      <x:c r="G122" s="11" t="n">
        <x:v>3</x:v>
      </x:c>
      <x:c r="H122" s="11" t="n">
        <x:v>0</x:v>
      </x:c>
      <x:c r="I122" s="10" t="str">
        <x:v>Trace a transaction</x:v>
      </x:c>
      <x:c r="J122" s="10" t="str">
        <x:v>Why might cash move differently from reported profit? Apply the question to why cash-rich companies can report losses.</x:v>
      </x:c>
      <x:c r="K122" s="13" t="str">
        <x:v>Not authored</x:v>
      </x:c>
      <x:c r="L122" s="13" t="str">
        <x:v>No</x:v>
      </x:c>
      <x:c r="M122" s="13" t="str"/>
    </x:row>
    <x:row r="123" ht="58" customHeight="1">
      <x:c r="A123" s="9" t="str">
        <x:v>T08.01</x:v>
      </x:c>
      <x:c r="B123" s="9" t="str">
        <x:v>D08</x:v>
      </x:c>
      <x:c r="C123" s="9" t="str">
        <x:v>Business combinations and purchase-price allocation</x:v>
      </x:c>
      <x:c r="D123" s="9" t="str">
        <x:v>Advanced</x:v>
      </x:c>
      <x:c r="E123" s="9" t="str">
        <x:v>T04.15</x:v>
      </x:c>
      <x:c r="F123" s="9" t="str">
        <x:v>T08.02</x:v>
      </x:c>
      <x:c r="G123" s="12" t="n">
        <x:v>9</x:v>
      </x:c>
      <x:c r="H123" s="12" t="n">
        <x:v>3</x:v>
      </x:c>
      <x:c r="I123" s="9" t="str">
        <x:v>Trace a transaction</x:v>
      </x:c>
      <x:c r="J123" s="9" t="str">
        <x:v>Would another accounting treatment change the result without changing the business? Apply the question to business combinations and purchase-price allocation.</x:v>
      </x:c>
      <x:c r="K123" s="13" t="str">
        <x:v>Not authored</x:v>
      </x:c>
      <x:c r="L123" s="13" t="str">
        <x:v>No</x:v>
      </x:c>
      <x:c r="M123" s="13" t="str"/>
    </x:row>
    <x:row r="124" ht="58" customHeight="1">
      <x:c r="A124" s="10" t="str">
        <x:v>T08.02</x:v>
      </x:c>
      <x:c r="B124" s="10" t="str">
        <x:v>D08</x:v>
      </x:c>
      <x:c r="C124" s="10" t="str">
        <x:v>Goodwill recognition and impairment testing</x:v>
      </x:c>
      <x:c r="D124" s="10" t="str">
        <x:v>Advanced</x:v>
      </x:c>
      <x:c r="E124" s="10" t="str">
        <x:v>T04.15, T08.01</x:v>
      </x:c>
      <x:c r="F124" s="10" t="str">
        <x:v>T08.01</x:v>
      </x:c>
      <x:c r="G124" s="11" t="n">
        <x:v>6</x:v>
      </x:c>
      <x:c r="H124" s="11" t="n">
        <x:v>1</x:v>
      </x:c>
      <x:c r="I124" s="10" t="str">
        <x:v>Trace a transaction</x:v>
      </x:c>
      <x:c r="J124" s="10" t="str">
        <x:v>Would another accounting treatment change the result without changing the business? Apply the question to goodwill recognition and impairment testing.</x:v>
      </x:c>
      <x:c r="K124" s="13" t="str">
        <x:v>Not authored</x:v>
      </x:c>
      <x:c r="L124" s="13" t="str">
        <x:v>No</x:v>
      </x:c>
      <x:c r="M124" s="13" t="str"/>
    </x:row>
    <x:row r="125" ht="58" customHeight="1">
      <x:c r="A125" s="9" t="str">
        <x:v>T08.03</x:v>
      </x:c>
      <x:c r="B125" s="9" t="str">
        <x:v>D08</x:v>
      </x:c>
      <x:c r="C125" s="9" t="str">
        <x:v>Subsidiaries, associates, and joint ventures</x:v>
      </x:c>
      <x:c r="D125" s="9" t="str">
        <x:v>Advanced</x:v>
      </x:c>
      <x:c r="E125" s="9" t="str">
        <x:v>T04.15</x:v>
      </x:c>
      <x:c r="F125" s="9" t="str">
        <x:v>T08.04</x:v>
      </x:c>
      <x:c r="G125" s="12" t="n">
        <x:v>7</x:v>
      </x:c>
      <x:c r="H125" s="12" t="n">
        <x:v>0</x:v>
      </x:c>
      <x:c r="I125" s="9" t="str">
        <x:v>Trace a transaction</x:v>
      </x:c>
      <x:c r="J125" s="9" t="str">
        <x:v>Would another accounting treatment change the result without changing the business? Apply the question to subsidiaries, associates, and joint ventures.</x:v>
      </x:c>
      <x:c r="K125" s="13" t="str">
        <x:v>Not authored</x:v>
      </x:c>
      <x:c r="L125" s="13" t="str">
        <x:v>No</x:v>
      </x:c>
      <x:c r="M125" s="13" t="str"/>
    </x:row>
    <x:row r="126" ht="58" customHeight="1">
      <x:c r="A126" s="10" t="str">
        <x:v>T08.04</x:v>
      </x:c>
      <x:c r="B126" s="10" t="str">
        <x:v>D08</x:v>
      </x:c>
      <x:c r="C126" s="10" t="str">
        <x:v>Consolidation and intercompany eliminations</x:v>
      </x:c>
      <x:c r="D126" s="10" t="str">
        <x:v>Advanced</x:v>
      </x:c>
      <x:c r="E126" s="10" t="str">
        <x:v>T04.15, T08.03</x:v>
      </x:c>
      <x:c r="F126" s="10" t="str">
        <x:v>T08.03</x:v>
      </x:c>
      <x:c r="G126" s="11" t="n">
        <x:v>9</x:v>
      </x:c>
      <x:c r="H126" s="11" t="n">
        <x:v>1</x:v>
      </x:c>
      <x:c r="I126" s="10" t="str">
        <x:v>Trace a transaction</x:v>
      </x:c>
      <x:c r="J126" s="10" t="str">
        <x:v>Would another accounting treatment change the result without changing the business? Apply the question to consolidation and intercompany eliminations.</x:v>
      </x:c>
      <x:c r="K126" s="13" t="str">
        <x:v>Not authored</x:v>
      </x:c>
      <x:c r="L126" s="13" t="str">
        <x:v>No</x:v>
      </x:c>
      <x:c r="M126" s="13" t="str"/>
    </x:row>
    <x:row r="127" ht="58" customHeight="1">
      <x:c r="A127" s="9" t="str">
        <x:v>T08.05</x:v>
      </x:c>
      <x:c r="B127" s="9" t="str">
        <x:v>D08</x:v>
      </x:c>
      <x:c r="C127" s="9" t="str">
        <x:v>Equity-method accounting</x:v>
      </x:c>
      <x:c r="D127" s="9" t="str">
        <x:v>Advanced</x:v>
      </x:c>
      <x:c r="E127" s="9" t="str">
        <x:v>T04.15, T08.03</x:v>
      </x:c>
      <x:c r="F127" s="9" t="str">
        <x:v>T08.03</x:v>
      </x:c>
      <x:c r="G127" s="12" t="n">
        <x:v>5</x:v>
      </x:c>
      <x:c r="H127" s="12" t="n">
        <x:v>1</x:v>
      </x:c>
      <x:c r="I127" s="9" t="str">
        <x:v>Trace a transaction</x:v>
      </x:c>
      <x:c r="J127" s="9" t="str">
        <x:v>Would another accounting treatment change the result without changing the business? Apply the question to equity-method accounting.</x:v>
      </x:c>
      <x:c r="K127" s="13" t="str">
        <x:v>Not authored</x:v>
      </x:c>
      <x:c r="L127" s="13" t="str">
        <x:v>No</x:v>
      </x:c>
      <x:c r="M127" s="13" t="str"/>
    </x:row>
    <x:row r="128" ht="58" customHeight="1">
      <x:c r="A128" s="10" t="str">
        <x:v>T08.06</x:v>
      </x:c>
      <x:c r="B128" s="10" t="str">
        <x:v>D08</x:v>
      </x:c>
      <x:c r="C128" s="10" t="str">
        <x:v>Lease accounting</x:v>
      </x:c>
      <x:c r="D128" s="10" t="str">
        <x:v>Advanced</x:v>
      </x:c>
      <x:c r="E128" s="10" t="str">
        <x:v>T04.15</x:v>
      </x:c>
      <x:c r="F128" s="10" t="str">
        <x:v>T08.07</x:v>
      </x:c>
      <x:c r="G128" s="11" t="n">
        <x:v>5</x:v>
      </x:c>
      <x:c r="H128" s="11" t="n">
        <x:v>2</x:v>
      </x:c>
      <x:c r="I128" s="10" t="str">
        <x:v>Trace a transaction</x:v>
      </x:c>
      <x:c r="J128" s="10" t="str">
        <x:v>Would another accounting treatment change the result without changing the business? Apply the question to lease accounting.</x:v>
      </x:c>
      <x:c r="K128" s="13" t="str">
        <x:v>Not authored</x:v>
      </x:c>
      <x:c r="L128" s="13" t="str">
        <x:v>No</x:v>
      </x:c>
      <x:c r="M128" s="13" t="str"/>
    </x:row>
    <x:row r="129" ht="58" customHeight="1">
      <x:c r="A129" s="9" t="str">
        <x:v>T08.07</x:v>
      </x:c>
      <x:c r="B129" s="9" t="str">
        <x:v>D08</x:v>
      </x:c>
      <x:c r="C129" s="9" t="str">
        <x:v>Financial instrument classification and measurement</x:v>
      </x:c>
      <x:c r="D129" s="9" t="str">
        <x:v>Advanced</x:v>
      </x:c>
      <x:c r="E129" s="9" t="str">
        <x:v>T04.15</x:v>
      </x:c>
      <x:c r="F129" s="9" t="str">
        <x:v>T08.08</x:v>
      </x:c>
      <x:c r="G129" s="12" t="n">
        <x:v>7</x:v>
      </x:c>
      <x:c r="H129" s="12" t="n">
        <x:v>0</x:v>
      </x:c>
      <x:c r="I129" s="9" t="str">
        <x:v>Trace a transaction</x:v>
      </x:c>
      <x:c r="J129" s="9" t="str">
        <x:v>Would another accounting treatment change the result without changing the business? Apply the question to financial instrument classification and measurement.</x:v>
      </x:c>
      <x:c r="K129" s="13" t="str">
        <x:v>Not authored</x:v>
      </x:c>
      <x:c r="L129" s="13" t="str">
        <x:v>No</x:v>
      </x:c>
      <x:c r="M129" s="13" t="str"/>
    </x:row>
    <x:row r="130" ht="58" customHeight="1">
      <x:c r="A130" s="10" t="str">
        <x:v>T08.08</x:v>
      </x:c>
      <x:c r="B130" s="10" t="str">
        <x:v>D08</x:v>
      </x:c>
      <x:c r="C130" s="10" t="str">
        <x:v>Hedge accounting</x:v>
      </x:c>
      <x:c r="D130" s="10" t="str">
        <x:v>Advanced</x:v>
      </x:c>
      <x:c r="E130" s="10" t="str">
        <x:v>T04.15, T21.17</x:v>
      </x:c>
      <x:c r="F130" s="10" t="str">
        <x:v>T08.07</x:v>
      </x:c>
      <x:c r="G130" s="11" t="n">
        <x:v>5</x:v>
      </x:c>
      <x:c r="H130" s="11" t="n">
        <x:v>0</x:v>
      </x:c>
      <x:c r="I130" s="10" t="str">
        <x:v>Trace a transaction</x:v>
      </x:c>
      <x:c r="J130" s="10" t="str">
        <x:v>Would another accounting treatment change the result without changing the business? Apply the question to hedge accounting.</x:v>
      </x:c>
      <x:c r="K130" s="13" t="str">
        <x:v>Not authored</x:v>
      </x:c>
      <x:c r="L130" s="13" t="str">
        <x:v>No</x:v>
      </x:c>
      <x:c r="M130" s="13" t="str"/>
    </x:row>
    <x:row r="131" ht="58" customHeight="1">
      <x:c r="A131" s="9" t="str">
        <x:v>T08.09</x:v>
      </x:c>
      <x:c r="B131" s="9" t="str">
        <x:v>D08</x:v>
      </x:c>
      <x:c r="C131" s="9" t="str">
        <x:v>Foreign-currency transactions and translation</x:v>
      </x:c>
      <x:c r="D131" s="9" t="str">
        <x:v>Advanced</x:v>
      </x:c>
      <x:c r="E131" s="9" t="str">
        <x:v>T04.15</x:v>
      </x:c>
      <x:c r="F131" s="9" t="str">
        <x:v>T08.07</x:v>
      </x:c>
      <x:c r="G131" s="12" t="n">
        <x:v>4</x:v>
      </x:c>
      <x:c r="H131" s="12" t="n">
        <x:v>1</x:v>
      </x:c>
      <x:c r="I131" s="9" t="str">
        <x:v>Trace a transaction</x:v>
      </x:c>
      <x:c r="J131" s="9" t="str">
        <x:v>Would another accounting treatment change the result without changing the business? Apply the question to foreign-currency transactions and translation.</x:v>
      </x:c>
      <x:c r="K131" s="13" t="str">
        <x:v>Not authored</x:v>
      </x:c>
      <x:c r="L131" s="13" t="str">
        <x:v>No</x:v>
      </x:c>
      <x:c r="M131" s="13" t="str"/>
    </x:row>
    <x:row r="132" ht="58" customHeight="1">
      <x:c r="A132" s="10" t="str">
        <x:v>T08.10</x:v>
      </x:c>
      <x:c r="B132" s="10" t="str">
        <x:v>D08</x:v>
      </x:c>
      <x:c r="C132" s="10" t="str">
        <x:v>Share-based compensation</x:v>
      </x:c>
      <x:c r="D132" s="10" t="str">
        <x:v>Advanced</x:v>
      </x:c>
      <x:c r="E132" s="10" t="str">
        <x:v>T04.15</x:v>
      </x:c>
      <x:c r="F132" s="10" t="str">
        <x:v>T08.04</x:v>
      </x:c>
      <x:c r="G132" s="11" t="n">
        <x:v>5</x:v>
      </x:c>
      <x:c r="H132" s="11" t="n">
        <x:v>2</x:v>
      </x:c>
      <x:c r="I132" s="10" t="str">
        <x:v>Trace a transaction</x:v>
      </x:c>
      <x:c r="J132" s="10" t="str">
        <x:v>Would another accounting treatment change the result without changing the business? Apply the question to share-based compensation.</x:v>
      </x:c>
      <x:c r="K132" s="13" t="str">
        <x:v>Not authored</x:v>
      </x:c>
      <x:c r="L132" s="13" t="str">
        <x:v>No</x:v>
      </x:c>
      <x:c r="M132" s="13" t="str"/>
    </x:row>
    <x:row r="133" ht="58" customHeight="1">
      <x:c r="A133" s="9" t="str">
        <x:v>T08.11</x:v>
      </x:c>
      <x:c r="B133" s="9" t="str">
        <x:v>D08</x:v>
      </x:c>
      <x:c r="C133" s="9" t="str">
        <x:v>Pension and post-employment accounting</x:v>
      </x:c>
      <x:c r="D133" s="9" t="str">
        <x:v>Advanced</x:v>
      </x:c>
      <x:c r="E133" s="9" t="str">
        <x:v>T04.15</x:v>
      </x:c>
      <x:c r="F133" s="9" t="str">
        <x:v>T08.12</x:v>
      </x:c>
      <x:c r="G133" s="12" t="n">
        <x:v>4</x:v>
      </x:c>
      <x:c r="H133" s="12" t="n">
        <x:v>0</x:v>
      </x:c>
      <x:c r="I133" s="9" t="str">
        <x:v>Trace a transaction</x:v>
      </x:c>
      <x:c r="J133" s="9" t="str">
        <x:v>Would another accounting treatment change the result without changing the business? Apply the question to pension and post-employment accounting.</x:v>
      </x:c>
      <x:c r="K133" s="13" t="str">
        <x:v>Not authored</x:v>
      </x:c>
      <x:c r="L133" s="13" t="str">
        <x:v>No</x:v>
      </x:c>
      <x:c r="M133" s="13" t="str"/>
    </x:row>
    <x:row r="134" ht="58" customHeight="1">
      <x:c r="A134" s="10" t="str">
        <x:v>T08.12</x:v>
      </x:c>
      <x:c r="B134" s="10" t="str">
        <x:v>D08</x:v>
      </x:c>
      <x:c r="C134" s="10" t="str">
        <x:v>Deferred tax and tax-loss carryforwards</x:v>
      </x:c>
      <x:c r="D134" s="10" t="str">
        <x:v>Advanced</x:v>
      </x:c>
      <x:c r="E134" s="10" t="str">
        <x:v>T04.15</x:v>
      </x:c>
      <x:c r="F134" s="10" t="str">
        <x:v>T08.11</x:v>
      </x:c>
      <x:c r="G134" s="11" t="n">
        <x:v>5</x:v>
      </x:c>
      <x:c r="H134" s="11" t="n">
        <x:v>1</x:v>
      </x:c>
      <x:c r="I134" s="10" t="str">
        <x:v>Trace a transaction</x:v>
      </x:c>
      <x:c r="J134" s="10" t="str">
        <x:v>Would another accounting treatment change the result without changing the business? Apply the question to deferred tax and tax-loss carryforwards.</x:v>
      </x:c>
      <x:c r="K134" s="13" t="str">
        <x:v>Not authored</x:v>
      </x:c>
      <x:c r="L134" s="13" t="str">
        <x:v>No</x:v>
      </x:c>
      <x:c r="M134" s="13" t="str"/>
    </x:row>
    <x:row r="135" ht="58" customHeight="1">
      <x:c r="A135" s="9" t="str">
        <x:v>T08.13</x:v>
      </x:c>
      <x:c r="B135" s="9" t="str">
        <x:v>D08</x:v>
      </x:c>
      <x:c r="C135" s="9" t="str">
        <x:v>Construction and long-term contract accounting</x:v>
      </x:c>
      <x:c r="D135" s="9" t="str">
        <x:v>Advanced</x:v>
      </x:c>
      <x:c r="E135" s="9" t="str">
        <x:v>T04.15</x:v>
      </x:c>
      <x:c r="F135" s="9" t="str">
        <x:v>T08.04</x:v>
      </x:c>
      <x:c r="G135" s="12" t="n">
        <x:v>3</x:v>
      </x:c>
      <x:c r="H135" s="12" t="n">
        <x:v>0</x:v>
      </x:c>
      <x:c r="I135" s="9" t="str">
        <x:v>Trace a transaction</x:v>
      </x:c>
      <x:c r="J135" s="9" t="str">
        <x:v>Would another accounting treatment change the result without changing the business? Apply the question to construction and long-term contract accounting.</x:v>
      </x:c>
      <x:c r="K135" s="13" t="str">
        <x:v>Not authored</x:v>
      </x:c>
      <x:c r="L135" s="13" t="str">
        <x:v>No</x:v>
      </x:c>
      <x:c r="M135" s="13" t="str"/>
    </x:row>
    <x:row r="136" ht="58" customHeight="1">
      <x:c r="A136" s="10" t="str">
        <x:v>T08.14</x:v>
      </x:c>
      <x:c r="B136" s="10" t="str">
        <x:v>D08</x:v>
      </x:c>
      <x:c r="C136" s="10" t="str">
        <x:v>Securitisation and derecognition</x:v>
      </x:c>
      <x:c r="D136" s="10" t="str">
        <x:v>Advanced</x:v>
      </x:c>
      <x:c r="E136" s="10" t="str">
        <x:v>T04.15</x:v>
      </x:c>
      <x:c r="F136" s="10" t="str">
        <x:v>T08.07</x:v>
      </x:c>
      <x:c r="G136" s="11" t="n">
        <x:v>4</x:v>
      </x:c>
      <x:c r="H136" s="11" t="n">
        <x:v>1</x:v>
      </x:c>
      <x:c r="I136" s="10" t="str">
        <x:v>Trace a transaction</x:v>
      </x:c>
      <x:c r="J136" s="10" t="str">
        <x:v>Would another accounting treatment change the result without changing the business? Apply the question to securitisation and derecognition.</x:v>
      </x:c>
      <x:c r="K136" s="13" t="str">
        <x:v>Not authored</x:v>
      </x:c>
      <x:c r="L136" s="13" t="str">
        <x:v>No</x:v>
      </x:c>
      <x:c r="M136" s="13" t="str"/>
    </x:row>
    <x:row r="137" ht="58" customHeight="1">
      <x:c r="A137" s="9" t="str">
        <x:v>T08.15</x:v>
      </x:c>
      <x:c r="B137" s="9" t="str">
        <x:v>D08</x:v>
      </x:c>
      <x:c r="C137" s="9" t="str">
        <x:v>Related-party transactions</x:v>
      </x:c>
      <x:c r="D137" s="9" t="str">
        <x:v>Advanced</x:v>
      </x:c>
      <x:c r="E137" s="9" t="str">
        <x:v>T04.15</x:v>
      </x:c>
      <x:c r="F137" s="9" t="str">
        <x:v>T08.04</x:v>
      </x:c>
      <x:c r="G137" s="12" t="n">
        <x:v>3</x:v>
      </x:c>
      <x:c r="H137" s="12" t="n">
        <x:v>0</x:v>
      </x:c>
      <x:c r="I137" s="9" t="str">
        <x:v>Trace a transaction</x:v>
      </x:c>
      <x:c r="J137" s="9" t="str">
        <x:v>Would another accounting treatment change the result without changing the business? Apply the question to related-party transactions.</x:v>
      </x:c>
      <x:c r="K137" s="13" t="str">
        <x:v>Not authored</x:v>
      </x:c>
      <x:c r="L137" s="13" t="str">
        <x:v>No</x:v>
      </x:c>
      <x:c r="M137" s="13" t="str"/>
    </x:row>
    <x:row r="138" ht="58" customHeight="1">
      <x:c r="A138" s="10" t="str">
        <x:v>T08.16</x:v>
      </x:c>
      <x:c r="B138" s="10" t="str">
        <x:v>D08</x:v>
      </x:c>
      <x:c r="C138" s="10" t="str">
        <x:v>Accounting for restructuring, disposals, and discontinued operations</x:v>
      </x:c>
      <x:c r="D138" s="10" t="str">
        <x:v>Advanced</x:v>
      </x:c>
      <x:c r="E138" s="10" t="str">
        <x:v>T04.15</x:v>
      </x:c>
      <x:c r="F138" s="10" t="str">
        <x:v>T08.01</x:v>
      </x:c>
      <x:c r="G138" s="11" t="n">
        <x:v>3</x:v>
      </x:c>
      <x:c r="H138" s="11" t="n">
        <x:v>0</x:v>
      </x:c>
      <x:c r="I138" s="10" t="str">
        <x:v>Trace a transaction</x:v>
      </x:c>
      <x:c r="J138" s="10" t="str">
        <x:v>Would another accounting treatment change the result without changing the business? Apply the question to accounting for restructuring, disposals, and discontinued operations.</x:v>
      </x:c>
      <x:c r="K138" s="13" t="str">
        <x:v>Not authored</x:v>
      </x:c>
      <x:c r="L138" s="13" t="str">
        <x:v>No</x:v>
      </x:c>
      <x:c r="M138" s="13" t="str"/>
    </x:row>
    <x:row r="139" ht="58" customHeight="1">
      <x:c r="A139" s="9" t="str">
        <x:v>T09.01</x:v>
      </x:c>
      <x:c r="B139" s="9" t="str">
        <x:v>D09</x:v>
      </x:c>
      <x:c r="C139" s="9" t="str">
        <x:v>Common-size statements</x:v>
      </x:c>
      <x:c r="D139" s="9" t="str">
        <x:v>Core</x:v>
      </x:c>
      <x:c r="E139" s="9" t="str">
        <x:v>T02.02</x:v>
      </x:c>
      <x:c r="F139" s="9" t="str">
        <x:v>T09.02</x:v>
      </x:c>
      <x:c r="G139" s="12" t="n">
        <x:v>4</x:v>
      </x:c>
      <x:c r="H139" s="12" t="n">
        <x:v>0</x:v>
      </x:c>
      <x:c r="I139" s="9" t="str">
        <x:v>Inspect a calculation</x:v>
      </x:c>
      <x:c r="J139" s="9" t="str">
        <x:v>Could this ratio improve while the underlying business becomes weaker? Apply the question to common-size statements.</x:v>
      </x:c>
      <x:c r="K139" s="13" t="str">
        <x:v>Not authored</x:v>
      </x:c>
      <x:c r="L139" s="13" t="str">
        <x:v>No</x:v>
      </x:c>
      <x:c r="M139" s="13" t="str"/>
    </x:row>
    <x:row r="140" ht="58" customHeight="1">
      <x:c r="A140" s="10" t="str">
        <x:v>T09.02</x:v>
      </x:c>
      <x:c r="B140" s="10" t="str">
        <x:v>D09</x:v>
      </x:c>
      <x:c r="C140" s="10" t="str">
        <x:v>Horizontal and vertical analysis</x:v>
      </x:c>
      <x:c r="D140" s="10" t="str">
        <x:v>Core</x:v>
      </x:c>
      <x:c r="E140" s="10" t="str">
        <x:v>T02.02</x:v>
      </x:c>
      <x:c r="F140" s="10" t="str">
        <x:v>T09.01</x:v>
      </x:c>
      <x:c r="G140" s="11" t="n">
        <x:v>4</x:v>
      </x:c>
      <x:c r="H140" s="11" t="n">
        <x:v>0</x:v>
      </x:c>
      <x:c r="I140" s="10" t="str">
        <x:v>Inspect a calculation</x:v>
      </x:c>
      <x:c r="J140" s="10" t="str">
        <x:v>Could this ratio improve while the underlying business becomes weaker? Apply the question to horizontal and vertical analysis.</x:v>
      </x:c>
      <x:c r="K140" s="13" t="str">
        <x:v>Not authored</x:v>
      </x:c>
      <x:c r="L140" s="13" t="str">
        <x:v>No</x:v>
      </x:c>
      <x:c r="M140" s="13" t="str"/>
    </x:row>
    <x:row r="141" ht="58" customHeight="1">
      <x:c r="A141" s="9" t="str">
        <x:v>T09.03</x:v>
      </x:c>
      <x:c r="B141" s="9" t="str">
        <x:v>D09</x:v>
      </x:c>
      <x:c r="C141" s="9" t="str">
        <x:v>Growth analysis and trend analysis</x:v>
      </x:c>
      <x:c r="D141" s="9" t="str">
        <x:v>Core</x:v>
      </x:c>
      <x:c r="E141" s="9" t="str">
        <x:v>T02.02</x:v>
      </x:c>
      <x:c r="F141" s="9" t="str">
        <x:v>T09.17</x:v>
      </x:c>
      <x:c r="G141" s="12" t="n">
        <x:v>4</x:v>
      </x:c>
      <x:c r="H141" s="12" t="n">
        <x:v>0</x:v>
      </x:c>
      <x:c r="I141" s="9" t="str">
        <x:v>Inspect a calculation</x:v>
      </x:c>
      <x:c r="J141" s="9" t="str">
        <x:v>Could this ratio improve while the underlying business becomes weaker? Apply the question to growth analysis and trend analysis.</x:v>
      </x:c>
      <x:c r="K141" s="13" t="str">
        <x:v>Not authored</x:v>
      </x:c>
      <x:c r="L141" s="13" t="str">
        <x:v>No</x:v>
      </x:c>
      <x:c r="M141" s="13" t="str"/>
    </x:row>
    <x:row r="142" ht="58" customHeight="1">
      <x:c r="A142" s="10" t="str">
        <x:v>T09.04</x:v>
      </x:c>
      <x:c r="B142" s="10" t="str">
        <x:v>D09</x:v>
      </x:c>
      <x:c r="C142" s="10" t="str">
        <x:v>Liquidity ratios</x:v>
      </x:c>
      <x:c r="D142" s="10" t="str">
        <x:v>Core</x:v>
      </x:c>
      <x:c r="E142" s="10" t="str">
        <x:v>T02.02</x:v>
      </x:c>
      <x:c r="F142" s="10" t="str">
        <x:v>T09.07</x:v>
      </x:c>
      <x:c r="G142" s="11" t="n">
        <x:v>6</x:v>
      </x:c>
      <x:c r="H142" s="11" t="n">
        <x:v>1</x:v>
      </x:c>
      <x:c r="I142" s="10" t="str">
        <x:v>Inspect a calculation</x:v>
      </x:c>
      <x:c r="J142" s="10" t="str">
        <x:v>Could this ratio improve while the underlying business becomes weaker? Apply the question to liquidity ratios.</x:v>
      </x:c>
      <x:c r="K142" s="13" t="str">
        <x:v>Not authored</x:v>
      </x:c>
      <x:c r="L142" s="13" t="str">
        <x:v>No</x:v>
      </x:c>
      <x:c r="M142" s="13" t="str"/>
    </x:row>
    <x:row r="143" ht="58" customHeight="1">
      <x:c r="A143" s="9" t="str">
        <x:v>T09.05</x:v>
      </x:c>
      <x:c r="B143" s="9" t="str">
        <x:v>D09</x:v>
      </x:c>
      <x:c r="C143" s="9" t="str">
        <x:v>Profitability and margin ratios</x:v>
      </x:c>
      <x:c r="D143" s="9" t="str">
        <x:v>Core</x:v>
      </x:c>
      <x:c r="E143" s="9" t="str">
        <x:v>T02.02</x:v>
      </x:c>
      <x:c r="F143" s="9" t="str">
        <x:v>T09.08</x:v>
      </x:c>
      <x:c r="G143" s="12" t="n">
        <x:v>5</x:v>
      </x:c>
      <x:c r="H143" s="12" t="n">
        <x:v>2</x:v>
      </x:c>
      <x:c r="I143" s="9" t="str">
        <x:v>Inspect a calculation</x:v>
      </x:c>
      <x:c r="J143" s="9" t="str">
        <x:v>Could this ratio improve while the underlying business becomes weaker? Apply the question to profitability and margin ratios.</x:v>
      </x:c>
      <x:c r="K143" s="13" t="str">
        <x:v>Not authored</x:v>
      </x:c>
      <x:c r="L143" s="13" t="str">
        <x:v>No</x:v>
      </x:c>
      <x:c r="M143" s="13" t="str"/>
    </x:row>
    <x:row r="144" ht="58" customHeight="1">
      <x:c r="A144" s="10" t="str">
        <x:v>T09.06</x:v>
      </x:c>
      <x:c r="B144" s="10" t="str">
        <x:v>D09</x:v>
      </x:c>
      <x:c r="C144" s="10" t="str">
        <x:v>Efficiency and asset-turnover ratios</x:v>
      </x:c>
      <x:c r="D144" s="10" t="str">
        <x:v>Core</x:v>
      </x:c>
      <x:c r="E144" s="10" t="str">
        <x:v>T02.02</x:v>
      </x:c>
      <x:c r="F144" s="10" t="str">
        <x:v>T09.08</x:v>
      </x:c>
      <x:c r="G144" s="11" t="n">
        <x:v>4</x:v>
      </x:c>
      <x:c r="H144" s="11" t="n">
        <x:v>1</x:v>
      </x:c>
      <x:c r="I144" s="10" t="str">
        <x:v>Inspect a calculation</x:v>
      </x:c>
      <x:c r="J144" s="10" t="str">
        <x:v>Could this ratio improve while the underlying business becomes weaker? Apply the question to efficiency and asset-turnover ratios.</x:v>
      </x:c>
      <x:c r="K144" s="13" t="str">
        <x:v>Not authored</x:v>
      </x:c>
      <x:c r="L144" s="13" t="str">
        <x:v>No</x:v>
      </x:c>
      <x:c r="M144" s="13" t="str"/>
    </x:row>
    <x:row r="145" ht="58" customHeight="1">
      <x:c r="A145" s="9" t="str">
        <x:v>T09.07</x:v>
      </x:c>
      <x:c r="B145" s="9" t="str">
        <x:v>D09</x:v>
      </x:c>
      <x:c r="C145" s="9" t="str">
        <x:v>Leverage, coverage, and solvency ratios</x:v>
      </x:c>
      <x:c r="D145" s="9" t="str">
        <x:v>Core</x:v>
      </x:c>
      <x:c r="E145" s="9" t="str">
        <x:v>T02.02</x:v>
      </x:c>
      <x:c r="F145" s="9" t="str">
        <x:v>T09.04</x:v>
      </x:c>
      <x:c r="G145" s="12" t="n">
        <x:v>7</x:v>
      </x:c>
      <x:c r="H145" s="12" t="n">
        <x:v>2</x:v>
      </x:c>
      <x:c r="I145" s="9" t="str">
        <x:v>Inspect a calculation</x:v>
      </x:c>
      <x:c r="J145" s="9" t="str">
        <x:v>Could this ratio improve while the underlying business becomes weaker? Apply the question to leverage, coverage, and solvency ratios.</x:v>
      </x:c>
      <x:c r="K145" s="13" t="str">
        <x:v>Not authored</x:v>
      </x:c>
      <x:c r="L145" s="13" t="str">
        <x:v>No</x:v>
      </x:c>
      <x:c r="M145" s="13" t="str"/>
    </x:row>
    <x:row r="146" ht="58" customHeight="1">
      <x:c r="A146" s="10" t="str">
        <x:v>T09.08</x:v>
      </x:c>
      <x:c r="B146" s="10" t="str">
        <x:v>D09</x:v>
      </x:c>
      <x:c r="C146" s="10" t="str">
        <x:v>ROA, ROE, ROCE, and ROIC</x:v>
      </x:c>
      <x:c r="D146" s="10" t="str">
        <x:v>Core</x:v>
      </x:c>
      <x:c r="E146" s="10" t="str">
        <x:v>T02.02</x:v>
      </x:c>
      <x:c r="F146" s="10" t="str">
        <x:v>T09.09</x:v>
      </x:c>
      <x:c r="G146" s="11" t="n">
        <x:v>12</x:v>
      </x:c>
      <x:c r="H146" s="11" t="n">
        <x:v>1</x:v>
      </x:c>
      <x:c r="I146" s="10" t="str">
        <x:v>Inspect a calculation</x:v>
      </x:c>
      <x:c r="J146" s="10" t="str">
        <x:v>Could this ratio improve while the underlying business becomes weaker? Apply the question to roa, roe, roce, and roic.</x:v>
      </x:c>
      <x:c r="K146" s="13" t="str">
        <x:v>Not authored</x:v>
      </x:c>
      <x:c r="L146" s="13" t="str">
        <x:v>No</x:v>
      </x:c>
      <x:c r="M146" s="13" t="str"/>
    </x:row>
    <x:row r="147" ht="58" customHeight="1">
      <x:c r="A147" s="9" t="str">
        <x:v>T09.09</x:v>
      </x:c>
      <x:c r="B147" s="9" t="str">
        <x:v>D09</x:v>
      </x:c>
      <x:c r="C147" s="9" t="str">
        <x:v>DuPont analysis</x:v>
      </x:c>
      <x:c r="D147" s="9" t="str">
        <x:v>Core</x:v>
      </x:c>
      <x:c r="E147" s="9" t="str">
        <x:v>T02.02, T09.08</x:v>
      </x:c>
      <x:c r="F147" s="9" t="str">
        <x:v>T09.08</x:v>
      </x:c>
      <x:c r="G147" s="12" t="n">
        <x:v>6</x:v>
      </x:c>
      <x:c r="H147" s="12" t="n">
        <x:v>1</x:v>
      </x:c>
      <x:c r="I147" s="9" t="str">
        <x:v>Inspect a calculation</x:v>
      </x:c>
      <x:c r="J147" s="9" t="str">
        <x:v>Could this ratio improve while the underlying business becomes weaker? Apply the question to dupont analysis.</x:v>
      </x:c>
      <x:c r="K147" s="13" t="str">
        <x:v>Not authored</x:v>
      </x:c>
      <x:c r="L147" s="13" t="str">
        <x:v>No</x:v>
      </x:c>
      <x:c r="M147" s="13" t="str"/>
    </x:row>
    <x:row r="148" ht="58" customHeight="1">
      <x:c r="A148" s="10" t="str">
        <x:v>T09.10</x:v>
      </x:c>
      <x:c r="B148" s="10" t="str">
        <x:v>D09</x:v>
      </x:c>
      <x:c r="C148" s="10" t="str">
        <x:v>Cash conversion and earnings-to-cash conversion</x:v>
      </x:c>
      <x:c r="D148" s="10" t="str">
        <x:v>Core</x:v>
      </x:c>
      <x:c r="E148" s="10" t="str">
        <x:v>T02.02</x:v>
      </x:c>
      <x:c r="F148" s="10" t="str">
        <x:v>T09.04</x:v>
      </x:c>
      <x:c r="G148" s="11" t="n">
        <x:v>3</x:v>
      </x:c>
      <x:c r="H148" s="11" t="n">
        <x:v>0</x:v>
      </x:c>
      <x:c r="I148" s="10" t="str">
        <x:v>Inspect a calculation</x:v>
      </x:c>
      <x:c r="J148" s="10" t="str">
        <x:v>Could this ratio improve while the underlying business becomes weaker? Apply the question to cash conversion and earnings-to-cash conversion.</x:v>
      </x:c>
      <x:c r="K148" s="13" t="str">
        <x:v>Not authored</x:v>
      </x:c>
      <x:c r="L148" s="13" t="str">
        <x:v>No</x:v>
      </x:c>
      <x:c r="M148" s="13" t="str"/>
    </x:row>
    <x:row r="149" ht="58" customHeight="1">
      <x:c r="A149" s="9" t="str">
        <x:v>T09.11</x:v>
      </x:c>
      <x:c r="B149" s="9" t="str">
        <x:v>D09</x:v>
      </x:c>
      <x:c r="C149" s="9" t="str">
        <x:v>Operating leverage and financial leverage</x:v>
      </x:c>
      <x:c r="D149" s="9" t="str">
        <x:v>Core</x:v>
      </x:c>
      <x:c r="E149" s="9" t="str">
        <x:v>T02.02</x:v>
      </x:c>
      <x:c r="F149" s="9" t="str">
        <x:v>T09.07</x:v>
      </x:c>
      <x:c r="G149" s="12" t="n">
        <x:v>4</x:v>
      </x:c>
      <x:c r="H149" s="12" t="n">
        <x:v>1</x:v>
      </x:c>
      <x:c r="I149" s="9" t="str">
        <x:v>Inspect a calculation</x:v>
      </x:c>
      <x:c r="J149" s="9" t="str">
        <x:v>Could this ratio improve while the underlying business becomes weaker? Apply the question to operating leverage and financial leverage.</x:v>
      </x:c>
      <x:c r="K149" s="13" t="str">
        <x:v>Not authored</x:v>
      </x:c>
      <x:c r="L149" s="13" t="str">
        <x:v>No</x:v>
      </x:c>
      <x:c r="M149" s="13" t="str"/>
    </x:row>
    <x:row r="150" ht="58" customHeight="1">
      <x:c r="A150" s="10" t="str">
        <x:v>T09.12</x:v>
      </x:c>
      <x:c r="B150" s="10" t="str">
        <x:v>D09</x:v>
      </x:c>
      <x:c r="C150" s="10" t="str">
        <x:v>Sustainable growth and internal growth</x:v>
      </x:c>
      <x:c r="D150" s="10" t="str">
        <x:v>Core</x:v>
      </x:c>
      <x:c r="E150" s="10" t="str">
        <x:v>T02.02, T09.08</x:v>
      </x:c>
      <x:c r="F150" s="10" t="str">
        <x:v>T09.13</x:v>
      </x:c>
      <x:c r="G150" s="11" t="n">
        <x:v>5</x:v>
      </x:c>
      <x:c r="H150" s="11" t="n">
        <x:v>1</x:v>
      </x:c>
      <x:c r="I150" s="10" t="str">
        <x:v>Inspect a calculation</x:v>
      </x:c>
      <x:c r="J150" s="10" t="str">
        <x:v>Could this ratio improve while the underlying business becomes weaker? Apply the question to sustainable growth and internal growth.</x:v>
      </x:c>
      <x:c r="K150" s="13" t="str">
        <x:v>Not authored</x:v>
      </x:c>
      <x:c r="L150" s="13" t="str">
        <x:v>No</x:v>
      </x:c>
      <x:c r="M150" s="13" t="str"/>
    </x:row>
    <x:row r="151" ht="58" customHeight="1">
      <x:c r="A151" s="9" t="str">
        <x:v>T09.13</x:v>
      </x:c>
      <x:c r="B151" s="9" t="str">
        <x:v>D09</x:v>
      </x:c>
      <x:c r="C151" s="9" t="str">
        <x:v>Incremental returns on capital</x:v>
      </x:c>
      <x:c r="D151" s="9" t="str">
        <x:v>Core</x:v>
      </x:c>
      <x:c r="E151" s="9" t="str">
        <x:v>T02.02, T09.08</x:v>
      </x:c>
      <x:c r="F151" s="9" t="str">
        <x:v>T09.08</x:v>
      </x:c>
      <x:c r="G151" s="12" t="n">
        <x:v>5</x:v>
      </x:c>
      <x:c r="H151" s="12" t="n">
        <x:v>0</x:v>
      </x:c>
      <x:c r="I151" s="9" t="str">
        <x:v>Inspect a calculation</x:v>
      </x:c>
      <x:c r="J151" s="9" t="str">
        <x:v>Could this ratio improve while the underlying business becomes weaker? Apply the question to incremental returns on capital.</x:v>
      </x:c>
      <x:c r="K151" s="13" t="str">
        <x:v>Not authored</x:v>
      </x:c>
      <x:c r="L151" s="13" t="str">
        <x:v>No</x:v>
      </x:c>
      <x:c r="M151" s="13" t="str"/>
    </x:row>
    <x:row r="152" ht="58" customHeight="1">
      <x:c r="A152" s="10" t="str">
        <x:v>T09.14</x:v>
      </x:c>
      <x:c r="B152" s="10" t="str">
        <x:v>D09</x:v>
      </x:c>
      <x:c r="C152" s="10" t="str">
        <x:v>Segment analysis</x:v>
      </x:c>
      <x:c r="D152" s="10" t="str">
        <x:v>Core</x:v>
      </x:c>
      <x:c r="E152" s="10" t="str">
        <x:v>T02.02</x:v>
      </x:c>
      <x:c r="F152" s="10" t="str">
        <x:v>T09.15</x:v>
      </x:c>
      <x:c r="G152" s="11" t="n">
        <x:v>4</x:v>
      </x:c>
      <x:c r="H152" s="11" t="n">
        <x:v>0</x:v>
      </x:c>
      <x:c r="I152" s="10" t="str">
        <x:v>Inspect a calculation</x:v>
      </x:c>
      <x:c r="J152" s="10" t="str">
        <x:v>Could this ratio improve while the underlying business becomes weaker? Apply the question to segment analysis.</x:v>
      </x:c>
      <x:c r="K152" s="13" t="str">
        <x:v>Not authored</x:v>
      </x:c>
      <x:c r="L152" s="13" t="str">
        <x:v>No</x:v>
      </x:c>
      <x:c r="M152" s="13" t="str"/>
    </x:row>
    <x:row r="153" ht="58" customHeight="1">
      <x:c r="A153" s="9" t="str">
        <x:v>T09.15</x:v>
      </x:c>
      <x:c r="B153" s="9" t="str">
        <x:v>D09</x:v>
      </x:c>
      <x:c r="C153" s="9" t="str">
        <x:v>Peer benchmarking and industry-specific ratios</x:v>
      </x:c>
      <x:c r="D153" s="9" t="str">
        <x:v>Core</x:v>
      </x:c>
      <x:c r="E153" s="9" t="str">
        <x:v>T02.02</x:v>
      </x:c>
      <x:c r="F153" s="9" t="str">
        <x:v>T09.14</x:v>
      </x:c>
      <x:c r="G153" s="12" t="n">
        <x:v>27</x:v>
      </x:c>
      <x:c r="H153" s="12" t="n">
        <x:v>1</x:v>
      </x:c>
      <x:c r="I153" s="9" t="str">
        <x:v>Inspect a calculation</x:v>
      </x:c>
      <x:c r="J153" s="9" t="str">
        <x:v>Could this ratio improve while the underlying business becomes weaker? Apply the question to peer benchmarking and industry-specific ratios.</x:v>
      </x:c>
      <x:c r="K153" s="13" t="str">
        <x:v>Not authored</x:v>
      </x:c>
      <x:c r="L153" s="13" t="str">
        <x:v>No</x:v>
      </x:c>
      <x:c r="M153" s="13" t="str"/>
    </x:row>
    <x:row r="154" ht="58" customHeight="1">
      <x:c r="A154" s="10" t="str">
        <x:v>T09.16</x:v>
      </x:c>
      <x:c r="B154" s="10" t="str">
        <x:v>D09</x:v>
      </x:c>
      <x:c r="C154" s="10" t="str">
        <x:v>Normalising financial statements</x:v>
      </x:c>
      <x:c r="D154" s="10" t="str">
        <x:v>Core</x:v>
      </x:c>
      <x:c r="E154" s="10" t="str">
        <x:v>T02.02</x:v>
      </x:c>
      <x:c r="F154" s="10" t="str">
        <x:v>T09.18</x:v>
      </x:c>
      <x:c r="G154" s="11" t="n">
        <x:v>5</x:v>
      </x:c>
      <x:c r="H154" s="11" t="n">
        <x:v>1</x:v>
      </x:c>
      <x:c r="I154" s="10" t="str">
        <x:v>Inspect a calculation</x:v>
      </x:c>
      <x:c r="J154" s="10" t="str">
        <x:v>Could this ratio improve while the underlying business becomes weaker? Apply the question to normalising financial statements.</x:v>
      </x:c>
      <x:c r="K154" s="13" t="str">
        <x:v>Not authored</x:v>
      </x:c>
      <x:c r="L154" s="13" t="str">
        <x:v>No</x:v>
      </x:c>
      <x:c r="M154" s="13" t="str"/>
    </x:row>
    <x:row r="155" ht="58" customHeight="1">
      <x:c r="A155" s="9" t="str">
        <x:v>T09.17</x:v>
      </x:c>
      <x:c r="B155" s="9" t="str">
        <x:v>D09</x:v>
      </x:c>
      <x:c r="C155" s="9" t="str">
        <x:v>Seasonality, cyclicality, and base effects</x:v>
      </x:c>
      <x:c r="D155" s="9" t="str">
        <x:v>Core</x:v>
      </x:c>
      <x:c r="E155" s="9" t="str">
        <x:v>T02.02</x:v>
      </x:c>
      <x:c r="F155" s="9" t="str">
        <x:v>T09.03</x:v>
      </x:c>
      <x:c r="G155" s="12" t="n">
        <x:v>6</x:v>
      </x:c>
      <x:c r="H155" s="12" t="n">
        <x:v>2</x:v>
      </x:c>
      <x:c r="I155" s="9" t="str">
        <x:v>Inspect a calculation</x:v>
      </x:c>
      <x:c r="J155" s="9" t="str">
        <x:v>Could this ratio improve while the underlying business becomes weaker? Apply the question to seasonality, cyclicality, and base effects.</x:v>
      </x:c>
      <x:c r="K155" s="13" t="str">
        <x:v>Not authored</x:v>
      </x:c>
      <x:c r="L155" s="13" t="str">
        <x:v>No</x:v>
      </x:c>
      <x:c r="M155" s="13" t="str"/>
    </x:row>
    <x:row r="156" ht="58" customHeight="1">
      <x:c r="A156" s="10" t="str">
        <x:v>T09.18</x:v>
      </x:c>
      <x:c r="B156" s="10" t="str">
        <x:v>D09</x:v>
      </x:c>
      <x:c r="C156" s="10" t="str">
        <x:v>Reconciling reported, adjusted, and underlying performance</x:v>
      </x:c>
      <x:c r="D156" s="10" t="str">
        <x:v>Core</x:v>
      </x:c>
      <x:c r="E156" s="10" t="str">
        <x:v>T02.02</x:v>
      </x:c>
      <x:c r="F156" s="10" t="str">
        <x:v>T09.16</x:v>
      </x:c>
      <x:c r="G156" s="11" t="n">
        <x:v>4</x:v>
      </x:c>
      <x:c r="H156" s="11" t="n">
        <x:v>0</x:v>
      </x:c>
      <x:c r="I156" s="10" t="str">
        <x:v>Inspect a calculation</x:v>
      </x:c>
      <x:c r="J156" s="10" t="str">
        <x:v>Could this ratio improve while the underlying business becomes weaker? Apply the question to reconciling reported, adjusted, and underlying performance.</x:v>
      </x:c>
      <x:c r="K156" s="13" t="str">
        <x:v>Not authored</x:v>
      </x:c>
      <x:c r="L156" s="13" t="str">
        <x:v>No</x:v>
      </x:c>
      <x:c r="M156" s="13" t="str"/>
    </x:row>
    <x:row r="157" ht="58" customHeight="1">
      <x:c r="A157" s="9" t="str">
        <x:v>T10.01</x:v>
      </x:c>
      <x:c r="B157" s="9" t="str">
        <x:v>D10</x:v>
      </x:c>
      <x:c r="C157" s="9" t="str">
        <x:v>Earnings quality versus earnings growth</x:v>
      </x:c>
      <x:c r="D157" s="9" t="str">
        <x:v>Advanced</x:v>
      </x:c>
      <x:c r="E157" s="9" t="str">
        <x:v>T04.05</x:v>
      </x:c>
      <x:c r="F157" s="9" t="str">
        <x:v>T10.06</x:v>
      </x:c>
      <x:c r="G157" s="12" t="n">
        <x:v>5</x:v>
      </x:c>
      <x:c r="H157" s="12" t="n">
        <x:v>0</x:v>
      </x:c>
      <x:c r="I157" s="9" t="str">
        <x:v>Investigate a case</x:v>
      </x:c>
      <x:c r="J157" s="9" t="str">
        <x:v>What evidence would make you doubt the reported number? Apply the question to earnings quality versus earnings growth.</x:v>
      </x:c>
      <x:c r="K157" s="13" t="str">
        <x:v>Not authored</x:v>
      </x:c>
      <x:c r="L157" s="13" t="str">
        <x:v>No</x:v>
      </x:c>
      <x:c r="M157" s="13" t="str"/>
    </x:row>
    <x:row r="158" ht="58" customHeight="1">
      <x:c r="A158" s="10" t="str">
        <x:v>T10.02</x:v>
      </x:c>
      <x:c r="B158" s="10" t="str">
        <x:v>D10</x:v>
      </x:c>
      <x:c r="C158" s="10" t="str">
        <x:v>Aggressive revenue recognition</x:v>
      </x:c>
      <x:c r="D158" s="10" t="str">
        <x:v>Advanced</x:v>
      </x:c>
      <x:c r="E158" s="10" t="str">
        <x:v>T04.05</x:v>
      </x:c>
      <x:c r="F158" s="10" t="str">
        <x:v>T10.03</x:v>
      </x:c>
      <x:c r="G158" s="11" t="n">
        <x:v>5</x:v>
      </x:c>
      <x:c r="H158" s="11" t="n">
        <x:v>1</x:v>
      </x:c>
      <x:c r="I158" s="10" t="str">
        <x:v>Investigate a case</x:v>
      </x:c>
      <x:c r="J158" s="10" t="str">
        <x:v>What evidence would make you doubt the reported number? Apply the question to aggressive revenue recognition.</x:v>
      </x:c>
      <x:c r="K158" s="13" t="str">
        <x:v>Not authored</x:v>
      </x:c>
      <x:c r="L158" s="13" t="str">
        <x:v>No</x:v>
      </x:c>
      <x:c r="M158" s="13" t="str"/>
    </x:row>
    <x:row r="159" ht="58" customHeight="1">
      <x:c r="A159" s="9" t="str">
        <x:v>T10.03</x:v>
      </x:c>
      <x:c r="B159" s="9" t="str">
        <x:v>D10</x:v>
      </x:c>
      <x:c r="C159" s="9" t="str">
        <x:v>Channel stuffing and round-tripping</x:v>
      </x:c>
      <x:c r="D159" s="9" t="str">
        <x:v>Advanced</x:v>
      </x:c>
      <x:c r="E159" s="9" t="str">
        <x:v>T04.05</x:v>
      </x:c>
      <x:c r="F159" s="9" t="str">
        <x:v>T10.02</x:v>
      </x:c>
      <x:c r="G159" s="12" t="n">
        <x:v>4</x:v>
      </x:c>
      <x:c r="H159" s="12" t="n">
        <x:v>0</x:v>
      </x:c>
      <x:c r="I159" s="9" t="str">
        <x:v>Investigate a case</x:v>
      </x:c>
      <x:c r="J159" s="9" t="str">
        <x:v>What evidence would make you doubt the reported number? Apply the question to channel stuffing and round-tripping.</x:v>
      </x:c>
      <x:c r="K159" s="13" t="str">
        <x:v>Not authored</x:v>
      </x:c>
      <x:c r="L159" s="13" t="str">
        <x:v>No</x:v>
      </x:c>
      <x:c r="M159" s="13" t="str"/>
    </x:row>
    <x:row r="160" ht="58" customHeight="1">
      <x:c r="A160" s="10" t="str">
        <x:v>T10.04</x:v>
      </x:c>
      <x:c r="B160" s="10" t="str">
        <x:v>D10</x:v>
      </x:c>
      <x:c r="C160" s="10" t="str">
        <x:v>Expense deferral and improper capitalisation</x:v>
      </x:c>
      <x:c r="D160" s="10" t="str">
        <x:v>Advanced</x:v>
      </x:c>
      <x:c r="E160" s="10" t="str">
        <x:v>T04.05</x:v>
      </x:c>
      <x:c r="F160" s="10" t="str">
        <x:v>T10.06</x:v>
      </x:c>
      <x:c r="G160" s="11" t="n">
        <x:v>4</x:v>
      </x:c>
      <x:c r="H160" s="11" t="n">
        <x:v>1</x:v>
      </x:c>
      <x:c r="I160" s="10" t="str">
        <x:v>Investigate a case</x:v>
      </x:c>
      <x:c r="J160" s="10" t="str">
        <x:v>What evidence would make you doubt the reported number? Apply the question to expense deferral and improper capitalisation.</x:v>
      </x:c>
      <x:c r="K160" s="13" t="str">
        <x:v>Not authored</x:v>
      </x:c>
      <x:c r="L160" s="13" t="str">
        <x:v>No</x:v>
      </x:c>
      <x:c r="M160" s="13" t="str"/>
    </x:row>
    <x:row r="161" ht="58" customHeight="1">
      <x:c r="A161" s="9" t="str">
        <x:v>T10.05</x:v>
      </x:c>
      <x:c r="B161" s="9" t="str">
        <x:v>D10</x:v>
      </x:c>
      <x:c r="C161" s="9" t="str">
        <x:v>Provision manipulation and reserve releases</x:v>
      </x:c>
      <x:c r="D161" s="9" t="str">
        <x:v>Advanced</x:v>
      </x:c>
      <x:c r="E161" s="9" t="str">
        <x:v>T04.05</x:v>
      </x:c>
      <x:c r="F161" s="9" t="str">
        <x:v>T10.06</x:v>
      </x:c>
      <x:c r="G161" s="12" t="n">
        <x:v>4</x:v>
      </x:c>
      <x:c r="H161" s="12" t="n">
        <x:v>1</x:v>
      </x:c>
      <x:c r="I161" s="9" t="str">
        <x:v>Investigate a case</x:v>
      </x:c>
      <x:c r="J161" s="9" t="str">
        <x:v>What evidence would make you doubt the reported number? Apply the question to provision manipulation and reserve releases.</x:v>
      </x:c>
      <x:c r="K161" s="13" t="str">
        <x:v>Not authored</x:v>
      </x:c>
      <x:c r="L161" s="13" t="str">
        <x:v>No</x:v>
      </x:c>
      <x:c r="M161" s="13" t="str"/>
    </x:row>
    <x:row r="162" ht="58" customHeight="1">
      <x:c r="A162" s="10" t="str">
        <x:v>T10.06</x:v>
      </x:c>
      <x:c r="B162" s="10" t="str">
        <x:v>D10</x:v>
      </x:c>
      <x:c r="C162" s="10" t="str">
        <x:v>Accrual quality</x:v>
      </x:c>
      <x:c r="D162" s="10" t="str">
        <x:v>Advanced</x:v>
      </x:c>
      <x:c r="E162" s="10" t="str">
        <x:v>T04.05</x:v>
      </x:c>
      <x:c r="F162" s="10" t="str">
        <x:v>T10.01</x:v>
      </x:c>
      <x:c r="G162" s="11" t="n">
        <x:v>9</x:v>
      </x:c>
      <x:c r="H162" s="11" t="n">
        <x:v>1</x:v>
      </x:c>
      <x:c r="I162" s="10" t="str">
        <x:v>Investigate a case</x:v>
      </x:c>
      <x:c r="J162" s="10" t="str">
        <x:v>What evidence would make you doubt the reported number? Apply the question to accrual quality.</x:v>
      </x:c>
      <x:c r="K162" s="13" t="str">
        <x:v>Not authored</x:v>
      </x:c>
      <x:c r="L162" s="13" t="str">
        <x:v>No</x:v>
      </x:c>
      <x:c r="M162" s="13" t="str"/>
    </x:row>
    <x:row r="163" ht="58" customHeight="1">
      <x:c r="A163" s="9" t="str">
        <x:v>T10.07</x:v>
      </x:c>
      <x:c r="B163" s="9" t="str">
        <x:v>D10</x:v>
      </x:c>
      <x:c r="C163" s="9" t="str">
        <x:v>Receivables and inventory warning signs</x:v>
      </x:c>
      <x:c r="D163" s="9" t="str">
        <x:v>Advanced</x:v>
      </x:c>
      <x:c r="E163" s="9" t="str">
        <x:v>T04.05</x:v>
      </x:c>
      <x:c r="F163" s="9" t="str">
        <x:v>T10.06</x:v>
      </x:c>
      <x:c r="G163" s="12" t="n">
        <x:v>5</x:v>
      </x:c>
      <x:c r="H163" s="12" t="n">
        <x:v>2</x:v>
      </x:c>
      <x:c r="I163" s="9" t="str">
        <x:v>Investigate a case</x:v>
      </x:c>
      <x:c r="J163" s="9" t="str">
        <x:v>What evidence would make you doubt the reported number? Apply the question to receivables and inventory warning signs.</x:v>
      </x:c>
      <x:c r="K163" s="13" t="str">
        <x:v>Not authored</x:v>
      </x:c>
      <x:c r="L163" s="13" t="str">
        <x:v>No</x:v>
      </x:c>
      <x:c r="M163" s="13" t="str"/>
    </x:row>
    <x:row r="164" ht="58" customHeight="1">
      <x:c r="A164" s="10" t="str">
        <x:v>T10.08</x:v>
      </x:c>
      <x:c r="B164" s="10" t="str">
        <x:v>D10</x:v>
      </x:c>
      <x:c r="C164" s="10" t="str">
        <x:v>Cash-flow classification manipulation</x:v>
      </x:c>
      <x:c r="D164" s="10" t="str">
        <x:v>Advanced</x:v>
      </x:c>
      <x:c r="E164" s="10" t="str">
        <x:v>T04.05</x:v>
      </x:c>
      <x:c r="F164" s="10" t="str">
        <x:v>T10.06</x:v>
      </x:c>
      <x:c r="G164" s="11" t="n">
        <x:v>4</x:v>
      </x:c>
      <x:c r="H164" s="11" t="n">
        <x:v>1</x:v>
      </x:c>
      <x:c r="I164" s="10" t="str">
        <x:v>Investigate a case</x:v>
      </x:c>
      <x:c r="J164" s="10" t="str">
        <x:v>What evidence would make you doubt the reported number? Apply the question to cash-flow classification manipulation.</x:v>
      </x:c>
      <x:c r="K164" s="13" t="str">
        <x:v>Not authored</x:v>
      </x:c>
      <x:c r="L164" s="13" t="str">
        <x:v>No</x:v>
      </x:c>
      <x:c r="M164" s="13" t="str"/>
    </x:row>
    <x:row r="165" ht="58" customHeight="1">
      <x:c r="A165" s="9" t="str">
        <x:v>T10.09</x:v>
      </x:c>
      <x:c r="B165" s="9" t="str">
        <x:v>D10</x:v>
      </x:c>
      <x:c r="C165" s="9" t="str">
        <x:v>Related-party dealings and fund diversion</x:v>
      </x:c>
      <x:c r="D165" s="9" t="str">
        <x:v>Advanced</x:v>
      </x:c>
      <x:c r="E165" s="9" t="str">
        <x:v>T04.05</x:v>
      </x:c>
      <x:c r="F165" s="9" t="str">
        <x:v>T10.10</x:v>
      </x:c>
      <x:c r="G165" s="12" t="n">
        <x:v>4</x:v>
      </x:c>
      <x:c r="H165" s="12" t="n">
        <x:v>0</x:v>
      </x:c>
      <x:c r="I165" s="9" t="str">
        <x:v>Investigate a case</x:v>
      </x:c>
      <x:c r="J165" s="9" t="str">
        <x:v>What evidence would make you doubt the reported number? Apply the question to related-party dealings and fund diversion.</x:v>
      </x:c>
      <x:c r="K165" s="13" t="str">
        <x:v>Not authored</x:v>
      </x:c>
      <x:c r="L165" s="13" t="str">
        <x:v>No</x:v>
      </x:c>
      <x:c r="M165" s="13" t="str"/>
    </x:row>
    <x:row r="166" ht="58" customHeight="1">
      <x:c r="A166" s="10" t="str">
        <x:v>T10.10</x:v>
      </x:c>
      <x:c r="B166" s="10" t="str">
        <x:v>D10</x:v>
      </x:c>
      <x:c r="C166" s="10" t="str">
        <x:v>Hidden leverage and guarantees</x:v>
      </x:c>
      <x:c r="D166" s="10" t="str">
        <x:v>Advanced</x:v>
      </x:c>
      <x:c r="E166" s="10" t="str">
        <x:v>T04.05</x:v>
      </x:c>
      <x:c r="F166" s="10" t="str">
        <x:v>T10.09</x:v>
      </x:c>
      <x:c r="G166" s="11" t="n">
        <x:v>6</x:v>
      </x:c>
      <x:c r="H166" s="11" t="n">
        <x:v>1</x:v>
      </x:c>
      <x:c r="I166" s="10" t="str">
        <x:v>Investigate a case</x:v>
      </x:c>
      <x:c r="J166" s="10" t="str">
        <x:v>What evidence would make you doubt the reported number? Apply the question to hidden leverage and guarantees.</x:v>
      </x:c>
      <x:c r="K166" s="13" t="str">
        <x:v>Not authored</x:v>
      </x:c>
      <x:c r="L166" s="13" t="str">
        <x:v>No</x:v>
      </x:c>
      <x:c r="M166" s="13" t="str"/>
    </x:row>
    <x:row r="167" ht="58" customHeight="1">
      <x:c r="A167" s="9" t="str">
        <x:v>T10.11</x:v>
      </x:c>
      <x:c r="B167" s="9" t="str">
        <x:v>D10</x:v>
      </x:c>
      <x:c r="C167" s="9" t="str">
        <x:v>Auditor opinions, qualifications, and emphasis-of-matter paragraphs</x:v>
      </x:c>
      <x:c r="D167" s="9" t="str">
        <x:v>Advanced</x:v>
      </x:c>
      <x:c r="E167" s="9" t="str">
        <x:v>T04.05</x:v>
      </x:c>
      <x:c r="F167" s="9" t="str">
        <x:v>T10.12</x:v>
      </x:c>
      <x:c r="G167" s="12" t="n">
        <x:v>6</x:v>
      </x:c>
      <x:c r="H167" s="12" t="n">
        <x:v>1</x:v>
      </x:c>
      <x:c r="I167" s="9" t="str">
        <x:v>Investigate a case</x:v>
      </x:c>
      <x:c r="J167" s="9" t="str">
        <x:v>What evidence would make you doubt the reported number? Apply the question to auditor opinions, qualifications, and emphasis-of-matter paragraphs.</x:v>
      </x:c>
      <x:c r="K167" s="13" t="str">
        <x:v>Not authored</x:v>
      </x:c>
      <x:c r="L167" s="13" t="str">
        <x:v>No</x:v>
      </x:c>
      <x:c r="M167" s="13" t="str"/>
    </x:row>
    <x:row r="168" ht="58" customHeight="1">
      <x:c r="A168" s="10" t="str">
        <x:v>T10.12</x:v>
      </x:c>
      <x:c r="B168" s="10" t="str">
        <x:v>D10</x:v>
      </x:c>
      <x:c r="C168" s="10" t="str">
        <x:v>Restatements and internal-control weaknesses</x:v>
      </x:c>
      <x:c r="D168" s="10" t="str">
        <x:v>Advanced</x:v>
      </x:c>
      <x:c r="E168" s="10" t="str">
        <x:v>T04.05</x:v>
      </x:c>
      <x:c r="F168" s="10" t="str">
        <x:v>T10.11</x:v>
      </x:c>
      <x:c r="G168" s="11" t="n">
        <x:v>5</x:v>
      </x:c>
      <x:c r="H168" s="11" t="n">
        <x:v>1</x:v>
      </x:c>
      <x:c r="I168" s="10" t="str">
        <x:v>Investigate a case</x:v>
      </x:c>
      <x:c r="J168" s="10" t="str">
        <x:v>What evidence would make you doubt the reported number? Apply the question to restatements and internal-control weaknesses.</x:v>
      </x:c>
      <x:c r="K168" s="13" t="str">
        <x:v>Not authored</x:v>
      </x:c>
      <x:c r="L168" s="13" t="str">
        <x:v>No</x:v>
      </x:c>
      <x:c r="M168" s="13" t="str"/>
    </x:row>
    <x:row r="169" ht="58" customHeight="1">
      <x:c r="A169" s="9" t="str">
        <x:v>T10.13</x:v>
      </x:c>
      <x:c r="B169" s="9" t="str">
        <x:v>D10</x:v>
      </x:c>
      <x:c r="C169" s="9" t="str">
        <x:v>Financial distress and fraud-screening models</x:v>
      </x:c>
      <x:c r="D169" s="9" t="str">
        <x:v>Advanced</x:v>
      </x:c>
      <x:c r="E169" s="9" t="str">
        <x:v>T04.05</x:v>
      </x:c>
      <x:c r="F169" s="9" t="str">
        <x:v>T10.10</x:v>
      </x:c>
      <x:c r="G169" s="12" t="n">
        <x:v>3</x:v>
      </x:c>
      <x:c r="H169" s="12" t="n">
        <x:v>0</x:v>
      </x:c>
      <x:c r="I169" s="9" t="str">
        <x:v>Investigate a case</x:v>
      </x:c>
      <x:c r="J169" s="9" t="str">
        <x:v>What evidence would make you doubt the reported number? Apply the question to financial distress and fraud-screening models.</x:v>
      </x:c>
      <x:c r="K169" s="13" t="str">
        <x:v>Not authored</x:v>
      </x:c>
      <x:c r="L169" s="13" t="str">
        <x:v>No</x:v>
      </x:c>
      <x:c r="M169" s="13" t="str"/>
    </x:row>
    <x:row r="170" ht="58" customHeight="1">
      <x:c r="A170" s="10" t="str">
        <x:v>T10.14</x:v>
      </x:c>
      <x:c r="B170" s="10" t="str">
        <x:v>D10</x:v>
      </x:c>
      <x:c r="C170" s="10" t="str">
        <x:v>Management adjustments and misleading non-GAAP metrics</x:v>
      </x:c>
      <x:c r="D170" s="10" t="str">
        <x:v>Advanced</x:v>
      </x:c>
      <x:c r="E170" s="10" t="str">
        <x:v>T04.05</x:v>
      </x:c>
      <x:c r="F170" s="10" t="str">
        <x:v>T10.01</x:v>
      </x:c>
      <x:c r="G170" s="11" t="n">
        <x:v>3</x:v>
      </x:c>
      <x:c r="H170" s="11" t="n">
        <x:v>0</x:v>
      </x:c>
      <x:c r="I170" s="10" t="str">
        <x:v>Investigate a case</x:v>
      </x:c>
      <x:c r="J170" s="10" t="str">
        <x:v>What evidence would make you doubt the reported number? Apply the question to management adjustments and misleading non-gaap metrics.</x:v>
      </x:c>
      <x:c r="K170" s="13" t="str">
        <x:v>Not authored</x:v>
      </x:c>
      <x:c r="L170" s="13" t="str">
        <x:v>No</x:v>
      </x:c>
      <x:c r="M170" s="13" t="str"/>
    </x:row>
    <x:row r="171" ht="58" customHeight="1">
      <x:c r="A171" s="9" t="str">
        <x:v>T10.15</x:v>
      </x:c>
      <x:c r="B171" s="9" t="str">
        <x:v>D10</x:v>
      </x:c>
      <x:c r="C171" s="9" t="str">
        <x:v>Financial footnote investigation</x:v>
      </x:c>
      <x:c r="D171" s="9" t="str">
        <x:v>Advanced</x:v>
      </x:c>
      <x:c r="E171" s="9" t="str">
        <x:v>T04.05</x:v>
      </x:c>
      <x:c r="F171" s="9" t="str">
        <x:v>T10.11</x:v>
      </x:c>
      <x:c r="G171" s="12" t="n">
        <x:v>6</x:v>
      </x:c>
      <x:c r="H171" s="12" t="n">
        <x:v>3</x:v>
      </x:c>
      <x:c r="I171" s="9" t="str">
        <x:v>Investigate a case</x:v>
      </x:c>
      <x:c r="J171" s="9" t="str">
        <x:v>What evidence would make you doubt the reported number? Apply the question to financial footnote investigation.</x:v>
      </x:c>
      <x:c r="K171" s="13" t="str">
        <x:v>Not authored</x:v>
      </x:c>
      <x:c r="L171" s="13" t="str">
        <x:v>No</x:v>
      </x:c>
      <x:c r="M171" s="13" t="str"/>
    </x:row>
    <x:row r="172" ht="58" customHeight="1">
      <x:c r="A172" s="10" t="str">
        <x:v>T11.01</x:v>
      </x:c>
      <x:c r="B172" s="10" t="str">
        <x:v>D11</x:v>
      </x:c>
      <x:c r="C172" s="10" t="str">
        <x:v>Revenue models and cost structures</x:v>
      </x:c>
      <x:c r="D172" s="10" t="str">
        <x:v>Core</x:v>
      </x:c>
      <x:c r="E172" s="10" t="str">
        <x:v>T05.06</x:v>
      </x:c>
      <x:c r="F172" s="10" t="str">
        <x:v>T11.15</x:v>
      </x:c>
      <x:c r="G172" s="11" t="n">
        <x:v>22</x:v>
      </x:c>
      <x:c r="H172" s="11" t="n">
        <x:v>1</x:v>
      </x:c>
      <x:c r="I172" s="10" t="str">
        <x:v>Compare scenarios</x:v>
      </x:c>
      <x:c r="J172" s="10" t="str">
        <x:v>Can selling more make the business less profitable? Apply the question to revenue models and cost structures.</x:v>
      </x:c>
      <x:c r="K172" s="13" t="str">
        <x:v>Not authored</x:v>
      </x:c>
      <x:c r="L172" s="13" t="str">
        <x:v>No</x:v>
      </x:c>
      <x:c r="M172" s="13" t="str"/>
    </x:row>
    <x:row r="173" ht="58" customHeight="1">
      <x:c r="A173" s="9" t="str">
        <x:v>T11.02</x:v>
      </x:c>
      <x:c r="B173" s="9" t="str">
        <x:v>D11</x:v>
      </x:c>
      <x:c r="C173" s="9" t="str">
        <x:v>Fixed, variable, and semi-variable costs</x:v>
      </x:c>
      <x:c r="D173" s="9" t="str">
        <x:v>Core</x:v>
      </x:c>
      <x:c r="E173" s="9" t="str">
        <x:v>T05.06</x:v>
      </x:c>
      <x:c r="F173" s="9" t="str">
        <x:v>T11.03</x:v>
      </x:c>
      <x:c r="G173" s="12" t="n">
        <x:v>22</x:v>
      </x:c>
      <x:c r="H173" s="12" t="n">
        <x:v>1</x:v>
      </x:c>
      <x:c r="I173" s="9" t="str">
        <x:v>Compare scenarios</x:v>
      </x:c>
      <x:c r="J173" s="9" t="str">
        <x:v>Can selling more make the business less profitable? Apply the question to fixed, variable, and semi-variable costs.</x:v>
      </x:c>
      <x:c r="K173" s="13" t="str">
        <x:v>Not authored</x:v>
      </x:c>
      <x:c r="L173" s="13" t="str">
        <x:v>No</x:v>
      </x:c>
      <x:c r="M173" s="13" t="str"/>
    </x:row>
    <x:row r="174" ht="58" customHeight="1">
      <x:c r="A174" s="10" t="str">
        <x:v>T11.03</x:v>
      </x:c>
      <x:c r="B174" s="10" t="str">
        <x:v>D11</x:v>
      </x:c>
      <x:c r="C174" s="10" t="str">
        <x:v>Contribution margin and break-even analysis</x:v>
      </x:c>
      <x:c r="D174" s="10" t="str">
        <x:v>Core</x:v>
      </x:c>
      <x:c r="E174" s="10" t="str">
        <x:v>T05.06, T11.02</x:v>
      </x:c>
      <x:c r="F174" s="10" t="str">
        <x:v>T11.02</x:v>
      </x:c>
      <x:c r="G174" s="11" t="n">
        <x:v>11</x:v>
      </x:c>
      <x:c r="H174" s="11" t="n">
        <x:v>4</x:v>
      </x:c>
      <x:c r="I174" s="10" t="str">
        <x:v>Compare scenarios</x:v>
      </x:c>
      <x:c r="J174" s="10" t="str">
        <x:v>Can selling more make the business less profitable? Apply the question to contribution margin and break-even analysis.</x:v>
      </x:c>
      <x:c r="K174" s="13" t="str">
        <x:v>Not authored</x:v>
      </x:c>
      <x:c r="L174" s="13" t="str">
        <x:v>No</x:v>
      </x:c>
      <x:c r="M174" s="13" t="str"/>
    </x:row>
    <x:row r="175" ht="58" customHeight="1">
      <x:c r="A175" s="9" t="str">
        <x:v>T11.04</x:v>
      </x:c>
      <x:c r="B175" s="9" t="str">
        <x:v>D11</x:v>
      </x:c>
      <x:c r="C175" s="9" t="str">
        <x:v>Price-volume-mix analysis</x:v>
      </x:c>
      <x:c r="D175" s="9" t="str">
        <x:v>Core</x:v>
      </x:c>
      <x:c r="E175" s="9" t="str">
        <x:v>T05.06</x:v>
      </x:c>
      <x:c r="F175" s="9" t="str">
        <x:v>T11.14</x:v>
      </x:c>
      <x:c r="G175" s="12" t="n">
        <x:v>5</x:v>
      </x:c>
      <x:c r="H175" s="12" t="n">
        <x:v>1</x:v>
      </x:c>
      <x:c r="I175" s="9" t="str">
        <x:v>Compare scenarios</x:v>
      </x:c>
      <x:c r="J175" s="9" t="str">
        <x:v>Can selling more make the business less profitable? Apply the question to price-volume-mix analysis.</x:v>
      </x:c>
      <x:c r="K175" s="13" t="str">
        <x:v>Not authored</x:v>
      </x:c>
      <x:c r="L175" s="13" t="str">
        <x:v>No</x:v>
      </x:c>
      <x:c r="M175" s="13" t="str"/>
    </x:row>
    <x:row r="176" ht="58" customHeight="1">
      <x:c r="A176" s="10" t="str">
        <x:v>T11.05</x:v>
      </x:c>
      <x:c r="B176" s="10" t="str">
        <x:v>D11</x:v>
      </x:c>
      <x:c r="C176" s="10" t="str">
        <x:v>Capacity utilisation and operating leverage</x:v>
      </x:c>
      <x:c r="D176" s="10" t="str">
        <x:v>Core</x:v>
      </x:c>
      <x:c r="E176" s="10" t="str">
        <x:v>T05.06</x:v>
      </x:c>
      <x:c r="F176" s="10" t="str">
        <x:v>T11.02</x:v>
      </x:c>
      <x:c r="G176" s="11" t="n">
        <x:v>7</x:v>
      </x:c>
      <x:c r="H176" s="11" t="n">
        <x:v>3</x:v>
      </x:c>
      <x:c r="I176" s="10" t="str">
        <x:v>Compare scenarios</x:v>
      </x:c>
      <x:c r="J176" s="10" t="str">
        <x:v>Can selling more make the business less profitable? Apply the question to capacity utilisation and operating leverage.</x:v>
      </x:c>
      <x:c r="K176" s="13" t="str">
        <x:v>Not authored</x:v>
      </x:c>
      <x:c r="L176" s="13" t="str">
        <x:v>No</x:v>
      </x:c>
      <x:c r="M176" s="13" t="str"/>
    </x:row>
    <x:row r="177" ht="58" customHeight="1">
      <x:c r="A177" s="9" t="str">
        <x:v>T11.06</x:v>
      </x:c>
      <x:c r="B177" s="9" t="str">
        <x:v>D11</x:v>
      </x:c>
      <x:c r="C177" s="9" t="str">
        <x:v>Economies of scale and economies of scope</x:v>
      </x:c>
      <x:c r="D177" s="9" t="str">
        <x:v>Core</x:v>
      </x:c>
      <x:c r="E177" s="9" t="str">
        <x:v>T05.06</x:v>
      </x:c>
      <x:c r="F177" s="9" t="str">
        <x:v>T11.05</x:v>
      </x:c>
      <x:c r="G177" s="12" t="n">
        <x:v>4</x:v>
      </x:c>
      <x:c r="H177" s="12" t="n">
        <x:v>0</x:v>
      </x:c>
      <x:c r="I177" s="9" t="str">
        <x:v>Compare scenarios</x:v>
      </x:c>
      <x:c r="J177" s="9" t="str">
        <x:v>Can selling more make the business less profitable? Apply the question to economies of scale and economies of scope.</x:v>
      </x:c>
      <x:c r="K177" s="13" t="str">
        <x:v>Not authored</x:v>
      </x:c>
      <x:c r="L177" s="13" t="str">
        <x:v>No</x:v>
      </x:c>
      <x:c r="M177" s="13" t="str"/>
    </x:row>
    <x:row r="178" ht="58" customHeight="1">
      <x:c r="A178" s="10" t="str">
        <x:v>T11.07</x:v>
      </x:c>
      <x:c r="B178" s="10" t="str">
        <x:v>D11</x:v>
      </x:c>
      <x:c r="C178" s="10" t="str">
        <x:v>Customer acquisition cost</x:v>
      </x:c>
      <x:c r="D178" s="10" t="str">
        <x:v>Core</x:v>
      </x:c>
      <x:c r="E178" s="10" t="str">
        <x:v>T05.06</x:v>
      </x:c>
      <x:c r="F178" s="10" t="str">
        <x:v>T11.08</x:v>
      </x:c>
      <x:c r="G178" s="11" t="n">
        <x:v>6</x:v>
      </x:c>
      <x:c r="H178" s="11" t="n">
        <x:v>1</x:v>
      </x:c>
      <x:c r="I178" s="10" t="str">
        <x:v>Compare scenarios</x:v>
      </x:c>
      <x:c r="J178" s="10" t="str">
        <x:v>Can selling more make the business less profitable? Apply the question to customer acquisition cost.</x:v>
      </x:c>
      <x:c r="K178" s="13" t="str">
        <x:v>Not authored</x:v>
      </x:c>
      <x:c r="L178" s="13" t="str">
        <x:v>No</x:v>
      </x:c>
      <x:c r="M178" s="13" t="str"/>
    </x:row>
    <x:row r="179" ht="58" customHeight="1">
      <x:c r="A179" s="9" t="str">
        <x:v>T11.08</x:v>
      </x:c>
      <x:c r="B179" s="9" t="str">
        <x:v>D11</x:v>
      </x:c>
      <x:c r="C179" s="9" t="str">
        <x:v>Customer lifetime value</x:v>
      </x:c>
      <x:c r="D179" s="9" t="str">
        <x:v>Core</x:v>
      </x:c>
      <x:c r="E179" s="9" t="str">
        <x:v>T05.06, T11.07</x:v>
      </x:c>
      <x:c r="F179" s="9" t="str">
        <x:v>T11.09</x:v>
      </x:c>
      <x:c r="G179" s="12" t="n">
        <x:v>9</x:v>
      </x:c>
      <x:c r="H179" s="12" t="n">
        <x:v>3</x:v>
      </x:c>
      <x:c r="I179" s="9" t="str">
        <x:v>Compare scenarios</x:v>
      </x:c>
      <x:c r="J179" s="9" t="str">
        <x:v>Can selling more make the business less profitable? Apply the question to customer lifetime value.</x:v>
      </x:c>
      <x:c r="K179" s="13" t="str">
        <x:v>Not authored</x:v>
      </x:c>
      <x:c r="L179" s="13" t="str">
        <x:v>No</x:v>
      </x:c>
      <x:c r="M179" s="13" t="str"/>
    </x:row>
    <x:row r="180" ht="58" customHeight="1">
      <x:c r="A180" s="10" t="str">
        <x:v>T11.09</x:v>
      </x:c>
      <x:c r="B180" s="10" t="str">
        <x:v>D11</x:v>
      </x:c>
      <x:c r="C180" s="10" t="str">
        <x:v>Retention, churn, and cohort economics</x:v>
      </x:c>
      <x:c r="D180" s="10" t="str">
        <x:v>Core</x:v>
      </x:c>
      <x:c r="E180" s="10" t="str">
        <x:v>T05.06</x:v>
      </x:c>
      <x:c r="F180" s="10" t="str">
        <x:v>T11.08</x:v>
      </x:c>
      <x:c r="G180" s="11" t="n">
        <x:v>5</x:v>
      </x:c>
      <x:c r="H180" s="11" t="n">
        <x:v>1</x:v>
      </x:c>
      <x:c r="I180" s="10" t="str">
        <x:v>Compare scenarios</x:v>
      </x:c>
      <x:c r="J180" s="10" t="str">
        <x:v>Can selling more make the business less profitable? Apply the question to retention, churn, and cohort economics.</x:v>
      </x:c>
      <x:c r="K180" s="13" t="str">
        <x:v>Not authored</x:v>
      </x:c>
      <x:c r="L180" s="13" t="str">
        <x:v>No</x:v>
      </x:c>
      <x:c r="M180" s="13" t="str"/>
    </x:row>
    <x:row r="181" ht="58" customHeight="1">
      <x:c r="A181" s="9" t="str">
        <x:v>T11.10</x:v>
      </x:c>
      <x:c r="B181" s="9" t="str">
        <x:v>D11</x:v>
      </x:c>
      <x:c r="C181" s="9" t="str">
        <x:v>Customer and product profitability</x:v>
      </x:c>
      <x:c r="D181" s="9" t="str">
        <x:v>Core</x:v>
      </x:c>
      <x:c r="E181" s="9" t="str">
        <x:v>T05.06</x:v>
      </x:c>
      <x:c r="F181" s="9" t="str">
        <x:v>T11.03</x:v>
      </x:c>
      <x:c r="G181" s="12" t="n">
        <x:v>5</x:v>
      </x:c>
      <x:c r="H181" s="12" t="n">
        <x:v>2</x:v>
      </x:c>
      <x:c r="I181" s="9" t="str">
        <x:v>Compare scenarios</x:v>
      </x:c>
      <x:c r="J181" s="9" t="str">
        <x:v>Can selling more make the business less profitable? Apply the question to customer and product profitability.</x:v>
      </x:c>
      <x:c r="K181" s="13" t="str">
        <x:v>Not authored</x:v>
      </x:c>
      <x:c r="L181" s="13" t="str">
        <x:v>No</x:v>
      </x:c>
      <x:c r="M181" s="13" t="str"/>
    </x:row>
    <x:row r="182" ht="58" customHeight="1">
      <x:c r="A182" s="10" t="str">
        <x:v>T11.11</x:v>
      </x:c>
      <x:c r="B182" s="10" t="str">
        <x:v>D11</x:v>
      </x:c>
      <x:c r="C182" s="10" t="str">
        <x:v>Payback periods and contribution after acquisition costs</x:v>
      </x:c>
      <x:c r="D182" s="10" t="str">
        <x:v>Core</x:v>
      </x:c>
      <x:c r="E182" s="10" t="str">
        <x:v>T05.06, T11.03</x:v>
      </x:c>
      <x:c r="F182" s="10" t="str">
        <x:v>T11.07</x:v>
      </x:c>
      <x:c r="G182" s="11" t="n">
        <x:v>4</x:v>
      </x:c>
      <x:c r="H182" s="11" t="n">
        <x:v>0</x:v>
      </x:c>
      <x:c r="I182" s="10" t="str">
        <x:v>Compare scenarios</x:v>
      </x:c>
      <x:c r="J182" s="10" t="str">
        <x:v>Can selling more make the business less profitable? Apply the question to payback periods and contribution after acquisition costs.</x:v>
      </x:c>
      <x:c r="K182" s="13" t="str">
        <x:v>Not authored</x:v>
      </x:c>
      <x:c r="L182" s="13" t="str">
        <x:v>No</x:v>
      </x:c>
      <x:c r="M182" s="13" t="str"/>
    </x:row>
    <x:row r="183" ht="58" customHeight="1">
      <x:c r="A183" s="9" t="str">
        <x:v>T11.12</x:v>
      </x:c>
      <x:c r="B183" s="9" t="str">
        <x:v>D11</x:v>
      </x:c>
      <x:c r="C183" s="9" t="str">
        <x:v>Working-capital intensity and capital intensity</x:v>
      </x:c>
      <x:c r="D183" s="9" t="str">
        <x:v>Core</x:v>
      </x:c>
      <x:c r="E183" s="9" t="str">
        <x:v>T05.06</x:v>
      </x:c>
      <x:c r="F183" s="9" t="str">
        <x:v>T11.15</x:v>
      </x:c>
      <x:c r="G183" s="12" t="n">
        <x:v>6</x:v>
      </x:c>
      <x:c r="H183" s="12" t="n">
        <x:v>3</x:v>
      </x:c>
      <x:c r="I183" s="9" t="str">
        <x:v>Compare scenarios</x:v>
      </x:c>
      <x:c r="J183" s="9" t="str">
        <x:v>Can selling more make the business less profitable? Apply the question to working-capital intensity and capital intensity.</x:v>
      </x:c>
      <x:c r="K183" s="13" t="str">
        <x:v>Not authored</x:v>
      </x:c>
      <x:c r="L183" s="13" t="str">
        <x:v>No</x:v>
      </x:c>
      <x:c r="M183" s="13" t="str"/>
    </x:row>
    <x:row r="184" ht="58" customHeight="1">
      <x:c r="A184" s="10" t="str">
        <x:v>T11.13</x:v>
      </x:c>
      <x:c r="B184" s="10" t="str">
        <x:v>D11</x:v>
      </x:c>
      <x:c r="C184" s="10" t="str">
        <x:v>Network effects and financial implications</x:v>
      </x:c>
      <x:c r="D184" s="10" t="str">
        <x:v>Core</x:v>
      </x:c>
      <x:c r="E184" s="10" t="str">
        <x:v>T05.06</x:v>
      </x:c>
      <x:c r="F184" s="10" t="str">
        <x:v>T11.06</x:v>
      </x:c>
      <x:c r="G184" s="11" t="n">
        <x:v>3</x:v>
      </x:c>
      <x:c r="H184" s="11" t="n">
        <x:v>0</x:v>
      </x:c>
      <x:c r="I184" s="10" t="str">
        <x:v>Compare scenarios</x:v>
      </x:c>
      <x:c r="J184" s="10" t="str">
        <x:v>Can selling more make the business less profitable? Apply the question to network effects and financial implications.</x:v>
      </x:c>
      <x:c r="K184" s="13" t="str">
        <x:v>Not authored</x:v>
      </x:c>
      <x:c r="L184" s="13" t="str">
        <x:v>No</x:v>
      </x:c>
      <x:c r="M184" s="13" t="str"/>
    </x:row>
    <x:row r="185" ht="58" customHeight="1">
      <x:c r="A185" s="9" t="str">
        <x:v>T11.14</x:v>
      </x:c>
      <x:c r="B185" s="9" t="str">
        <x:v>D11</x:v>
      </x:c>
      <x:c r="C185" s="9" t="str">
        <x:v>Pricing, discounting, and revenue management</x:v>
      </x:c>
      <x:c r="D185" s="9" t="str">
        <x:v>Core</x:v>
      </x:c>
      <x:c r="E185" s="9" t="str">
        <x:v>T05.06</x:v>
      </x:c>
      <x:c r="F185" s="9" t="str">
        <x:v>T11.04</x:v>
      </x:c>
      <x:c r="G185" s="12" t="n">
        <x:v>4</x:v>
      </x:c>
      <x:c r="H185" s="12" t="n">
        <x:v>0</x:v>
      </x:c>
      <x:c r="I185" s="9" t="str">
        <x:v>Compare scenarios</x:v>
      </x:c>
      <x:c r="J185" s="9" t="str">
        <x:v>Can selling more make the business less profitable? Apply the question to pricing, discounting, and revenue management.</x:v>
      </x:c>
      <x:c r="K185" s="13" t="str">
        <x:v>Not authored</x:v>
      </x:c>
      <x:c r="L185" s="13" t="str">
        <x:v>No</x:v>
      </x:c>
      <x:c r="M185" s="13" t="str"/>
    </x:row>
    <x:row r="186" ht="58" customHeight="1">
      <x:c r="A186" s="10" t="str">
        <x:v>T11.15</x:v>
      </x:c>
      <x:c r="B186" s="10" t="str">
        <x:v>D11</x:v>
      </x:c>
      <x:c r="C186" s="10" t="str">
        <x:v>Linking business drivers to financial results</x:v>
      </x:c>
      <x:c r="D186" s="10" t="str">
        <x:v>Core</x:v>
      </x:c>
      <x:c r="E186" s="10" t="str">
        <x:v>T05.06</x:v>
      </x:c>
      <x:c r="F186" s="10" t="str">
        <x:v>T11.01</x:v>
      </x:c>
      <x:c r="G186" s="11" t="n">
        <x:v>7</x:v>
      </x:c>
      <x:c r="H186" s="11" t="n">
        <x:v>2</x:v>
      </x:c>
      <x:c r="I186" s="10" t="str">
        <x:v>Compare scenarios</x:v>
      </x:c>
      <x:c r="J186" s="10" t="str">
        <x:v>Can selling more make the business less profitable? Apply the question to linking business drivers to financial results.</x:v>
      </x:c>
      <x:c r="K186" s="13" t="str">
        <x:v>Not authored</x:v>
      </x:c>
      <x:c r="L186" s="13" t="str">
        <x:v>No</x:v>
      </x:c>
      <x:c r="M186" s="13" t="str"/>
    </x:row>
    <x:row r="187" ht="58" customHeight="1">
      <x:c r="A187" s="9" t="str">
        <x:v>T12.01</x:v>
      </x:c>
      <x:c r="B187" s="9" t="str">
        <x:v>D12</x:v>
      </x:c>
      <x:c r="C187" s="9" t="str">
        <x:v>Objectives of the firm and shareholder value</x:v>
      </x:c>
      <x:c r="D187" s="9" t="str">
        <x:v>Core</x:v>
      </x:c>
      <x:c r="E187" s="9" t="str">
        <x:v>T03.12</x:v>
      </x:c>
      <x:c r="F187" s="9" t="str">
        <x:v>T12.02</x:v>
      </x:c>
      <x:c r="G187" s="12" t="n">
        <x:v>6</x:v>
      </x:c>
      <x:c r="H187" s="12" t="n">
        <x:v>0</x:v>
      </x:c>
      <x:c r="I187" s="9" t="str">
        <x:v>Compare scenarios</x:v>
      </x:c>
      <x:c r="J187" s="9" t="str">
        <x:v>Would this decision create value after allowing for risk and opportunity cost? Apply the question to objectives of the firm and shareholder value.</x:v>
      </x:c>
      <x:c r="K187" s="13" t="str">
        <x:v>Not authored</x:v>
      </x:c>
      <x:c r="L187" s="13" t="str">
        <x:v>No</x:v>
      </x:c>
      <x:c r="M187" s="13" t="str"/>
    </x:row>
    <x:row r="188" ht="58" customHeight="1">
      <x:c r="A188" s="10" t="str">
        <x:v>T12.02</x:v>
      </x:c>
      <x:c r="B188" s="10" t="str">
        <x:v>D12</x:v>
      </x:c>
      <x:c r="C188" s="10" t="str">
        <x:v>Stakeholder trade-offs and agency costs</x:v>
      </x:c>
      <x:c r="D188" s="10" t="str">
        <x:v>Core</x:v>
      </x:c>
      <x:c r="E188" s="10" t="str">
        <x:v>T03.12</x:v>
      </x:c>
      <x:c r="F188" s="10" t="str">
        <x:v>T12.01</x:v>
      </x:c>
      <x:c r="G188" s="11" t="n">
        <x:v>4</x:v>
      </x:c>
      <x:c r="H188" s="11" t="n">
        <x:v>0</x:v>
      </x:c>
      <x:c r="I188" s="10" t="str">
        <x:v>Compare scenarios</x:v>
      </x:c>
      <x:c r="J188" s="10" t="str">
        <x:v>Would this decision create value after allowing for risk and opportunity cost? Apply the question to stakeholder trade-offs and agency costs.</x:v>
      </x:c>
      <x:c r="K188" s="13" t="str">
        <x:v>Not authored</x:v>
      </x:c>
      <x:c r="L188" s="13" t="str">
        <x:v>No</x:v>
      </x:c>
      <x:c r="M188" s="13" t="str"/>
    </x:row>
    <x:row r="189" ht="58" customHeight="1">
      <x:c r="A189" s="9" t="str">
        <x:v>T12.03</x:v>
      </x:c>
      <x:c r="B189" s="9" t="str">
        <x:v>D12</x:v>
      </x:c>
      <x:c r="C189" s="9" t="str">
        <x:v>Investment, financing, and payout decisions</x:v>
      </x:c>
      <x:c r="D189" s="9" t="str">
        <x:v>Core</x:v>
      </x:c>
      <x:c r="E189" s="9" t="str">
        <x:v>T03.12</x:v>
      </x:c>
      <x:c r="F189" s="9" t="str">
        <x:v>T12.04</x:v>
      </x:c>
      <x:c r="G189" s="12" t="n">
        <x:v>4</x:v>
      </x:c>
      <x:c r="H189" s="12" t="n">
        <x:v>0</x:v>
      </x:c>
      <x:c r="I189" s="9" t="str">
        <x:v>Compare scenarios</x:v>
      </x:c>
      <x:c r="J189" s="9" t="str">
        <x:v>Would this decision create value after allowing for risk and opportunity cost? Apply the question to investment, financing, and payout decisions.</x:v>
      </x:c>
      <x:c r="K189" s="13" t="str">
        <x:v>Not authored</x:v>
      </x:c>
      <x:c r="L189" s="13" t="str">
        <x:v>No</x:v>
      </x:c>
      <x:c r="M189" s="13" t="str"/>
    </x:row>
    <x:row r="190" ht="58" customHeight="1">
      <x:c r="A190" s="10" t="str">
        <x:v>T12.04</x:v>
      </x:c>
      <x:c r="B190" s="10" t="str">
        <x:v>D12</x:v>
      </x:c>
      <x:c r="C190" s="10" t="str">
        <x:v>Capital budgeting</x:v>
      </x:c>
      <x:c r="D190" s="10" t="str">
        <x:v>Core</x:v>
      </x:c>
      <x:c r="E190" s="10" t="str">
        <x:v>T03.12</x:v>
      </x:c>
      <x:c r="F190" s="10" t="str">
        <x:v>T12.05</x:v>
      </x:c>
      <x:c r="G190" s="11" t="n">
        <x:v>11</x:v>
      </x:c>
      <x:c r="H190" s="11" t="n">
        <x:v>2</x:v>
      </x:c>
      <x:c r="I190" s="10" t="str">
        <x:v>Compare scenarios</x:v>
      </x:c>
      <x:c r="J190" s="10" t="str">
        <x:v>Would this decision create value after allowing for risk and opportunity cost? Apply the question to capital budgeting.</x:v>
      </x:c>
      <x:c r="K190" s="13" t="str">
        <x:v>Not authored</x:v>
      </x:c>
      <x:c r="L190" s="13" t="str">
        <x:v>No</x:v>
      </x:c>
      <x:c r="M190" s="13" t="str"/>
    </x:row>
    <x:row r="191" ht="58" customHeight="1">
      <x:c r="A191" s="9" t="str">
        <x:v>T12.05</x:v>
      </x:c>
      <x:c r="B191" s="9" t="str">
        <x:v>D12</x:v>
      </x:c>
      <x:c r="C191" s="9" t="str">
        <x:v>Incremental cash flows</x:v>
      </x:c>
      <x:c r="D191" s="9" t="str">
        <x:v>Core</x:v>
      </x:c>
      <x:c r="E191" s="9" t="str">
        <x:v>T03.12</x:v>
      </x:c>
      <x:c r="F191" s="9" t="str">
        <x:v>T12.06</x:v>
      </x:c>
      <x:c r="G191" s="12" t="n">
        <x:v>8</x:v>
      </x:c>
      <x:c r="H191" s="12" t="n">
        <x:v>3</x:v>
      </x:c>
      <x:c r="I191" s="9" t="str">
        <x:v>Compare scenarios</x:v>
      </x:c>
      <x:c r="J191" s="9" t="str">
        <x:v>Would this decision create value after allowing for risk and opportunity cost? Apply the question to incremental cash flows.</x:v>
      </x:c>
      <x:c r="K191" s="13" t="str">
        <x:v>Not authored</x:v>
      </x:c>
      <x:c r="L191" s="13" t="str">
        <x:v>No</x:v>
      </x:c>
      <x:c r="M191" s="13" t="str"/>
    </x:row>
    <x:row r="192" ht="58" customHeight="1">
      <x:c r="A192" s="10" t="str">
        <x:v>T12.06</x:v>
      </x:c>
      <x:c r="B192" s="10" t="str">
        <x:v>D12</x:v>
      </x:c>
      <x:c r="C192" s="10" t="str">
        <x:v>Sunk costs, opportunity costs, and externalities</x:v>
      </x:c>
      <x:c r="D192" s="10" t="str">
        <x:v>Core</x:v>
      </x:c>
      <x:c r="E192" s="10" t="str">
        <x:v>T03.12</x:v>
      </x:c>
      <x:c r="F192" s="10" t="str">
        <x:v>T12.05</x:v>
      </x:c>
      <x:c r="G192" s="11" t="n">
        <x:v>5</x:v>
      </x:c>
      <x:c r="H192" s="11" t="n">
        <x:v>1</x:v>
      </x:c>
      <x:c r="I192" s="10" t="str">
        <x:v>Compare scenarios</x:v>
      </x:c>
      <x:c r="J192" s="10" t="str">
        <x:v>Would this decision create value after allowing for risk and opportunity cost? Apply the question to sunk costs, opportunity costs, and externalities.</x:v>
      </x:c>
      <x:c r="K192" s="13" t="str">
        <x:v>Not authored</x:v>
      </x:c>
      <x:c r="L192" s="13" t="str">
        <x:v>No</x:v>
      </x:c>
      <x:c r="M192" s="13" t="str"/>
    </x:row>
    <x:row r="193" ht="58" customHeight="1">
      <x:c r="A193" s="9" t="str">
        <x:v>T12.07</x:v>
      </x:c>
      <x:c r="B193" s="9" t="str">
        <x:v>D12</x:v>
      </x:c>
      <x:c r="C193" s="9" t="str">
        <x:v>Replacement, expansion, and mutually exclusive projects</x:v>
      </x:c>
      <x:c r="D193" s="9" t="str">
        <x:v>Core</x:v>
      </x:c>
      <x:c r="E193" s="9" t="str">
        <x:v>T03.12</x:v>
      </x:c>
      <x:c r="F193" s="9" t="str">
        <x:v>T12.04</x:v>
      </x:c>
      <x:c r="G193" s="12" t="n">
        <x:v>5</x:v>
      </x:c>
      <x:c r="H193" s="12" t="n">
        <x:v>1</x:v>
      </x:c>
      <x:c r="I193" s="9" t="str">
        <x:v>Compare scenarios</x:v>
      </x:c>
      <x:c r="J193" s="9" t="str">
        <x:v>Would this decision create value after allowing for risk and opportunity cost? Apply the question to replacement, expansion, and mutually exclusive projects.</x:v>
      </x:c>
      <x:c r="K193" s="13" t="str">
        <x:v>Not authored</x:v>
      </x:c>
      <x:c r="L193" s="13" t="str">
        <x:v>No</x:v>
      </x:c>
      <x:c r="M193" s="13" t="str"/>
    </x:row>
    <x:row r="194" ht="58" customHeight="1">
      <x:c r="A194" s="10" t="str">
        <x:v>T12.08</x:v>
      </x:c>
      <x:c r="B194" s="10" t="str">
        <x:v>D12</x:v>
      </x:c>
      <x:c r="C194" s="10" t="str">
        <x:v>NPV, IRR, MIRR, payback, and profitability index</x:v>
      </x:c>
      <x:c r="D194" s="10" t="str">
        <x:v>Core</x:v>
      </x:c>
      <x:c r="E194" s="10" t="str">
        <x:v>T03.12</x:v>
      </x:c>
      <x:c r="F194" s="10" t="str">
        <x:v>T12.04</x:v>
      </x:c>
      <x:c r="G194" s="11" t="n">
        <x:v>4</x:v>
      </x:c>
      <x:c r="H194" s="11" t="n">
        <x:v>1</x:v>
      </x:c>
      <x:c r="I194" s="10" t="str">
        <x:v>Compare scenarios</x:v>
      </x:c>
      <x:c r="J194" s="10" t="str">
        <x:v>Would this decision create value after allowing for risk and opportunity cost? Apply the question to npv, irr, mirr, payback, and profitability index.</x:v>
      </x:c>
      <x:c r="K194" s="13" t="str">
        <x:v>Not authored</x:v>
      </x:c>
      <x:c r="L194" s="13" t="str">
        <x:v>No</x:v>
      </x:c>
      <x:c r="M194" s="13" t="str"/>
    </x:row>
    <x:row r="195" ht="58" customHeight="1">
      <x:c r="A195" s="9" t="str">
        <x:v>T12.09</x:v>
      </x:c>
      <x:c r="B195" s="9" t="str">
        <x:v>D12</x:v>
      </x:c>
      <x:c r="C195" s="9" t="str">
        <x:v>Equivalent annual cost</x:v>
      </x:c>
      <x:c r="D195" s="9" t="str">
        <x:v>Core</x:v>
      </x:c>
      <x:c r="E195" s="9" t="str">
        <x:v>T03.12</x:v>
      </x:c>
      <x:c r="F195" s="9" t="str">
        <x:v>T12.07</x:v>
      </x:c>
      <x:c r="G195" s="12" t="n">
        <x:v>4</x:v>
      </x:c>
      <x:c r="H195" s="12" t="n">
        <x:v>1</x:v>
      </x:c>
      <x:c r="I195" s="9" t="str">
        <x:v>Compare scenarios</x:v>
      </x:c>
      <x:c r="J195" s="9" t="str">
        <x:v>Would this decision create value after allowing for risk and opportunity cost? Apply the question to equivalent annual cost.</x:v>
      </x:c>
      <x:c r="K195" s="13" t="str">
        <x:v>Not authored</x:v>
      </x:c>
      <x:c r="L195" s="13" t="str">
        <x:v>No</x:v>
      </x:c>
      <x:c r="M195" s="13" t="str"/>
    </x:row>
    <x:row r="196" ht="58" customHeight="1">
      <x:c r="A196" s="10" t="str">
        <x:v>T12.10</x:v>
      </x:c>
      <x:c r="B196" s="10" t="str">
        <x:v>D12</x:v>
      </x:c>
      <x:c r="C196" s="10" t="str">
        <x:v>Capital rationing</x:v>
      </x:c>
      <x:c r="D196" s="10" t="str">
        <x:v>Core</x:v>
      </x:c>
      <x:c r="E196" s="10" t="str">
        <x:v>T03.12</x:v>
      </x:c>
      <x:c r="F196" s="10" t="str">
        <x:v>T12.04</x:v>
      </x:c>
      <x:c r="G196" s="11" t="n">
        <x:v>3</x:v>
      </x:c>
      <x:c r="H196" s="11" t="n">
        <x:v>0</x:v>
      </x:c>
      <x:c r="I196" s="10" t="str">
        <x:v>Compare scenarios</x:v>
      </x:c>
      <x:c r="J196" s="10" t="str">
        <x:v>Would this decision create value after allowing for risk and opportunity cost? Apply the question to capital rationing.</x:v>
      </x:c>
      <x:c r="K196" s="13" t="str">
        <x:v>Not authored</x:v>
      </x:c>
      <x:c r="L196" s="13" t="str">
        <x:v>No</x:v>
      </x:c>
      <x:c r="M196" s="13" t="str"/>
    </x:row>
    <x:row r="197" ht="58" customHeight="1">
      <x:c r="A197" s="9" t="str">
        <x:v>T12.11</x:v>
      </x:c>
      <x:c r="B197" s="9" t="str">
        <x:v>D12</x:v>
      </x:c>
      <x:c r="C197" s="9" t="str">
        <x:v>Project risk and scenario analysis</x:v>
      </x:c>
      <x:c r="D197" s="9" t="str">
        <x:v>Core</x:v>
      </x:c>
      <x:c r="E197" s="9" t="str">
        <x:v>T03.12</x:v>
      </x:c>
      <x:c r="F197" s="9" t="str">
        <x:v>T12.04</x:v>
      </x:c>
      <x:c r="G197" s="12" t="n">
        <x:v>3</x:v>
      </x:c>
      <x:c r="H197" s="12" t="n">
        <x:v>0</x:v>
      </x:c>
      <x:c r="I197" s="9" t="str">
        <x:v>Compare scenarios</x:v>
      </x:c>
      <x:c r="J197" s="9" t="str">
        <x:v>Would this decision create value after allowing for risk and opportunity cost? Apply the question to project risk and scenario analysis.</x:v>
      </x:c>
      <x:c r="K197" s="13" t="str">
        <x:v>Not authored</x:v>
      </x:c>
      <x:c r="L197" s="13" t="str">
        <x:v>No</x:v>
      </x:c>
      <x:c r="M197" s="13" t="str"/>
    </x:row>
    <x:row r="198" ht="58" customHeight="1">
      <x:c r="A198" s="10" t="str">
        <x:v>T12.12</x:v>
      </x:c>
      <x:c r="B198" s="10" t="str">
        <x:v>D12</x:v>
      </x:c>
      <x:c r="C198" s="10" t="str">
        <x:v>Real options: delay, expand, abandon, and switch</x:v>
      </x:c>
      <x:c r="D198" s="10" t="str">
        <x:v>Core</x:v>
      </x:c>
      <x:c r="E198" s="10" t="str">
        <x:v>T03.12</x:v>
      </x:c>
      <x:c r="F198" s="10" t="str">
        <x:v>T12.04</x:v>
      </x:c>
      <x:c r="G198" s="11" t="n">
        <x:v>4</x:v>
      </x:c>
      <x:c r="H198" s="11" t="n">
        <x:v>1</x:v>
      </x:c>
      <x:c r="I198" s="10" t="str">
        <x:v>Compare scenarios</x:v>
      </x:c>
      <x:c r="J198" s="10" t="str">
        <x:v>Would this decision create value after allowing for risk and opportunity cost? Apply the question to real options: delay, expand, abandon, and switch.</x:v>
      </x:c>
      <x:c r="K198" s="13" t="str">
        <x:v>Not authored</x:v>
      </x:c>
      <x:c r="L198" s="13" t="str">
        <x:v>No</x:v>
      </x:c>
      <x:c r="M198" s="13" t="str"/>
    </x:row>
    <x:row r="199" ht="58" customHeight="1">
      <x:c r="A199" s="9" t="str">
        <x:v>T12.13</x:v>
      </x:c>
      <x:c r="B199" s="9" t="str">
        <x:v>D12</x:v>
      </x:c>
      <x:c r="C199" s="9" t="str">
        <x:v>Dividends and share repurchases</x:v>
      </x:c>
      <x:c r="D199" s="9" t="str">
        <x:v>Core</x:v>
      </x:c>
      <x:c r="E199" s="9" t="str">
        <x:v>T03.12</x:v>
      </x:c>
      <x:c r="F199" s="9" t="str">
        <x:v>T12.03</x:v>
      </x:c>
      <x:c r="G199" s="12" t="n">
        <x:v>5</x:v>
      </x:c>
      <x:c r="H199" s="12" t="n">
        <x:v>2</x:v>
      </x:c>
      <x:c r="I199" s="9" t="str">
        <x:v>Compare scenarios</x:v>
      </x:c>
      <x:c r="J199" s="9" t="str">
        <x:v>Would this decision create value after allowing for risk and opportunity cost? Apply the question to dividends and share repurchases.</x:v>
      </x:c>
      <x:c r="K199" s="13" t="str">
        <x:v>Not authored</x:v>
      </x:c>
      <x:c r="L199" s="13" t="str">
        <x:v>No</x:v>
      </x:c>
      <x:c r="M199" s="13" t="str"/>
    </x:row>
    <x:row r="200" ht="58" customHeight="1">
      <x:c r="A200" s="10" t="str">
        <x:v>T12.14</x:v>
      </x:c>
      <x:c r="B200" s="10" t="str">
        <x:v>D12</x:v>
      </x:c>
      <x:c r="C200" s="10" t="str">
        <x:v>Organic growth versus acquisitions</x:v>
      </x:c>
      <x:c r="D200" s="10" t="str">
        <x:v>Core</x:v>
      </x:c>
      <x:c r="E200" s="10" t="str">
        <x:v>T03.12</x:v>
      </x:c>
      <x:c r="F200" s="10" t="str">
        <x:v>T12.01</x:v>
      </x:c>
      <x:c r="G200" s="11" t="n">
        <x:v>4</x:v>
      </x:c>
      <x:c r="H200" s="11" t="n">
        <x:v>1</x:v>
      </x:c>
      <x:c r="I200" s="10" t="str">
        <x:v>Compare scenarios</x:v>
      </x:c>
      <x:c r="J200" s="10" t="str">
        <x:v>Would this decision create value after allowing for risk and opportunity cost? Apply the question to organic growth versus acquisitions.</x:v>
      </x:c>
      <x:c r="K200" s="13" t="str">
        <x:v>Not authored</x:v>
      </x:c>
      <x:c r="L200" s="13" t="str">
        <x:v>No</x:v>
      </x:c>
      <x:c r="M200" s="13" t="str"/>
    </x:row>
    <x:row r="201" ht="58" customHeight="1">
      <x:c r="A201" s="9" t="str">
        <x:v>T12.15</x:v>
      </x:c>
      <x:c r="B201" s="9" t="str">
        <x:v>D12</x:v>
      </x:c>
      <x:c r="C201" s="9" t="str">
        <x:v>Capital allocation performance and management incentives</x:v>
      </x:c>
      <x:c r="D201" s="9" t="str">
        <x:v>Core</x:v>
      </x:c>
      <x:c r="E201" s="9" t="str">
        <x:v>T03.12</x:v>
      </x:c>
      <x:c r="F201" s="9" t="str">
        <x:v>T12.01</x:v>
      </x:c>
      <x:c r="G201" s="12" t="n">
        <x:v>6</x:v>
      </x:c>
      <x:c r="H201" s="12" t="n">
        <x:v>3</x:v>
      </x:c>
      <x:c r="I201" s="9" t="str">
        <x:v>Compare scenarios</x:v>
      </x:c>
      <x:c r="J201" s="9" t="str">
        <x:v>Would this decision create value after allowing for risk and opportunity cost? Apply the question to capital allocation performance and management incentives.</x:v>
      </x:c>
      <x:c r="K201" s="13" t="str">
        <x:v>Not authored</x:v>
      </x:c>
      <x:c r="L201" s="13" t="str">
        <x:v>No</x:v>
      </x:c>
      <x:c r="M201" s="13" t="str"/>
    </x:row>
    <x:row r="202" ht="58" customHeight="1">
      <x:c r="A202" s="10" t="str">
        <x:v>T13.01</x:v>
      </x:c>
      <x:c r="B202" s="10" t="str">
        <x:v>D13</x:v>
      </x:c>
      <x:c r="C202" s="10" t="str">
        <x:v>Cost of equity</x:v>
      </x:c>
      <x:c r="D202" s="10" t="str">
        <x:v>Core</x:v>
      </x:c>
      <x:c r="E202" s="10" t="str">
        <x:v>T01.10</x:v>
      </x:c>
      <x:c r="F202" s="10" t="str">
        <x:v>T13.02</x:v>
      </x:c>
      <x:c r="G202" s="11" t="n">
        <x:v>6</x:v>
      </x:c>
      <x:c r="H202" s="11" t="n">
        <x:v>1</x:v>
      </x:c>
      <x:c r="I202" s="10" t="str">
        <x:v>Inspect a calculation</x:v>
      </x:c>
      <x:c r="J202" s="10" t="str">
        <x:v>Which investor claim bears this risk and which return compensates for it? Apply the question to cost of equity.</x:v>
      </x:c>
      <x:c r="K202" s="13" t="str">
        <x:v>Not authored</x:v>
      </x:c>
      <x:c r="L202" s="13" t="str">
        <x:v>No</x:v>
      </x:c>
      <x:c r="M202" s="13" t="str"/>
    </x:row>
    <x:row r="203" ht="58" customHeight="1">
      <x:c r="A203" s="9" t="str">
        <x:v>T13.02</x:v>
      </x:c>
      <x:c r="B203" s="9" t="str">
        <x:v>D13</x:v>
      </x:c>
      <x:c r="C203" s="9" t="str">
        <x:v>Capital Asset Pricing Model</x:v>
      </x:c>
      <x:c r="D203" s="9" t="str">
        <x:v>Core</x:v>
      </x:c>
      <x:c r="E203" s="9" t="str">
        <x:v>T01.10, T02.09</x:v>
      </x:c>
      <x:c r="F203" s="9" t="str">
        <x:v>T13.03</x:v>
      </x:c>
      <x:c r="G203" s="12" t="n">
        <x:v>10</x:v>
      </x:c>
      <x:c r="H203" s="12" t="n">
        <x:v>4</x:v>
      </x:c>
      <x:c r="I203" s="9" t="str">
        <x:v>Inspect a calculation</x:v>
      </x:c>
      <x:c r="J203" s="9" t="str">
        <x:v>Which investor claim bears this risk and which return compensates for it? Apply the question to capital asset pricing model.</x:v>
      </x:c>
      <x:c r="K203" s="13" t="str">
        <x:v>Not authored</x:v>
      </x:c>
      <x:c r="L203" s="13" t="str">
        <x:v>No</x:v>
      </x:c>
      <x:c r="M203" s="13" t="str"/>
    </x:row>
    <x:row r="204" ht="58" customHeight="1">
      <x:c r="A204" s="10" t="str">
        <x:v>T13.03</x:v>
      </x:c>
      <x:c r="B204" s="10" t="str">
        <x:v>D13</x:v>
      </x:c>
      <x:c r="C204" s="10" t="str">
        <x:v>Risk-free rate and equity risk premium</x:v>
      </x:c>
      <x:c r="D204" s="10" t="str">
        <x:v>Core</x:v>
      </x:c>
      <x:c r="E204" s="10" t="str">
        <x:v>T01.10</x:v>
      </x:c>
      <x:c r="F204" s="10" t="str">
        <x:v>T13.02</x:v>
      </x:c>
      <x:c r="G204" s="11" t="n">
        <x:v>7</x:v>
      </x:c>
      <x:c r="H204" s="11" t="n">
        <x:v>2</x:v>
      </x:c>
      <x:c r="I204" s="10" t="str">
        <x:v>Inspect a calculation</x:v>
      </x:c>
      <x:c r="J204" s="10" t="str">
        <x:v>Which investor claim bears this risk and which return compensates for it? Apply the question to risk-free rate and equity risk premium.</x:v>
      </x:c>
      <x:c r="K204" s="13" t="str">
        <x:v>Not authored</x:v>
      </x:c>
      <x:c r="L204" s="13" t="str">
        <x:v>No</x:v>
      </x:c>
      <x:c r="M204" s="13" t="str"/>
    </x:row>
    <x:row r="205" ht="58" customHeight="1">
      <x:c r="A205" s="9" t="str">
        <x:v>T13.04</x:v>
      </x:c>
      <x:c r="B205" s="9" t="str">
        <x:v>D13</x:v>
      </x:c>
      <x:c r="C205" s="9" t="str">
        <x:v>Beta estimation</x:v>
      </x:c>
      <x:c r="D205" s="9" t="str">
        <x:v>Core</x:v>
      </x:c>
      <x:c r="E205" s="9" t="str">
        <x:v>T01.10, T02.12</x:v>
      </x:c>
      <x:c r="F205" s="9" t="str">
        <x:v>T13.05</x:v>
      </x:c>
      <x:c r="G205" s="12" t="n">
        <x:v>8</x:v>
      </x:c>
      <x:c r="H205" s="12" t="n">
        <x:v>2</x:v>
      </x:c>
      <x:c r="I205" s="9" t="str">
        <x:v>Inspect a calculation</x:v>
      </x:c>
      <x:c r="J205" s="9" t="str">
        <x:v>Which investor claim bears this risk and which return compensates for it? Apply the question to beta estimation.</x:v>
      </x:c>
      <x:c r="K205" s="13" t="str">
        <x:v>Not authored</x:v>
      </x:c>
      <x:c r="L205" s="13" t="str">
        <x:v>No</x:v>
      </x:c>
      <x:c r="M205" s="13" t="str"/>
    </x:row>
    <x:row r="206" ht="58" customHeight="1">
      <x:c r="A206" s="10" t="str">
        <x:v>T13.05</x:v>
      </x:c>
      <x:c r="B206" s="10" t="str">
        <x:v>D13</x:v>
      </x:c>
      <x:c r="C206" s="10" t="str">
        <x:v>Levered and unlevered beta</x:v>
      </x:c>
      <x:c r="D206" s="10" t="str">
        <x:v>Core</x:v>
      </x:c>
      <x:c r="E206" s="10" t="str">
        <x:v>T01.10, T13.04</x:v>
      </x:c>
      <x:c r="F206" s="10" t="str">
        <x:v>T13.04</x:v>
      </x:c>
      <x:c r="G206" s="11" t="n">
        <x:v>9</x:v>
      </x:c>
      <x:c r="H206" s="11" t="n">
        <x:v>2</x:v>
      </x:c>
      <x:c r="I206" s="10" t="str">
        <x:v>Inspect a calculation</x:v>
      </x:c>
      <x:c r="J206" s="10" t="str">
        <x:v>Which investor claim bears this risk and which return compensates for it? Apply the question to levered and unlevered beta.</x:v>
      </x:c>
      <x:c r="K206" s="13" t="str">
        <x:v>Not authored</x:v>
      </x:c>
      <x:c r="L206" s="13" t="str">
        <x:v>No</x:v>
      </x:c>
      <x:c r="M206" s="13" t="str"/>
    </x:row>
    <x:row r="207" ht="58" customHeight="1">
      <x:c r="A207" s="9" t="str">
        <x:v>T13.06</x:v>
      </x:c>
      <x:c r="B207" s="9" t="str">
        <x:v>D13</x:v>
      </x:c>
      <x:c r="C207" s="9" t="str">
        <x:v>Bottom-up beta</x:v>
      </x:c>
      <x:c r="D207" s="9" t="str">
        <x:v>Core</x:v>
      </x:c>
      <x:c r="E207" s="9" t="str">
        <x:v>T01.10, T13.05</x:v>
      </x:c>
      <x:c r="F207" s="9" t="str">
        <x:v>T13.05</x:v>
      </x:c>
      <x:c r="G207" s="12" t="n">
        <x:v>5</x:v>
      </x:c>
      <x:c r="H207" s="12" t="n">
        <x:v>1</x:v>
      </x:c>
      <x:c r="I207" s="9" t="str">
        <x:v>Inspect a calculation</x:v>
      </x:c>
      <x:c r="J207" s="9" t="str">
        <x:v>Which investor claim bears this risk and which return compensates for it? Apply the question to bottom-up beta.</x:v>
      </x:c>
      <x:c r="K207" s="13" t="str">
        <x:v>Not authored</x:v>
      </x:c>
      <x:c r="L207" s="13" t="str">
        <x:v>No</x:v>
      </x:c>
      <x:c r="M207" s="13" t="str"/>
    </x:row>
    <x:row r="208" ht="58" customHeight="1">
      <x:c r="A208" s="10" t="str">
        <x:v>T13.07</x:v>
      </x:c>
      <x:c r="B208" s="10" t="str">
        <x:v>D13</x:v>
      </x:c>
      <x:c r="C208" s="10" t="str">
        <x:v>Country risk and currency consistency</x:v>
      </x:c>
      <x:c r="D208" s="10" t="str">
        <x:v>Core</x:v>
      </x:c>
      <x:c r="E208" s="10" t="str">
        <x:v>T01.10</x:v>
      </x:c>
      <x:c r="F208" s="10" t="str">
        <x:v>T13.03</x:v>
      </x:c>
      <x:c r="G208" s="11" t="n">
        <x:v>4</x:v>
      </x:c>
      <x:c r="H208" s="11" t="n">
        <x:v>1</x:v>
      </x:c>
      <x:c r="I208" s="10" t="str">
        <x:v>Inspect a calculation</x:v>
      </x:c>
      <x:c r="J208" s="10" t="str">
        <x:v>Which investor claim bears this risk and which return compensates for it? Apply the question to country risk and currency consistency.</x:v>
      </x:c>
      <x:c r="K208" s="13" t="str">
        <x:v>Not authored</x:v>
      </x:c>
      <x:c r="L208" s="13" t="str">
        <x:v>No</x:v>
      </x:c>
      <x:c r="M208" s="13" t="str"/>
    </x:row>
    <x:row r="209" ht="58" customHeight="1">
      <x:c r="A209" s="9" t="str">
        <x:v>T13.08</x:v>
      </x:c>
      <x:c r="B209" s="9" t="str">
        <x:v>D13</x:v>
      </x:c>
      <x:c r="C209" s="9" t="str">
        <x:v>Cost of debt and credit spreads</x:v>
      </x:c>
      <x:c r="D209" s="9" t="str">
        <x:v>Core</x:v>
      </x:c>
      <x:c r="E209" s="9" t="str">
        <x:v>T01.10</x:v>
      </x:c>
      <x:c r="F209" s="9" t="str">
        <x:v>T13.10</x:v>
      </x:c>
      <x:c r="G209" s="12" t="n">
        <x:v>5</x:v>
      </x:c>
      <x:c r="H209" s="12" t="n">
        <x:v>1</x:v>
      </x:c>
      <x:c r="I209" s="9" t="str">
        <x:v>Inspect a calculation</x:v>
      </x:c>
      <x:c r="J209" s="9" t="str">
        <x:v>Which investor claim bears this risk and which return compensates for it? Apply the question to cost of debt and credit spreads.</x:v>
      </x:c>
      <x:c r="K209" s="13" t="str">
        <x:v>Not authored</x:v>
      </x:c>
      <x:c r="L209" s="13" t="str">
        <x:v>No</x:v>
      </x:c>
      <x:c r="M209" s="13" t="str"/>
    </x:row>
    <x:row r="210" ht="58" customHeight="1">
      <x:c r="A210" s="10" t="str">
        <x:v>T13.09</x:v>
      </x:c>
      <x:c r="B210" s="10" t="str">
        <x:v>D13</x:v>
      </x:c>
      <x:c r="C210" s="10" t="str">
        <x:v>Preferred capital and hybrid instruments</x:v>
      </x:c>
      <x:c r="D210" s="10" t="str">
        <x:v>Core</x:v>
      </x:c>
      <x:c r="E210" s="10" t="str">
        <x:v>T01.10</x:v>
      </x:c>
      <x:c r="F210" s="10" t="str">
        <x:v>T13.10</x:v>
      </x:c>
      <x:c r="G210" s="11" t="n">
        <x:v>3</x:v>
      </x:c>
      <x:c r="H210" s="11" t="n">
        <x:v>0</x:v>
      </x:c>
      <x:c r="I210" s="10" t="str">
        <x:v>Inspect a calculation</x:v>
      </x:c>
      <x:c r="J210" s="10" t="str">
        <x:v>Which investor claim bears this risk and which return compensates for it? Apply the question to preferred capital and hybrid instruments.</x:v>
      </x:c>
      <x:c r="K210" s="13" t="str">
        <x:v>Not authored</x:v>
      </x:c>
      <x:c r="L210" s="13" t="str">
        <x:v>No</x:v>
      </x:c>
      <x:c r="M210" s="13" t="str"/>
    </x:row>
    <x:row r="211" ht="58" customHeight="1">
      <x:c r="A211" s="9" t="str">
        <x:v>T13.10</x:v>
      </x:c>
      <x:c r="B211" s="9" t="str">
        <x:v>D13</x:v>
      </x:c>
      <x:c r="C211" s="9" t="str">
        <x:v>Weighted average cost of capital</x:v>
      </x:c>
      <x:c r="D211" s="9" t="str">
        <x:v>Core</x:v>
      </x:c>
      <x:c r="E211" s="9" t="str">
        <x:v>T01.10, T13.01</x:v>
      </x:c>
      <x:c r="F211" s="9" t="str">
        <x:v>T13.11</x:v>
      </x:c>
      <x:c r="G211" s="12" t="n">
        <x:v>9</x:v>
      </x:c>
      <x:c r="H211" s="12" t="n">
        <x:v>0</x:v>
      </x:c>
      <x:c r="I211" s="9" t="str">
        <x:v>Inspect a calculation</x:v>
      </x:c>
      <x:c r="J211" s="9" t="str">
        <x:v>Which investor claim bears this risk and which return compensates for it? Apply the question to weighted average cost of capital.</x:v>
      </x:c>
      <x:c r="K211" s="13" t="str">
        <x:v>Not authored</x:v>
      </x:c>
      <x:c r="L211" s="13" t="str">
        <x:v>No</x:v>
      </x:c>
      <x:c r="M211" s="13" t="str"/>
    </x:row>
    <x:row r="212" ht="58" customHeight="1">
      <x:c r="A212" s="10" t="str">
        <x:v>T13.11</x:v>
      </x:c>
      <x:c r="B212" s="10" t="str">
        <x:v>D13</x:v>
      </x:c>
      <x:c r="C212" s="10" t="str">
        <x:v>Market-value versus book-value weights</x:v>
      </x:c>
      <x:c r="D212" s="10" t="str">
        <x:v>Core</x:v>
      </x:c>
      <x:c r="E212" s="10" t="str">
        <x:v>T01.10</x:v>
      </x:c>
      <x:c r="F212" s="10" t="str">
        <x:v>T13.10</x:v>
      </x:c>
      <x:c r="G212" s="11" t="n">
        <x:v>5</x:v>
      </x:c>
      <x:c r="H212" s="11" t="n">
        <x:v>1</x:v>
      </x:c>
      <x:c r="I212" s="10" t="str">
        <x:v>Inspect a calculation</x:v>
      </x:c>
      <x:c r="J212" s="10" t="str">
        <x:v>Which investor claim bears this risk and which return compensates for it? Apply the question to market-value versus book-value weights.</x:v>
      </x:c>
      <x:c r="K212" s="13" t="str">
        <x:v>Not authored</x:v>
      </x:c>
      <x:c r="L212" s="13" t="str">
        <x:v>No</x:v>
      </x:c>
      <x:c r="M212" s="13" t="str"/>
    </x:row>
    <x:row r="213" ht="58" customHeight="1">
      <x:c r="A213" s="9" t="str">
        <x:v>T13.12</x:v>
      </x:c>
      <x:c r="B213" s="9" t="str">
        <x:v>D13</x:v>
      </x:c>
      <x:c r="C213" s="9" t="str">
        <x:v>Marginal versus historical financing costs</x:v>
      </x:c>
      <x:c r="D213" s="9" t="str">
        <x:v>Core</x:v>
      </x:c>
      <x:c r="E213" s="9" t="str">
        <x:v>T01.10</x:v>
      </x:c>
      <x:c r="F213" s="9" t="str">
        <x:v>T13.08</x:v>
      </x:c>
      <x:c r="G213" s="12" t="n">
        <x:v>3</x:v>
      </x:c>
      <x:c r="H213" s="12" t="n">
        <x:v>0</x:v>
      </x:c>
      <x:c r="I213" s="9" t="str">
        <x:v>Inspect a calculation</x:v>
      </x:c>
      <x:c r="J213" s="9" t="str">
        <x:v>Which investor claim bears this risk and which return compensates for it? Apply the question to marginal versus historical financing costs.</x:v>
      </x:c>
      <x:c r="K213" s="13" t="str">
        <x:v>Not authored</x:v>
      </x:c>
      <x:c r="L213" s="13" t="str">
        <x:v>No</x:v>
      </x:c>
      <x:c r="M213" s="13" t="str"/>
    </x:row>
    <x:row r="214" ht="58" customHeight="1">
      <x:c r="A214" s="10" t="str">
        <x:v>T13.13</x:v>
      </x:c>
      <x:c r="B214" s="10" t="str">
        <x:v>D13</x:v>
      </x:c>
      <x:c r="C214" s="10" t="str">
        <x:v>Modigliani-Miller propositions</x:v>
      </x:c>
      <x:c r="D214" s="10" t="str">
        <x:v>Core</x:v>
      </x:c>
      <x:c r="E214" s="10" t="str">
        <x:v>T01.10</x:v>
      </x:c>
      <x:c r="F214" s="10" t="str">
        <x:v>T13.15</x:v>
      </x:c>
      <x:c r="G214" s="11" t="n">
        <x:v>3</x:v>
      </x:c>
      <x:c r="H214" s="11" t="n">
        <x:v>0</x:v>
      </x:c>
      <x:c r="I214" s="10" t="str">
        <x:v>Inspect a calculation</x:v>
      </x:c>
      <x:c r="J214" s="10" t="str">
        <x:v>Which investor claim bears this risk and which return compensates for it? Apply the question to modigliani-miller propositions.</x:v>
      </x:c>
      <x:c r="K214" s="13" t="str">
        <x:v>Not authored</x:v>
      </x:c>
      <x:c r="L214" s="13" t="str">
        <x:v>No</x:v>
      </x:c>
      <x:c r="M214" s="13" t="str"/>
    </x:row>
    <x:row r="215" ht="58" customHeight="1">
      <x:c r="A215" s="9" t="str">
        <x:v>T13.14</x:v>
      </x:c>
      <x:c r="B215" s="9" t="str">
        <x:v>D13</x:v>
      </x:c>
      <x:c r="C215" s="9" t="str">
        <x:v>Interest tax shields</x:v>
      </x:c>
      <x:c r="D215" s="9" t="str">
        <x:v>Core</x:v>
      </x:c>
      <x:c r="E215" s="9" t="str">
        <x:v>T01.10</x:v>
      </x:c>
      <x:c r="F215" s="9" t="str">
        <x:v>T13.17</x:v>
      </x:c>
      <x:c r="G215" s="12" t="n">
        <x:v>8</x:v>
      </x:c>
      <x:c r="H215" s="12" t="n">
        <x:v>3</x:v>
      </x:c>
      <x:c r="I215" s="9" t="str">
        <x:v>Inspect a calculation</x:v>
      </x:c>
      <x:c r="J215" s="9" t="str">
        <x:v>Which investor claim bears this risk and which return compensates for it? Apply the question to interest tax shields.</x:v>
      </x:c>
      <x:c r="K215" s="13" t="str">
        <x:v>Not authored</x:v>
      </x:c>
      <x:c r="L215" s="13" t="str">
        <x:v>No</x:v>
      </x:c>
      <x:c r="M215" s="13" t="str"/>
    </x:row>
    <x:row r="216" ht="58" customHeight="1">
      <x:c r="A216" s="10" t="str">
        <x:v>T13.15</x:v>
      </x:c>
      <x:c r="B216" s="10" t="str">
        <x:v>D13</x:v>
      </x:c>
      <x:c r="C216" s="10" t="str">
        <x:v>Trade-off theory and pecking-order theory</x:v>
      </x:c>
      <x:c r="D216" s="10" t="str">
        <x:v>Core</x:v>
      </x:c>
      <x:c r="E216" s="10" t="str">
        <x:v>T01.10</x:v>
      </x:c>
      <x:c r="F216" s="10" t="str">
        <x:v>T13.16</x:v>
      </x:c>
      <x:c r="G216" s="11" t="n">
        <x:v>5</x:v>
      </x:c>
      <x:c r="H216" s="11" t="n">
        <x:v>0</x:v>
      </x:c>
      <x:c r="I216" s="10" t="str">
        <x:v>Inspect a calculation</x:v>
      </x:c>
      <x:c r="J216" s="10" t="str">
        <x:v>Which investor claim bears this risk and which return compensates for it? Apply the question to trade-off theory and pecking-order theory.</x:v>
      </x:c>
      <x:c r="K216" s="13" t="str">
        <x:v>Not authored</x:v>
      </x:c>
      <x:c r="L216" s="13" t="str">
        <x:v>No</x:v>
      </x:c>
      <x:c r="M216" s="13" t="str"/>
    </x:row>
    <x:row r="217" ht="58" customHeight="1">
      <x:c r="A217" s="9" t="str">
        <x:v>T13.16</x:v>
      </x:c>
      <x:c r="B217" s="9" t="str">
        <x:v>D13</x:v>
      </x:c>
      <x:c r="C217" s="9" t="str">
        <x:v>Financial distress costs and optimal leverage</x:v>
      </x:c>
      <x:c r="D217" s="9" t="str">
        <x:v>Core</x:v>
      </x:c>
      <x:c r="E217" s="9" t="str">
        <x:v>T01.10</x:v>
      </x:c>
      <x:c r="F217" s="9" t="str">
        <x:v>T13.15</x:v>
      </x:c>
      <x:c r="G217" s="12" t="n">
        <x:v>7</x:v>
      </x:c>
      <x:c r="H217" s="12" t="n">
        <x:v>3</x:v>
      </x:c>
      <x:c r="I217" s="9" t="str">
        <x:v>Inspect a calculation</x:v>
      </x:c>
      <x:c r="J217" s="9" t="str">
        <x:v>Which investor claim bears this risk and which return compensates for it? Apply the question to financial distress costs and optimal leverage.</x:v>
      </x:c>
      <x:c r="K217" s="13" t="str">
        <x:v>Not authored</x:v>
      </x:c>
      <x:c r="L217" s="13" t="str">
        <x:v>No</x:v>
      </x:c>
      <x:c r="M217" s="13" t="str"/>
    </x:row>
    <x:row r="218" ht="58" customHeight="1">
      <x:c r="A218" s="10" t="str">
        <x:v>T13.17</x:v>
      </x:c>
      <x:c r="B218" s="10" t="str">
        <x:v>D13</x:v>
      </x:c>
      <x:c r="C218" s="10" t="str">
        <x:v>Adjusted present value</x:v>
      </x:c>
      <x:c r="D218" s="10" t="str">
        <x:v>Core</x:v>
      </x:c>
      <x:c r="E218" s="10" t="str">
        <x:v>T01.10, T13.14</x:v>
      </x:c>
      <x:c r="F218" s="10" t="str">
        <x:v>T13.14</x:v>
      </x:c>
      <x:c r="G218" s="11" t="n">
        <x:v>6</x:v>
      </x:c>
      <x:c r="H218" s="11" t="n">
        <x:v>1</x:v>
      </x:c>
      <x:c r="I218" s="10" t="str">
        <x:v>Inspect a calculation</x:v>
      </x:c>
      <x:c r="J218" s="10" t="str">
        <x:v>Which investor claim bears this risk and which return compensates for it? Apply the question to adjusted present value.</x:v>
      </x:c>
      <x:c r="K218" s="13" t="str">
        <x:v>Not authored</x:v>
      </x:c>
      <x:c r="L218" s="13" t="str">
        <x:v>No</x:v>
      </x:c>
      <x:c r="M218" s="13" t="str"/>
    </x:row>
    <x:row r="219" ht="58" customHeight="1">
      <x:c r="A219" s="9" t="str">
        <x:v>T13.18</x:v>
      </x:c>
      <x:c r="B219" s="9" t="str">
        <x:v>D13</x:v>
      </x:c>
      <x:c r="C219" s="9" t="str">
        <x:v>Changing leverage and project-specific discount rates</x:v>
      </x:c>
      <x:c r="D219" s="9" t="str">
        <x:v>Core</x:v>
      </x:c>
      <x:c r="E219" s="9" t="str">
        <x:v>T01.10</x:v>
      </x:c>
      <x:c r="F219" s="9" t="str">
        <x:v>T13.10</x:v>
      </x:c>
      <x:c r="G219" s="12" t="n">
        <x:v>3</x:v>
      </x:c>
      <x:c r="H219" s="12" t="n">
        <x:v>0</x:v>
      </x:c>
      <x:c r="I219" s="9" t="str">
        <x:v>Inspect a calculation</x:v>
      </x:c>
      <x:c r="J219" s="9" t="str">
        <x:v>Which investor claim bears this risk and which return compensates for it? Apply the question to changing leverage and project-specific discount rates.</x:v>
      </x:c>
      <x:c r="K219" s="13" t="str">
        <x:v>Not authored</x:v>
      </x:c>
      <x:c r="L219" s="13" t="str">
        <x:v>No</x:v>
      </x:c>
      <x:c r="M219" s="13" t="str"/>
    </x:row>
    <x:row r="220" ht="58" customHeight="1">
      <x:c r="A220" s="10" t="str">
        <x:v>T14.01</x:v>
      </x:c>
      <x:c r="B220" s="10" t="str">
        <x:v>D14</x:v>
      </x:c>
      <x:c r="C220" s="10" t="str">
        <x:v>Operating working capital versus total working capital</x:v>
      </x:c>
      <x:c r="D220" s="10" t="str">
        <x:v>Core</x:v>
      </x:c>
      <x:c r="E220" s="10" t="str">
        <x:v>T06.01</x:v>
      </x:c>
      <x:c r="F220" s="10" t="str">
        <x:v>T14.02</x:v>
      </x:c>
      <x:c r="G220" s="11" t="n">
        <x:v>7</x:v>
      </x:c>
      <x:c r="H220" s="11" t="n">
        <x:v>0</x:v>
      </x:c>
      <x:c r="I220" s="10" t="str">
        <x:v>Compare scenarios</x:v>
      </x:c>
      <x:c r="J220" s="10" t="str">
        <x:v>Can a growing business run out of cash before customers pay? Apply the question to operating working capital versus total working capital.</x:v>
      </x:c>
      <x:c r="K220" s="13" t="str">
        <x:v>Not authored</x:v>
      </x:c>
      <x:c r="L220" s="13" t="str">
        <x:v>No</x:v>
      </x:c>
      <x:c r="M220" s="13" t="str"/>
    </x:row>
    <x:row r="221" ht="58" customHeight="1">
      <x:c r="A221" s="9" t="str">
        <x:v>T14.02</x:v>
      </x:c>
      <x:c r="B221" s="9" t="str">
        <x:v>D14</x:v>
      </x:c>
      <x:c r="C221" s="9" t="str">
        <x:v>Cash conversion cycle</x:v>
      </x:c>
      <x:c r="D221" s="9" t="str">
        <x:v>Core</x:v>
      </x:c>
      <x:c r="E221" s="9" t="str">
        <x:v>T06.01, T14.01</x:v>
      </x:c>
      <x:c r="F221" s="9" t="str">
        <x:v>T14.03</x:v>
      </x:c>
      <x:c r="G221" s="12" t="n">
        <x:v>8</x:v>
      </x:c>
      <x:c r="H221" s="12" t="n">
        <x:v>2</x:v>
      </x:c>
      <x:c r="I221" s="9" t="str">
        <x:v>Compare scenarios</x:v>
      </x:c>
      <x:c r="J221" s="9" t="str">
        <x:v>Can a growing business run out of cash before customers pay? Apply the question to cash conversion cycle.</x:v>
      </x:c>
      <x:c r="K221" s="13" t="str">
        <x:v>Not authored</x:v>
      </x:c>
      <x:c r="L221" s="13" t="str">
        <x:v>No</x:v>
      </x:c>
      <x:c r="M221" s="13" t="str"/>
    </x:row>
    <x:row r="222" ht="58" customHeight="1">
      <x:c r="A222" s="10" t="str">
        <x:v>T14.03</x:v>
      </x:c>
      <x:c r="B222" s="10" t="str">
        <x:v>D14</x:v>
      </x:c>
      <x:c r="C222" s="10" t="str">
        <x:v>Inventory days, receivable days, and payable days</x:v>
      </x:c>
      <x:c r="D222" s="10" t="str">
        <x:v>Core</x:v>
      </x:c>
      <x:c r="E222" s="10" t="str">
        <x:v>T06.01, T14.01</x:v>
      </x:c>
      <x:c r="F222" s="10" t="str">
        <x:v>T14.02</x:v>
      </x:c>
      <x:c r="G222" s="11" t="n">
        <x:v>11</x:v>
      </x:c>
      <x:c r="H222" s="11" t="n">
        <x:v>4</x:v>
      </x:c>
      <x:c r="I222" s="10" t="str">
        <x:v>Compare scenarios</x:v>
      </x:c>
      <x:c r="J222" s="10" t="str">
        <x:v>Can a growing business run out of cash before customers pay? Apply the question to inventory days, receivable days, and payable days.</x:v>
      </x:c>
      <x:c r="K222" s="13" t="str">
        <x:v>Not authored</x:v>
      </x:c>
      <x:c r="L222" s="13" t="str">
        <x:v>No</x:v>
      </x:c>
      <x:c r="M222" s="13" t="str"/>
    </x:row>
    <x:row r="223" ht="58" customHeight="1">
      <x:c r="A223" s="9" t="str">
        <x:v>T14.04</x:v>
      </x:c>
      <x:c r="B223" s="9" t="str">
        <x:v>D14</x:v>
      </x:c>
      <x:c r="C223" s="9" t="str">
        <x:v>Cash budgeting and short-term liquidity forecasting</x:v>
      </x:c>
      <x:c r="D223" s="9" t="str">
        <x:v>Core</x:v>
      </x:c>
      <x:c r="E223" s="9" t="str">
        <x:v>T06.01</x:v>
      </x:c>
      <x:c r="F223" s="9" t="str">
        <x:v>T14.15</x:v>
      </x:c>
      <x:c r="G223" s="12" t="n">
        <x:v>7</x:v>
      </x:c>
      <x:c r="H223" s="12" t="n">
        <x:v>2</x:v>
      </x:c>
      <x:c r="I223" s="9" t="str">
        <x:v>Compare scenarios</x:v>
      </x:c>
      <x:c r="J223" s="9" t="str">
        <x:v>Can a growing business run out of cash before customers pay? Apply the question to cash budgeting and short-term liquidity forecasting.</x:v>
      </x:c>
      <x:c r="K223" s="13" t="str">
        <x:v>Not authored</x:v>
      </x:c>
      <x:c r="L223" s="13" t="str">
        <x:v>No</x:v>
      </x:c>
      <x:c r="M223" s="13" t="str"/>
    </x:row>
    <x:row r="224" ht="58" customHeight="1">
      <x:c r="A224" s="10" t="str">
        <x:v>T14.05</x:v>
      </x:c>
      <x:c r="B224" s="10" t="str">
        <x:v>D14</x:v>
      </x:c>
      <x:c r="C224" s="10" t="str">
        <x:v>Customer credit policy and collections</x:v>
      </x:c>
      <x:c r="D224" s="10" t="str">
        <x:v>Core</x:v>
      </x:c>
      <x:c r="E224" s="10" t="str">
        <x:v>T06.01</x:v>
      </x:c>
      <x:c r="F224" s="10" t="str">
        <x:v>T14.03</x:v>
      </x:c>
      <x:c r="G224" s="11" t="n">
        <x:v>6</x:v>
      </x:c>
      <x:c r="H224" s="11" t="n">
        <x:v>2</x:v>
      </x:c>
      <x:c r="I224" s="10" t="str">
        <x:v>Compare scenarios</x:v>
      </x:c>
      <x:c r="J224" s="10" t="str">
        <x:v>Can a growing business run out of cash before customers pay? Apply the question to customer credit policy and collections.</x:v>
      </x:c>
      <x:c r="K224" s="13" t="str">
        <x:v>Not authored</x:v>
      </x:c>
      <x:c r="L224" s="13" t="str">
        <x:v>No</x:v>
      </x:c>
      <x:c r="M224" s="13" t="str"/>
    </x:row>
    <x:row r="225" ht="58" customHeight="1">
      <x:c r="A225" s="9" t="str">
        <x:v>T14.06</x:v>
      </x:c>
      <x:c r="B225" s="9" t="str">
        <x:v>D14</x:v>
      </x:c>
      <x:c r="C225" s="9" t="str">
        <x:v>Inventory financing</x:v>
      </x:c>
      <x:c r="D225" s="9" t="str">
        <x:v>Core</x:v>
      </x:c>
      <x:c r="E225" s="9" t="str">
        <x:v>T06.01</x:v>
      </x:c>
      <x:c r="F225" s="9" t="str">
        <x:v>T14.01</x:v>
      </x:c>
      <x:c r="G225" s="12" t="n">
        <x:v>3</x:v>
      </x:c>
      <x:c r="H225" s="12" t="n">
        <x:v>0</x:v>
      </x:c>
      <x:c r="I225" s="9" t="str">
        <x:v>Compare scenarios</x:v>
      </x:c>
      <x:c r="J225" s="9" t="str">
        <x:v>Can a growing business run out of cash before customers pay? Apply the question to inventory financing.</x:v>
      </x:c>
      <x:c r="K225" s="13" t="str">
        <x:v>Not authored</x:v>
      </x:c>
      <x:c r="L225" s="13" t="str">
        <x:v>No</x:v>
      </x:c>
      <x:c r="M225" s="13" t="str"/>
    </x:row>
    <x:row r="226" ht="58" customHeight="1">
      <x:c r="A226" s="10" t="str">
        <x:v>T14.07</x:v>
      </x:c>
      <x:c r="B226" s="10" t="str">
        <x:v>D14</x:v>
      </x:c>
      <x:c r="C226" s="10" t="str">
        <x:v>Supplier terms and payment management</x:v>
      </x:c>
      <x:c r="D226" s="10" t="str">
        <x:v>Core</x:v>
      </x:c>
      <x:c r="E226" s="10" t="str">
        <x:v>T06.01</x:v>
      </x:c>
      <x:c r="F226" s="10" t="str">
        <x:v>T14.03</x:v>
      </x:c>
      <x:c r="G226" s="11" t="n">
        <x:v>5</x:v>
      </x:c>
      <x:c r="H226" s="11" t="n">
        <x:v>1</x:v>
      </x:c>
      <x:c r="I226" s="10" t="str">
        <x:v>Compare scenarios</x:v>
      </x:c>
      <x:c r="J226" s="10" t="str">
        <x:v>Can a growing business run out of cash before customers pay? Apply the question to supplier terms and payment management.</x:v>
      </x:c>
      <x:c r="K226" s="13" t="str">
        <x:v>Not authored</x:v>
      </x:c>
      <x:c r="L226" s="13" t="str">
        <x:v>No</x:v>
      </x:c>
      <x:c r="M226" s="13" t="str"/>
    </x:row>
    <x:row r="227" ht="58" customHeight="1">
      <x:c r="A227" s="9" t="str">
        <x:v>T14.08</x:v>
      </x:c>
      <x:c r="B227" s="9" t="str">
        <x:v>D14</x:v>
      </x:c>
      <x:c r="C227" s="9" t="str">
        <x:v>Factoring and invoice discounting</x:v>
      </x:c>
      <x:c r="D227" s="9" t="str">
        <x:v>Core</x:v>
      </x:c>
      <x:c r="E227" s="9" t="str">
        <x:v>T06.01</x:v>
      </x:c>
      <x:c r="F227" s="9" t="str">
        <x:v>T14.05</x:v>
      </x:c>
      <x:c r="G227" s="12" t="n">
        <x:v>4</x:v>
      </x:c>
      <x:c r="H227" s="12" t="n">
        <x:v>1</x:v>
      </x:c>
      <x:c r="I227" s="9" t="str">
        <x:v>Compare scenarios</x:v>
      </x:c>
      <x:c r="J227" s="9" t="str">
        <x:v>Can a growing business run out of cash before customers pay? Apply the question to factoring and invoice discounting.</x:v>
      </x:c>
      <x:c r="K227" s="13" t="str">
        <x:v>Not authored</x:v>
      </x:c>
      <x:c r="L227" s="13" t="str">
        <x:v>No</x:v>
      </x:c>
      <x:c r="M227" s="13" t="str"/>
    </x:row>
    <x:row r="228" ht="58" customHeight="1">
      <x:c r="A228" s="10" t="str">
        <x:v>T14.09</x:v>
      </x:c>
      <x:c r="B228" s="10" t="str">
        <x:v>D14</x:v>
      </x:c>
      <x:c r="C228" s="10" t="str">
        <x:v>Reverse factoring and supply-chain finance</x:v>
      </x:c>
      <x:c r="D228" s="10" t="str">
        <x:v>Core</x:v>
      </x:c>
      <x:c r="E228" s="10" t="str">
        <x:v>T06.01</x:v>
      </x:c>
      <x:c r="F228" s="10" t="str">
        <x:v>T14.07</x:v>
      </x:c>
      <x:c r="G228" s="11" t="n">
        <x:v>4</x:v>
      </x:c>
      <x:c r="H228" s="11" t="n">
        <x:v>1</x:v>
      </x:c>
      <x:c r="I228" s="10" t="str">
        <x:v>Compare scenarios</x:v>
      </x:c>
      <x:c r="J228" s="10" t="str">
        <x:v>Can a growing business run out of cash before customers pay? Apply the question to reverse factoring and supply-chain finance.</x:v>
      </x:c>
      <x:c r="K228" s="13" t="str">
        <x:v>Not authored</x:v>
      </x:c>
      <x:c r="L228" s="13" t="str">
        <x:v>No</x:v>
      </x:c>
      <x:c r="M228" s="13" t="str"/>
    </x:row>
    <x:row r="229" ht="58" customHeight="1">
      <x:c r="A229" s="9" t="str">
        <x:v>T14.10</x:v>
      </x:c>
      <x:c r="B229" s="9" t="str">
        <x:v>D14</x:v>
      </x:c>
      <x:c r="C229" s="9" t="str">
        <x:v>Cash-credit facilities, overdrafts, and revolving credit</x:v>
      </x:c>
      <x:c r="D229" s="9" t="str">
        <x:v>Core</x:v>
      </x:c>
      <x:c r="E229" s="9" t="str">
        <x:v>T06.01</x:v>
      </x:c>
      <x:c r="F229" s="9" t="str">
        <x:v>T14.15</x:v>
      </x:c>
      <x:c r="G229" s="12" t="n">
        <x:v>4</x:v>
      </x:c>
      <x:c r="H229" s="12" t="n">
        <x:v>0</x:v>
      </x:c>
      <x:c r="I229" s="9" t="str">
        <x:v>Compare scenarios</x:v>
      </x:c>
      <x:c r="J229" s="9" t="str">
        <x:v>Can a growing business run out of cash before customers pay? Apply the question to cash-credit facilities, overdrafts, and revolving credit.</x:v>
      </x:c>
      <x:c r="K229" s="13" t="str">
        <x:v>Not authored</x:v>
      </x:c>
      <x:c r="L229" s="13" t="str">
        <x:v>No</x:v>
      </x:c>
      <x:c r="M229" s="13" t="str"/>
    </x:row>
    <x:row r="230" ht="58" customHeight="1">
      <x:c r="A230" s="10" t="str">
        <x:v>T14.11</x:v>
      </x:c>
      <x:c r="B230" s="10" t="str">
        <x:v>D14</x:v>
      </x:c>
      <x:c r="C230" s="10" t="str">
        <x:v>Commercial paper and short-term funding</x:v>
      </x:c>
      <x:c r="D230" s="10" t="str">
        <x:v>Core</x:v>
      </x:c>
      <x:c r="E230" s="10" t="str">
        <x:v>T06.01</x:v>
      </x:c>
      <x:c r="F230" s="10" t="str">
        <x:v>T14.10</x:v>
      </x:c>
      <x:c r="G230" s="11" t="n">
        <x:v>3</x:v>
      </x:c>
      <x:c r="H230" s="11" t="n">
        <x:v>0</x:v>
      </x:c>
      <x:c r="I230" s="10" t="str">
        <x:v>Compare scenarios</x:v>
      </x:c>
      <x:c r="J230" s="10" t="str">
        <x:v>Can a growing business run out of cash before customers pay? Apply the question to commercial paper and short-term funding.</x:v>
      </x:c>
      <x:c r="K230" s="13" t="str">
        <x:v>Not authored</x:v>
      </x:c>
      <x:c r="L230" s="13" t="str">
        <x:v>No</x:v>
      </x:c>
      <x:c r="M230" s="13" t="str"/>
    </x:row>
    <x:row r="231" ht="58" customHeight="1">
      <x:c r="A231" s="9" t="str">
        <x:v>T14.12</x:v>
      </x:c>
      <x:c r="B231" s="9" t="str">
        <x:v>D14</x:v>
      </x:c>
      <x:c r="C231" s="9" t="str">
        <x:v>Cash pooling and intercompany funding</x:v>
      </x:c>
      <x:c r="D231" s="9" t="str">
        <x:v>Core</x:v>
      </x:c>
      <x:c r="E231" s="9" t="str">
        <x:v>T06.01</x:v>
      </x:c>
      <x:c r="F231" s="9" t="str">
        <x:v>T14.04</x:v>
      </x:c>
      <x:c r="G231" s="12" t="n">
        <x:v>3</x:v>
      </x:c>
      <x:c r="H231" s="12" t="n">
        <x:v>0</x:v>
      </x:c>
      <x:c r="I231" s="9" t="str">
        <x:v>Compare scenarios</x:v>
      </x:c>
      <x:c r="J231" s="9" t="str">
        <x:v>Can a growing business run out of cash before customers pay? Apply the question to cash pooling and intercompany funding.</x:v>
      </x:c>
      <x:c r="K231" s="13" t="str">
        <x:v>Not authored</x:v>
      </x:c>
      <x:c r="L231" s="13" t="str">
        <x:v>No</x:v>
      </x:c>
      <x:c r="M231" s="13" t="str"/>
    </x:row>
    <x:row r="232" ht="58" customHeight="1">
      <x:c r="A232" s="10" t="str">
        <x:v>T14.13</x:v>
      </x:c>
      <x:c r="B232" s="10" t="str">
        <x:v>D14</x:v>
      </x:c>
      <x:c r="C232" s="10" t="str">
        <x:v>Treasury investment policies</x:v>
      </x:c>
      <x:c r="D232" s="10" t="str">
        <x:v>Core</x:v>
      </x:c>
      <x:c r="E232" s="10" t="str">
        <x:v>T06.01</x:v>
      </x:c>
      <x:c r="F232" s="10" t="str">
        <x:v>T14.15</x:v>
      </x:c>
      <x:c r="G232" s="11" t="n">
        <x:v>3</x:v>
      </x:c>
      <x:c r="H232" s="11" t="n">
        <x:v>0</x:v>
      </x:c>
      <x:c r="I232" s="10" t="str">
        <x:v>Compare scenarios</x:v>
      </x:c>
      <x:c r="J232" s="10" t="str">
        <x:v>Can a growing business run out of cash before customers pay? Apply the question to treasury investment policies.</x:v>
      </x:c>
      <x:c r="K232" s="13" t="str">
        <x:v>Not authored</x:v>
      </x:c>
      <x:c r="L232" s="13" t="str">
        <x:v>No</x:v>
      </x:c>
      <x:c r="M232" s="13" t="str"/>
    </x:row>
    <x:row r="233" ht="58" customHeight="1">
      <x:c r="A233" s="9" t="str">
        <x:v>T14.14</x:v>
      </x:c>
      <x:c r="B233" s="9" t="str">
        <x:v>D14</x:v>
      </x:c>
      <x:c r="C233" s="9" t="str">
        <x:v>Foreign-exchange and interest-rate exposure</x:v>
      </x:c>
      <x:c r="D233" s="9" t="str">
        <x:v>Core</x:v>
      </x:c>
      <x:c r="E233" s="9" t="str">
        <x:v>T06.01</x:v>
      </x:c>
      <x:c r="F233" s="9" t="str">
        <x:v>T14.16</x:v>
      </x:c>
      <x:c r="G233" s="12" t="n">
        <x:v>5</x:v>
      </x:c>
      <x:c r="H233" s="12" t="n">
        <x:v>1</x:v>
      </x:c>
      <x:c r="I233" s="9" t="str">
        <x:v>Compare scenarios</x:v>
      </x:c>
      <x:c r="J233" s="9" t="str">
        <x:v>Can a growing business run out of cash before customers pay? Apply the question to foreign-exchange and interest-rate exposure.</x:v>
      </x:c>
      <x:c r="K233" s="13" t="str">
        <x:v>Not authored</x:v>
      </x:c>
      <x:c r="L233" s="13" t="str">
        <x:v>No</x:v>
      </x:c>
      <x:c r="M233" s="13" t="str"/>
    </x:row>
    <x:row r="234" ht="58" customHeight="1">
      <x:c r="A234" s="10" t="str">
        <x:v>T14.15</x:v>
      </x:c>
      <x:c r="B234" s="10" t="str">
        <x:v>D14</x:v>
      </x:c>
      <x:c r="C234" s="10" t="str">
        <x:v>Liquidity buffers and contingency funding</x:v>
      </x:c>
      <x:c r="D234" s="10" t="str">
        <x:v>Core</x:v>
      </x:c>
      <x:c r="E234" s="10" t="str">
        <x:v>T06.01</x:v>
      </x:c>
      <x:c r="F234" s="10" t="str">
        <x:v>T14.04</x:v>
      </x:c>
      <x:c r="G234" s="11" t="n">
        <x:v>8</x:v>
      </x:c>
      <x:c r="H234" s="11" t="n">
        <x:v>2</x:v>
      </x:c>
      <x:c r="I234" s="10" t="str">
        <x:v>Compare scenarios</x:v>
      </x:c>
      <x:c r="J234" s="10" t="str">
        <x:v>Can a growing business run out of cash before customers pay? Apply the question to liquidity buffers and contingency funding.</x:v>
      </x:c>
      <x:c r="K234" s="13" t="str">
        <x:v>Not authored</x:v>
      </x:c>
      <x:c r="L234" s="13" t="str">
        <x:v>No</x:v>
      </x:c>
      <x:c r="M234" s="13" t="str"/>
    </x:row>
    <x:row r="235" ht="58" customHeight="1">
      <x:c r="A235" s="9" t="str">
        <x:v>T14.16</x:v>
      </x:c>
      <x:c r="B235" s="9" t="str">
        <x:v>D14</x:v>
      </x:c>
      <x:c r="C235" s="9" t="str">
        <x:v>Treasury controls and counterparty management</x:v>
      </x:c>
      <x:c r="D235" s="9" t="str">
        <x:v>Core</x:v>
      </x:c>
      <x:c r="E235" s="9" t="str">
        <x:v>T06.01</x:v>
      </x:c>
      <x:c r="F235" s="9" t="str">
        <x:v>T14.14</x:v>
      </x:c>
      <x:c r="G235" s="12" t="n">
        <x:v>4</x:v>
      </x:c>
      <x:c r="H235" s="12" t="n">
        <x:v>0</x:v>
      </x:c>
      <x:c r="I235" s="9" t="str">
        <x:v>Compare scenarios</x:v>
      </x:c>
      <x:c r="J235" s="9" t="str">
        <x:v>Can a growing business run out of cash before customers pay? Apply the question to treasury controls and counterparty management.</x:v>
      </x:c>
      <x:c r="K235" s="13" t="str">
        <x:v>Not authored</x:v>
      </x:c>
      <x:c r="L235" s="13" t="str">
        <x:v>No</x:v>
      </x:c>
      <x:c r="M235" s="13" t="str"/>
    </x:row>
    <x:row r="236" ht="58" customHeight="1">
      <x:c r="A236" s="10" t="str">
        <x:v>T15.01</x:v>
      </x:c>
      <x:c r="B236" s="10" t="str">
        <x:v>D15</x:v>
      </x:c>
      <x:c r="C236" s="10" t="str">
        <x:v>Strategic financial planning</x:v>
      </x:c>
      <x:c r="D236" s="10" t="str">
        <x:v>Core</x:v>
      </x:c>
      <x:c r="E236" s="10" t="str">
        <x:v>T11.02</x:v>
      </x:c>
      <x:c r="F236" s="10" t="str">
        <x:v>T15.02</x:v>
      </x:c>
      <x:c r="G236" s="11" t="n">
        <x:v>3</x:v>
      </x:c>
      <x:c r="H236" s="11" t="n">
        <x:v>0</x:v>
      </x:c>
      <x:c r="I236" s="10" t="str">
        <x:v>Compare scenarios</x:v>
      </x:c>
      <x:c r="J236" s="10" t="str">
        <x:v>Which operating assumption explains the gap between plan and actual results? Apply the question to strategic financial planning.</x:v>
      </x:c>
      <x:c r="K236" s="13" t="str">
        <x:v>Not authored</x:v>
      </x:c>
      <x:c r="L236" s="13" t="str">
        <x:v>No</x:v>
      </x:c>
      <x:c r="M236" s="13" t="str"/>
    </x:row>
    <x:row r="237" ht="58" customHeight="1">
      <x:c r="A237" s="9" t="str">
        <x:v>T15.02</x:v>
      </x:c>
      <x:c r="B237" s="9" t="str">
        <x:v>D15</x:v>
      </x:c>
      <x:c r="C237" s="9" t="str">
        <x:v>Annual operating plans</x:v>
      </x:c>
      <x:c r="D237" s="9" t="str">
        <x:v>Core</x:v>
      </x:c>
      <x:c r="E237" s="9" t="str">
        <x:v>T11.02</x:v>
      </x:c>
      <x:c r="F237" s="9" t="str">
        <x:v>T15.03</x:v>
      </x:c>
      <x:c r="G237" s="12" t="n">
        <x:v>5</x:v>
      </x:c>
      <x:c r="H237" s="12" t="n">
        <x:v>0</x:v>
      </x:c>
      <x:c r="I237" s="9" t="str">
        <x:v>Compare scenarios</x:v>
      </x:c>
      <x:c r="J237" s="9" t="str">
        <x:v>Which operating assumption explains the gap between plan and actual results? Apply the question to annual operating plans.</x:v>
      </x:c>
      <x:c r="K237" s="13" t="str">
        <x:v>Not authored</x:v>
      </x:c>
      <x:c r="L237" s="13" t="str">
        <x:v>No</x:v>
      </x:c>
      <x:c r="M237" s="13" t="str"/>
    </x:row>
    <x:row r="238" ht="58" customHeight="1">
      <x:c r="A238" s="10" t="str">
        <x:v>T15.03</x:v>
      </x:c>
      <x:c r="B238" s="10" t="str">
        <x:v>D15</x:v>
      </x:c>
      <x:c r="C238" s="10" t="str">
        <x:v>Master budgets and departmental budgets</x:v>
      </x:c>
      <x:c r="D238" s="10" t="str">
        <x:v>Core</x:v>
      </x:c>
      <x:c r="E238" s="10" t="str">
        <x:v>T11.02</x:v>
      </x:c>
      <x:c r="F238" s="10" t="str">
        <x:v>T15.02</x:v>
      </x:c>
      <x:c r="G238" s="11" t="n">
        <x:v>5</x:v>
      </x:c>
      <x:c r="H238" s="11" t="n">
        <x:v>0</x:v>
      </x:c>
      <x:c r="I238" s="10" t="str">
        <x:v>Compare scenarios</x:v>
      </x:c>
      <x:c r="J238" s="10" t="str">
        <x:v>Which operating assumption explains the gap between plan and actual results? Apply the question to master budgets and departmental budgets.</x:v>
      </x:c>
      <x:c r="K238" s="13" t="str">
        <x:v>Not authored</x:v>
      </x:c>
      <x:c r="L238" s="13" t="str">
        <x:v>No</x:v>
      </x:c>
      <x:c r="M238" s="13" t="str"/>
    </x:row>
    <x:row r="239" ht="58" customHeight="1">
      <x:c r="A239" s="9" t="str">
        <x:v>T15.04</x:v>
      </x:c>
      <x:c r="B239" s="9" t="str">
        <x:v>D15</x:v>
      </x:c>
      <x:c r="C239" s="9" t="str">
        <x:v>Zero-based, incremental, and activity-based budgeting</x:v>
      </x:c>
      <x:c r="D239" s="9" t="str">
        <x:v>Core</x:v>
      </x:c>
      <x:c r="E239" s="9" t="str">
        <x:v>T11.02</x:v>
      </x:c>
      <x:c r="F239" s="9" t="str">
        <x:v>T15.03</x:v>
      </x:c>
      <x:c r="G239" s="12" t="n">
        <x:v>3</x:v>
      </x:c>
      <x:c r="H239" s="12" t="n">
        <x:v>0</x:v>
      </x:c>
      <x:c r="I239" s="9" t="str">
        <x:v>Compare scenarios</x:v>
      </x:c>
      <x:c r="J239" s="9" t="str">
        <x:v>Which operating assumption explains the gap between plan and actual results? Apply the question to zero-based, incremental, and activity-based budgeting.</x:v>
      </x:c>
      <x:c r="K239" s="13" t="str">
        <x:v>Not authored</x:v>
      </x:c>
      <x:c r="L239" s="13" t="str">
        <x:v>No</x:v>
      </x:c>
      <x:c r="M239" s="13" t="str"/>
    </x:row>
    <x:row r="240" ht="58" customHeight="1">
      <x:c r="A240" s="10" t="str">
        <x:v>T15.05</x:v>
      </x:c>
      <x:c r="B240" s="10" t="str">
        <x:v>D15</x:v>
      </x:c>
      <x:c r="C240" s="10" t="str">
        <x:v>Flexible budgets and rolling forecasts</x:v>
      </x:c>
      <x:c r="D240" s="10" t="str">
        <x:v>Core</x:v>
      </x:c>
      <x:c r="E240" s="10" t="str">
        <x:v>T11.02</x:v>
      </x:c>
      <x:c r="F240" s="10" t="str">
        <x:v>T15.14</x:v>
      </x:c>
      <x:c r="G240" s="11" t="n">
        <x:v>4</x:v>
      </x:c>
      <x:c r="H240" s="11" t="n">
        <x:v>0</x:v>
      </x:c>
      <x:c r="I240" s="10" t="str">
        <x:v>Compare scenarios</x:v>
      </x:c>
      <x:c r="J240" s="10" t="str">
        <x:v>Which operating assumption explains the gap between plan and actual results? Apply the question to flexible budgets and rolling forecasts.</x:v>
      </x:c>
      <x:c r="K240" s="13" t="str">
        <x:v>Not authored</x:v>
      </x:c>
      <x:c r="L240" s="13" t="str">
        <x:v>No</x:v>
      </x:c>
      <x:c r="M240" s="13" t="str"/>
    </x:row>
    <x:row r="241" ht="58" customHeight="1">
      <x:c r="A241" s="9" t="str">
        <x:v>T15.06</x:v>
      </x:c>
      <x:c r="B241" s="9" t="str">
        <x:v>D15</x:v>
      </x:c>
      <x:c r="C241" s="9" t="str">
        <x:v>Revenue, cost, headcount, and capital expenditure forecasting</x:v>
      </x:c>
      <x:c r="D241" s="9" t="str">
        <x:v>Core</x:v>
      </x:c>
      <x:c r="E241" s="9" t="str">
        <x:v>T11.02</x:v>
      </x:c>
      <x:c r="F241" s="9" t="str">
        <x:v>T15.05</x:v>
      </x:c>
      <x:c r="G241" s="12" t="n">
        <x:v>5</x:v>
      </x:c>
      <x:c r="H241" s="12" t="n">
        <x:v>2</x:v>
      </x:c>
      <x:c r="I241" s="9" t="str">
        <x:v>Compare scenarios</x:v>
      </x:c>
      <x:c r="J241" s="9" t="str">
        <x:v>Which operating assumption explains the gap between plan and actual results? Apply the question to revenue, cost, headcount, and capital expenditure forecasting.</x:v>
      </x:c>
      <x:c r="K241" s="13" t="str">
        <x:v>Not authored</x:v>
      </x:c>
      <x:c r="L241" s="13" t="str">
        <x:v>No</x:v>
      </x:c>
      <x:c r="M241" s="13" t="str"/>
    </x:row>
    <x:row r="242" ht="58" customHeight="1">
      <x:c r="A242" s="10" t="str">
        <x:v>T15.07</x:v>
      </x:c>
      <x:c r="B242" s="10" t="str">
        <x:v>D15</x:v>
      </x:c>
      <x:c r="C242" s="10" t="str">
        <x:v>Variance analysis</x:v>
      </x:c>
      <x:c r="D242" s="10" t="str">
        <x:v>Core</x:v>
      </x:c>
      <x:c r="E242" s="10" t="str">
        <x:v>T11.02</x:v>
      </x:c>
      <x:c r="F242" s="10" t="str">
        <x:v>T15.14</x:v>
      </x:c>
      <x:c r="G242" s="11" t="n">
        <x:v>5</x:v>
      </x:c>
      <x:c r="H242" s="11" t="n">
        <x:v>1</x:v>
      </x:c>
      <x:c r="I242" s="10" t="str">
        <x:v>Compare scenarios</x:v>
      </x:c>
      <x:c r="J242" s="10" t="str">
        <x:v>Which operating assumption explains the gap between plan and actual results? Apply the question to variance analysis.</x:v>
      </x:c>
      <x:c r="K242" s="13" t="str">
        <x:v>Not authored</x:v>
      </x:c>
      <x:c r="L242" s="13" t="str">
        <x:v>No</x:v>
      </x:c>
      <x:c r="M242" s="13" t="str"/>
    </x:row>
    <x:row r="243" ht="58" customHeight="1">
      <x:c r="A243" s="9" t="str">
        <x:v>T15.08</x:v>
      </x:c>
      <x:c r="B243" s="9" t="str">
        <x:v>D15</x:v>
      </x:c>
      <x:c r="C243" s="9" t="str">
        <x:v>Standard costing and activity-based costing</x:v>
      </x:c>
      <x:c r="D243" s="9" t="str">
        <x:v>Core</x:v>
      </x:c>
      <x:c r="E243" s="9" t="str">
        <x:v>T11.02</x:v>
      </x:c>
      <x:c r="F243" s="9" t="str">
        <x:v>T15.09</x:v>
      </x:c>
      <x:c r="G243" s="12" t="n">
        <x:v>5</x:v>
      </x:c>
      <x:c r="H243" s="12" t="n">
        <x:v>1</x:v>
      </x:c>
      <x:c r="I243" s="9" t="str">
        <x:v>Compare scenarios</x:v>
      </x:c>
      <x:c r="J243" s="9" t="str">
        <x:v>Which operating assumption explains the gap between plan and actual results? Apply the question to standard costing and activity-based costing.</x:v>
      </x:c>
      <x:c r="K243" s="13" t="str">
        <x:v>Not authored</x:v>
      </x:c>
      <x:c r="L243" s="13" t="str">
        <x:v>No</x:v>
      </x:c>
      <x:c r="M243" s="13" t="str"/>
    </x:row>
    <x:row r="244" ht="58" customHeight="1">
      <x:c r="A244" s="10" t="str">
        <x:v>T15.09</x:v>
      </x:c>
      <x:c r="B244" s="10" t="str">
        <x:v>D15</x:v>
      </x:c>
      <x:c r="C244" s="10" t="str">
        <x:v>Cost allocation and responsibility centres</x:v>
      </x:c>
      <x:c r="D244" s="10" t="str">
        <x:v>Core</x:v>
      </x:c>
      <x:c r="E244" s="10" t="str">
        <x:v>T11.02</x:v>
      </x:c>
      <x:c r="F244" s="10" t="str">
        <x:v>T15.08</x:v>
      </x:c>
      <x:c r="G244" s="11" t="n">
        <x:v>5</x:v>
      </x:c>
      <x:c r="H244" s="11" t="n">
        <x:v>0</x:v>
      </x:c>
      <x:c r="I244" s="10" t="str">
        <x:v>Compare scenarios</x:v>
      </x:c>
      <x:c r="J244" s="10" t="str">
        <x:v>Which operating assumption explains the gap between plan and actual results? Apply the question to cost allocation and responsibility centres.</x:v>
      </x:c>
      <x:c r="K244" s="13" t="str">
        <x:v>Not authored</x:v>
      </x:c>
      <x:c r="L244" s="13" t="str">
        <x:v>No</x:v>
      </x:c>
      <x:c r="M244" s="13" t="str"/>
    </x:row>
    <x:row r="245" ht="58" customHeight="1">
      <x:c r="A245" s="9" t="str">
        <x:v>T15.10</x:v>
      </x:c>
      <x:c r="B245" s="9" t="str">
        <x:v>D15</x:v>
      </x:c>
      <x:c r="C245" s="9" t="str">
        <x:v>Relevant costing and make-or-buy decisions</x:v>
      </x:c>
      <x:c r="D245" s="9" t="str">
        <x:v>Core</x:v>
      </x:c>
      <x:c r="E245" s="9" t="str">
        <x:v>T11.02</x:v>
      </x:c>
      <x:c r="F245" s="9" t="str">
        <x:v>T15.12</x:v>
      </x:c>
      <x:c r="G245" s="12" t="n">
        <x:v>5</x:v>
      </x:c>
      <x:c r="H245" s="12" t="n">
        <x:v>1</x:v>
      </x:c>
      <x:c r="I245" s="9" t="str">
        <x:v>Compare scenarios</x:v>
      </x:c>
      <x:c r="J245" s="9" t="str">
        <x:v>Which operating assumption explains the gap between plan and actual results? Apply the question to relevant costing and make-or-buy decisions.</x:v>
      </x:c>
      <x:c r="K245" s="13" t="str">
        <x:v>Not authored</x:v>
      </x:c>
      <x:c r="L245" s="13" t="str">
        <x:v>No</x:v>
      </x:c>
      <x:c r="M245" s="13" t="str"/>
    </x:row>
    <x:row r="246" ht="58" customHeight="1">
      <x:c r="A246" s="10" t="str">
        <x:v>T15.11</x:v>
      </x:c>
      <x:c r="B246" s="10" t="str">
        <x:v>D15</x:v>
      </x:c>
      <x:c r="C246" s="10" t="str">
        <x:v>Transfer pricing for internal decisions</x:v>
      </x:c>
      <x:c r="D246" s="10" t="str">
        <x:v>Core</x:v>
      </x:c>
      <x:c r="E246" s="10" t="str">
        <x:v>T11.02</x:v>
      </x:c>
      <x:c r="F246" s="10" t="str">
        <x:v>T15.09</x:v>
      </x:c>
      <x:c r="G246" s="11" t="n">
        <x:v>4</x:v>
      </x:c>
      <x:c r="H246" s="11" t="n">
        <x:v>1</x:v>
      </x:c>
      <x:c r="I246" s="10" t="str">
        <x:v>Compare scenarios</x:v>
      </x:c>
      <x:c r="J246" s="10" t="str">
        <x:v>Which operating assumption explains the gap between plan and actual results? Apply the question to transfer pricing for internal decisions.</x:v>
      </x:c>
      <x:c r="K246" s="13" t="str">
        <x:v>Not authored</x:v>
      </x:c>
      <x:c r="L246" s="13" t="str">
        <x:v>No</x:v>
      </x:c>
      <x:c r="M246" s="13" t="str"/>
    </x:row>
    <x:row r="247" ht="58" customHeight="1">
      <x:c r="A247" s="9" t="str">
        <x:v>T15.12</x:v>
      </x:c>
      <x:c r="B247" s="9" t="str">
        <x:v>D15</x:v>
      </x:c>
      <x:c r="C247" s="9" t="str">
        <x:v>Product-mix and capacity decisions</x:v>
      </x:c>
      <x:c r="D247" s="9" t="str">
        <x:v>Core</x:v>
      </x:c>
      <x:c r="E247" s="9" t="str">
        <x:v>T11.02</x:v>
      </x:c>
      <x:c r="F247" s="9" t="str">
        <x:v>T15.10</x:v>
      </x:c>
      <x:c r="G247" s="12" t="n">
        <x:v>5</x:v>
      </x:c>
      <x:c r="H247" s="12" t="n">
        <x:v>1</x:v>
      </x:c>
      <x:c r="I247" s="9" t="str">
        <x:v>Compare scenarios</x:v>
      </x:c>
      <x:c r="J247" s="9" t="str">
        <x:v>Which operating assumption explains the gap between plan and actual results? Apply the question to product-mix and capacity decisions.</x:v>
      </x:c>
      <x:c r="K247" s="13" t="str">
        <x:v>Not authored</x:v>
      </x:c>
      <x:c r="L247" s="13" t="str">
        <x:v>No</x:v>
      </x:c>
      <x:c r="M247" s="13" t="str"/>
    </x:row>
    <x:row r="248" ht="58" customHeight="1">
      <x:c r="A248" s="10" t="str">
        <x:v>T15.13</x:v>
      </x:c>
      <x:c r="B248" s="10" t="str">
        <x:v>D15</x:v>
      </x:c>
      <x:c r="C248" s="10" t="str">
        <x:v>Management dashboards and KPI trees</x:v>
      </x:c>
      <x:c r="D248" s="10" t="str">
        <x:v>Core</x:v>
      </x:c>
      <x:c r="E248" s="10" t="str">
        <x:v>T11.02</x:v>
      </x:c>
      <x:c r="F248" s="10" t="str">
        <x:v>T15.15</x:v>
      </x:c>
      <x:c r="G248" s="11" t="n">
        <x:v>4</x:v>
      </x:c>
      <x:c r="H248" s="11" t="n">
        <x:v>0</x:v>
      </x:c>
      <x:c r="I248" s="10" t="str">
        <x:v>Compare scenarios</x:v>
      </x:c>
      <x:c r="J248" s="10" t="str">
        <x:v>Which operating assumption explains the gap between plan and actual results? Apply the question to management dashboards and kpi trees.</x:v>
      </x:c>
      <x:c r="K248" s="13" t="str">
        <x:v>Not authored</x:v>
      </x:c>
      <x:c r="L248" s="13" t="str">
        <x:v>No</x:v>
      </x:c>
      <x:c r="M248" s="13" t="str"/>
    </x:row>
    <x:row r="249" ht="58" customHeight="1">
      <x:c r="A249" s="9" t="str">
        <x:v>T15.14</x:v>
      </x:c>
      <x:c r="B249" s="9" t="str">
        <x:v>D15</x:v>
      </x:c>
      <x:c r="C249" s="9" t="str">
        <x:v>Forecast accuracy</x:v>
      </x:c>
      <x:c r="D249" s="9" t="str">
        <x:v>Core</x:v>
      </x:c>
      <x:c r="E249" s="9" t="str">
        <x:v>T11.02</x:v>
      </x:c>
      <x:c r="F249" s="9" t="str">
        <x:v>T15.07</x:v>
      </x:c>
      <x:c r="G249" s="12" t="n">
        <x:v>6</x:v>
      </x:c>
      <x:c r="H249" s="12" t="n">
        <x:v>1</x:v>
      </x:c>
      <x:c r="I249" s="9" t="str">
        <x:v>Compare scenarios</x:v>
      </x:c>
      <x:c r="J249" s="9" t="str">
        <x:v>Which operating assumption explains the gap between plan and actual results? Apply the question to forecast accuracy.</x:v>
      </x:c>
      <x:c r="K249" s="13" t="str">
        <x:v>Not authored</x:v>
      </x:c>
      <x:c r="L249" s="13" t="str">
        <x:v>No</x:v>
      </x:c>
      <x:c r="M249" s="13" t="str"/>
    </x:row>
    <x:row r="250" ht="58" customHeight="1">
      <x:c r="A250" s="10" t="str">
        <x:v>T15.15</x:v>
      </x:c>
      <x:c r="B250" s="10" t="str">
        <x:v>D15</x:v>
      </x:c>
      <x:c r="C250" s="10" t="str">
        <x:v>Business partnering and board reporting</x:v>
      </x:c>
      <x:c r="D250" s="10" t="str">
        <x:v>Core</x:v>
      </x:c>
      <x:c r="E250" s="10" t="str">
        <x:v>T11.02</x:v>
      </x:c>
      <x:c r="F250" s="10" t="str">
        <x:v>T15.13</x:v>
      </x:c>
      <x:c r="G250" s="11" t="n">
        <x:v>4</x:v>
      </x:c>
      <x:c r="H250" s="11" t="n">
        <x:v>0</x:v>
      </x:c>
      <x:c r="I250" s="10" t="str">
        <x:v>Compare scenarios</x:v>
      </x:c>
      <x:c r="J250" s="10" t="str">
        <x:v>Which operating assumption explains the gap between plan and actual results? Apply the question to business partnering and board reporting.</x:v>
      </x:c>
      <x:c r="K250" s="13" t="str">
        <x:v>Not authored</x:v>
      </x:c>
      <x:c r="L250" s="13" t="str">
        <x:v>No</x:v>
      </x:c>
      <x:c r="M250" s="13" t="str"/>
    </x:row>
    <x:row r="251" ht="58" customHeight="1">
      <x:c r="A251" s="9" t="str">
        <x:v>T16.01</x:v>
      </x:c>
      <x:c r="B251" s="9" t="str">
        <x:v>D16</x:v>
      </x:c>
      <x:c r="C251" s="9" t="str">
        <x:v>Model structure, assumptions, and conventions</x:v>
      </x:c>
      <x:c r="D251" s="9" t="str">
        <x:v>Core</x:v>
      </x:c>
      <x:c r="E251" s="9" t="str">
        <x:v>T07.14</x:v>
      </x:c>
      <x:c r="F251" s="9" t="str">
        <x:v>T16.16</x:v>
      </x:c>
      <x:c r="G251" s="12" t="n">
        <x:v>3</x:v>
      </x:c>
      <x:c r="H251" s="12" t="n">
        <x:v>0</x:v>
      </x:c>
      <x:c r="I251" s="9" t="str">
        <x:v>Inspect a calculation</x:v>
      </x:c>
      <x:c r="J251" s="9" t="str">
        <x:v>If this input changes, which schedules should change with it? Apply the question to model structure, assumptions, and conventions.</x:v>
      </x:c>
      <x:c r="K251" s="13" t="str">
        <x:v>Not authored</x:v>
      </x:c>
      <x:c r="L251" s="13" t="str">
        <x:v>No</x:v>
      </x:c>
      <x:c r="M251" s="13" t="str"/>
    </x:row>
    <x:row r="252" ht="58" customHeight="1">
      <x:c r="A252" s="10" t="str">
        <x:v>T16.02</x:v>
      </x:c>
      <x:c r="B252" s="10" t="str">
        <x:v>D16</x:v>
      </x:c>
      <x:c r="C252" s="10" t="str">
        <x:v>Historical financial statement preparation</x:v>
      </x:c>
      <x:c r="D252" s="10" t="str">
        <x:v>Core</x:v>
      </x:c>
      <x:c r="E252" s="10" t="str">
        <x:v>T07.14</x:v>
      </x:c>
      <x:c r="F252" s="10" t="str">
        <x:v>T16.03</x:v>
      </x:c>
      <x:c r="G252" s="11" t="n">
        <x:v>3</x:v>
      </x:c>
      <x:c r="H252" s="11" t="n">
        <x:v>0</x:v>
      </x:c>
      <x:c r="I252" s="10" t="str">
        <x:v>Inspect a calculation</x:v>
      </x:c>
      <x:c r="J252" s="10" t="str">
        <x:v>If this input changes, which schedules should change with it? Apply the question to historical financial statement preparation.</x:v>
      </x:c>
      <x:c r="K252" s="13" t="str">
        <x:v>Not authored</x:v>
      </x:c>
      <x:c r="L252" s="13" t="str">
        <x:v>No</x:v>
      </x:c>
      <x:c r="M252" s="13" t="str"/>
    </x:row>
    <x:row r="253" ht="58" customHeight="1">
      <x:c r="A253" s="9" t="str">
        <x:v>T16.03</x:v>
      </x:c>
      <x:c r="B253" s="9" t="str">
        <x:v>D16</x:v>
      </x:c>
      <x:c r="C253" s="9" t="str">
        <x:v>Three-statement models</x:v>
      </x:c>
      <x:c r="D253" s="9" t="str">
        <x:v>Core</x:v>
      </x:c>
      <x:c r="E253" s="9" t="str">
        <x:v>T07.14</x:v>
      </x:c>
      <x:c r="F253" s="9" t="str">
        <x:v>T16.09</x:v>
      </x:c>
      <x:c r="G253" s="12" t="n">
        <x:v>16</x:v>
      </x:c>
      <x:c r="H253" s="12" t="n">
        <x:v>2</x:v>
      </x:c>
      <x:c r="I253" s="9" t="str">
        <x:v>Inspect a calculation</x:v>
      </x:c>
      <x:c r="J253" s="9" t="str">
        <x:v>If this input changes, which schedules should change with it? Apply the question to three-statement models.</x:v>
      </x:c>
      <x:c r="K253" s="13" t="str">
        <x:v>Not authored</x:v>
      </x:c>
      <x:c r="L253" s="13" t="str">
        <x:v>No</x:v>
      </x:c>
      <x:c r="M253" s="13" t="str"/>
    </x:row>
    <x:row r="254" ht="58" customHeight="1">
      <x:c r="A254" s="10" t="str">
        <x:v>T16.04</x:v>
      </x:c>
      <x:c r="B254" s="10" t="str">
        <x:v>D16</x:v>
      </x:c>
      <x:c r="C254" s="10" t="str">
        <x:v>Revenue and operating-cost schedules</x:v>
      </x:c>
      <x:c r="D254" s="10" t="str">
        <x:v>Core</x:v>
      </x:c>
      <x:c r="E254" s="10" t="str">
        <x:v>T07.14</x:v>
      </x:c>
      <x:c r="F254" s="10" t="str">
        <x:v>T16.03</x:v>
      </x:c>
      <x:c r="G254" s="11" t="n">
        <x:v>6</x:v>
      </x:c>
      <x:c r="H254" s="11" t="n">
        <x:v>3</x:v>
      </x:c>
      <x:c r="I254" s="10" t="str">
        <x:v>Inspect a calculation</x:v>
      </x:c>
      <x:c r="J254" s="10" t="str">
        <x:v>If this input changes, which schedules should change with it? Apply the question to revenue and operating-cost schedules.</x:v>
      </x:c>
      <x:c r="K254" s="13" t="str">
        <x:v>Not authored</x:v>
      </x:c>
      <x:c r="L254" s="13" t="str">
        <x:v>No</x:v>
      </x:c>
      <x:c r="M254" s="13" t="str"/>
    </x:row>
    <x:row r="255" ht="58" customHeight="1">
      <x:c r="A255" s="9" t="str">
        <x:v>T16.05</x:v>
      </x:c>
      <x:c r="B255" s="9" t="str">
        <x:v>D16</x:v>
      </x:c>
      <x:c r="C255" s="9" t="str">
        <x:v>Working-capital schedules</x:v>
      </x:c>
      <x:c r="D255" s="9" t="str">
        <x:v>Core</x:v>
      </x:c>
      <x:c r="E255" s="9" t="str">
        <x:v>T07.14</x:v>
      </x:c>
      <x:c r="F255" s="9" t="str">
        <x:v>T16.03</x:v>
      </x:c>
      <x:c r="G255" s="12" t="n">
        <x:v>4</x:v>
      </x:c>
      <x:c r="H255" s="12" t="n">
        <x:v>1</x:v>
      </x:c>
      <x:c r="I255" s="9" t="str">
        <x:v>Inspect a calculation</x:v>
      </x:c>
      <x:c r="J255" s="9" t="str">
        <x:v>If this input changes, which schedules should change with it? Apply the question to working-capital schedules.</x:v>
      </x:c>
      <x:c r="K255" s="13" t="str">
        <x:v>Not authored</x:v>
      </x:c>
      <x:c r="L255" s="13" t="str">
        <x:v>No</x:v>
      </x:c>
      <x:c r="M255" s="13" t="str"/>
    </x:row>
    <x:row r="256" ht="58" customHeight="1">
      <x:c r="A256" s="10" t="str">
        <x:v>T16.06</x:v>
      </x:c>
      <x:c r="B256" s="10" t="str">
        <x:v>D16</x:v>
      </x:c>
      <x:c r="C256" s="10" t="str">
        <x:v>Fixed-asset and depreciation schedules</x:v>
      </x:c>
      <x:c r="D256" s="10" t="str">
        <x:v>Core</x:v>
      </x:c>
      <x:c r="E256" s="10" t="str">
        <x:v>T07.14</x:v>
      </x:c>
      <x:c r="F256" s="10" t="str">
        <x:v>T16.03</x:v>
      </x:c>
      <x:c r="G256" s="11" t="n">
        <x:v>4</x:v>
      </x:c>
      <x:c r="H256" s="11" t="n">
        <x:v>1</x:v>
      </x:c>
      <x:c r="I256" s="10" t="str">
        <x:v>Inspect a calculation</x:v>
      </x:c>
      <x:c r="J256" s="10" t="str">
        <x:v>If this input changes, which schedules should change with it? Apply the question to fixed-asset and depreciation schedules.</x:v>
      </x:c>
      <x:c r="K256" s="13" t="str">
        <x:v>Not authored</x:v>
      </x:c>
      <x:c r="L256" s="13" t="str">
        <x:v>No</x:v>
      </x:c>
      <x:c r="M256" s="13" t="str"/>
    </x:row>
    <x:row r="257" ht="58" customHeight="1">
      <x:c r="A257" s="9" t="str">
        <x:v>T16.07</x:v>
      </x:c>
      <x:c r="B257" s="9" t="str">
        <x:v>D16</x:v>
      </x:c>
      <x:c r="C257" s="9" t="str">
        <x:v>Debt, interest, and cash schedules</x:v>
      </x:c>
      <x:c r="D257" s="9" t="str">
        <x:v>Core</x:v>
      </x:c>
      <x:c r="E257" s="9" t="str">
        <x:v>T07.14</x:v>
      </x:c>
      <x:c r="F257" s="9" t="str">
        <x:v>T16.03</x:v>
      </x:c>
      <x:c r="G257" s="12" t="n">
        <x:v>7</x:v>
      </x:c>
      <x:c r="H257" s="12" t="n">
        <x:v>2</x:v>
      </x:c>
      <x:c r="I257" s="9" t="str">
        <x:v>Inspect a calculation</x:v>
      </x:c>
      <x:c r="J257" s="9" t="str">
        <x:v>If this input changes, which schedules should change with it? Apply the question to debt, interest, and cash schedules.</x:v>
      </x:c>
      <x:c r="K257" s="13" t="str">
        <x:v>Not authored</x:v>
      </x:c>
      <x:c r="L257" s="13" t="str">
        <x:v>No</x:v>
      </x:c>
      <x:c r="M257" s="13" t="str"/>
    </x:row>
    <x:row r="258" ht="58" customHeight="1">
      <x:c r="A258" s="10" t="str">
        <x:v>T16.08</x:v>
      </x:c>
      <x:c r="B258" s="10" t="str">
        <x:v>D16</x:v>
      </x:c>
      <x:c r="C258" s="10" t="str">
        <x:v>Tax and equity schedules</x:v>
      </x:c>
      <x:c r="D258" s="10" t="str">
        <x:v>Core</x:v>
      </x:c>
      <x:c r="E258" s="10" t="str">
        <x:v>T07.14</x:v>
      </x:c>
      <x:c r="F258" s="10" t="str">
        <x:v>T16.03</x:v>
      </x:c>
      <x:c r="G258" s="11" t="n">
        <x:v>4</x:v>
      </x:c>
      <x:c r="H258" s="11" t="n">
        <x:v>1</x:v>
      </x:c>
      <x:c r="I258" s="10" t="str">
        <x:v>Inspect a calculation</x:v>
      </x:c>
      <x:c r="J258" s="10" t="str">
        <x:v>If this input changes, which schedules should change with it? Apply the question to tax and equity schedules.</x:v>
      </x:c>
      <x:c r="K258" s="13" t="str">
        <x:v>Not authored</x:v>
      </x:c>
      <x:c r="L258" s="13" t="str">
        <x:v>No</x:v>
      </x:c>
      <x:c r="M258" s="13" t="str"/>
    </x:row>
    <x:row r="259" ht="58" customHeight="1">
      <x:c r="A259" s="9" t="str">
        <x:v>T16.09</x:v>
      </x:c>
      <x:c r="B259" s="9" t="str">
        <x:v>D16</x:v>
      </x:c>
      <x:c r="C259" s="9" t="str">
        <x:v>Circularity and model balancing</x:v>
      </x:c>
      <x:c r="D259" s="9" t="str">
        <x:v>Core</x:v>
      </x:c>
      <x:c r="E259" s="9" t="str">
        <x:v>T07.14, T16.03</x:v>
      </x:c>
      <x:c r="F259" s="9" t="str">
        <x:v>T16.03</x:v>
      </x:c>
      <x:c r="G259" s="12" t="n">
        <x:v>7</x:v>
      </x:c>
      <x:c r="H259" s="12" t="n">
        <x:v>1</x:v>
      </x:c>
      <x:c r="I259" s="9" t="str">
        <x:v>Inspect a calculation</x:v>
      </x:c>
      <x:c r="J259" s="9" t="str">
        <x:v>If this input changes, which schedules should change with it? Apply the question to circularity and model balancing.</x:v>
      </x:c>
      <x:c r="K259" s="13" t="str">
        <x:v>Not authored</x:v>
      </x:c>
      <x:c r="L259" s="13" t="str">
        <x:v>No</x:v>
      </x:c>
      <x:c r="M259" s="13" t="str"/>
    </x:row>
    <x:row r="260" ht="58" customHeight="1">
      <x:c r="A260" s="10" t="str">
        <x:v>T16.10</x:v>
      </x:c>
      <x:c r="B260" s="10" t="str">
        <x:v>D16</x:v>
      </x:c>
      <x:c r="C260" s="10" t="str">
        <x:v>Scenario and sensitivity models</x:v>
      </x:c>
      <x:c r="D260" s="10" t="str">
        <x:v>Core</x:v>
      </x:c>
      <x:c r="E260" s="10" t="str">
        <x:v>T07.14</x:v>
      </x:c>
      <x:c r="F260" s="10" t="str">
        <x:v>T16.16</x:v>
      </x:c>
      <x:c r="G260" s="11" t="n">
        <x:v>6</x:v>
      </x:c>
      <x:c r="H260" s="11" t="n">
        <x:v>2</x:v>
      </x:c>
      <x:c r="I260" s="10" t="str">
        <x:v>Inspect a calculation</x:v>
      </x:c>
      <x:c r="J260" s="10" t="str">
        <x:v>If this input changes, which schedules should change with it? Apply the question to scenario and sensitivity models.</x:v>
      </x:c>
      <x:c r="K260" s="13" t="str">
        <x:v>Not authored</x:v>
      </x:c>
      <x:c r="L260" s="13" t="str">
        <x:v>No</x:v>
      </x:c>
      <x:c r="M260" s="13" t="str"/>
    </x:row>
    <x:row r="261" ht="58" customHeight="1">
      <x:c r="A261" s="9" t="str">
        <x:v>T16.11</x:v>
      </x:c>
      <x:c r="B261" s="9" t="str">
        <x:v>D16</x:v>
      </x:c>
      <x:c r="C261" s="9" t="str">
        <x:v>DCF and comparable-company models</x:v>
      </x:c>
      <x:c r="D261" s="9" t="str">
        <x:v>Core</x:v>
      </x:c>
      <x:c r="E261" s="9" t="str">
        <x:v>T07.14</x:v>
      </x:c>
      <x:c r="F261" s="9" t="str">
        <x:v>T16.10</x:v>
      </x:c>
      <x:c r="G261" s="12" t="n">
        <x:v>3</x:v>
      </x:c>
      <x:c r="H261" s="12" t="n">
        <x:v>0</x:v>
      </x:c>
      <x:c r="I261" s="9" t="str">
        <x:v>Inspect a calculation</x:v>
      </x:c>
      <x:c r="J261" s="9" t="str">
        <x:v>If this input changes, which schedules should change with it? Apply the question to dcf and comparable-company models.</x:v>
      </x:c>
      <x:c r="K261" s="13" t="str">
        <x:v>Not authored</x:v>
      </x:c>
      <x:c r="L261" s="13" t="str">
        <x:v>No</x:v>
      </x:c>
      <x:c r="M261" s="13" t="str"/>
    </x:row>
    <x:row r="262" ht="58" customHeight="1">
      <x:c r="A262" s="10" t="str">
        <x:v>T16.12</x:v>
      </x:c>
      <x:c r="B262" s="10" t="str">
        <x:v>D16</x:v>
      </x:c>
      <x:c r="C262" s="10" t="str">
        <x:v>Merger and acquisition models</x:v>
      </x:c>
      <x:c r="D262" s="10" t="str">
        <x:v>Core</x:v>
      </x:c>
      <x:c r="E262" s="10" t="str">
        <x:v>T07.14</x:v>
      </x:c>
      <x:c r="F262" s="10" t="str">
        <x:v>T16.03</x:v>
      </x:c>
      <x:c r="G262" s="11" t="n">
        <x:v>4</x:v>
      </x:c>
      <x:c r="H262" s="11" t="n">
        <x:v>1</x:v>
      </x:c>
      <x:c r="I262" s="10" t="str">
        <x:v>Inspect a calculation</x:v>
      </x:c>
      <x:c r="J262" s="10" t="str">
        <x:v>If this input changes, which schedules should change with it? Apply the question to merger and acquisition models.</x:v>
      </x:c>
      <x:c r="K262" s="13" t="str">
        <x:v>Not authored</x:v>
      </x:c>
      <x:c r="L262" s="13" t="str">
        <x:v>No</x:v>
      </x:c>
      <x:c r="M262" s="13" t="str"/>
    </x:row>
    <x:row r="263" ht="58" customHeight="1">
      <x:c r="A263" s="9" t="str">
        <x:v>T16.13</x:v>
      </x:c>
      <x:c r="B263" s="9" t="str">
        <x:v>D16</x:v>
      </x:c>
      <x:c r="C263" s="9" t="str">
        <x:v>Leveraged buyout models</x:v>
      </x:c>
      <x:c r="D263" s="9" t="str">
        <x:v>Core</x:v>
      </x:c>
      <x:c r="E263" s="9" t="str">
        <x:v>T07.14</x:v>
      </x:c>
      <x:c r="F263" s="9" t="str">
        <x:v>T16.07</x:v>
      </x:c>
      <x:c r="G263" s="12" t="n">
        <x:v>4</x:v>
      </x:c>
      <x:c r="H263" s="12" t="n">
        <x:v>1</x:v>
      </x:c>
      <x:c r="I263" s="9" t="str">
        <x:v>Inspect a calculation</x:v>
      </x:c>
      <x:c r="J263" s="9" t="str">
        <x:v>If this input changes, which schedules should change with it? Apply the question to leveraged buyout models.</x:v>
      </x:c>
      <x:c r="K263" s="13" t="str">
        <x:v>Not authored</x:v>
      </x:c>
      <x:c r="L263" s="13" t="str">
        <x:v>No</x:v>
      </x:c>
      <x:c r="M263" s="13" t="str"/>
    </x:row>
    <x:row r="264" ht="58" customHeight="1">
      <x:c r="A264" s="10" t="str">
        <x:v>T16.14</x:v>
      </x:c>
      <x:c r="B264" s="10" t="str">
        <x:v>D16</x:v>
      </x:c>
      <x:c r="C264" s="10" t="str">
        <x:v>Project finance and real estate models</x:v>
      </x:c>
      <x:c r="D264" s="10" t="str">
        <x:v>Core</x:v>
      </x:c>
      <x:c r="E264" s="10" t="str">
        <x:v>T07.14</x:v>
      </x:c>
      <x:c r="F264" s="10" t="str">
        <x:v>T16.07</x:v>
      </x:c>
      <x:c r="G264" s="11" t="n">
        <x:v>4</x:v>
      </x:c>
      <x:c r="H264" s="11" t="n">
        <x:v>1</x:v>
      </x:c>
      <x:c r="I264" s="10" t="str">
        <x:v>Inspect a calculation</x:v>
      </x:c>
      <x:c r="J264" s="10" t="str">
        <x:v>If this input changes, which schedules should change with it? Apply the question to project finance and real estate models.</x:v>
      </x:c>
      <x:c r="K264" s="13" t="str">
        <x:v>Not authored</x:v>
      </x:c>
      <x:c r="L264" s="13" t="str">
        <x:v>No</x:v>
      </x:c>
      <x:c r="M264" s="13" t="str"/>
    </x:row>
    <x:row r="265" ht="58" customHeight="1">
      <x:c r="A265" s="9" t="str">
        <x:v>T16.15</x:v>
      </x:c>
      <x:c r="B265" s="9" t="str">
        <x:v>D16</x:v>
      </x:c>
      <x:c r="C265" s="9" t="str">
        <x:v>Bank, insurance, and startup models</x:v>
      </x:c>
      <x:c r="D265" s="9" t="str">
        <x:v>Core</x:v>
      </x:c>
      <x:c r="E265" s="9" t="str">
        <x:v>T07.14</x:v>
      </x:c>
      <x:c r="F265" s="9" t="str">
        <x:v>T16.03</x:v>
      </x:c>
      <x:c r="G265" s="12" t="n">
        <x:v>3</x:v>
      </x:c>
      <x:c r="H265" s="12" t="n">
        <x:v>0</x:v>
      </x:c>
      <x:c r="I265" s="9" t="str">
        <x:v>Inspect a calculation</x:v>
      </x:c>
      <x:c r="J265" s="9" t="str">
        <x:v>If this input changes, which schedules should change with it? Apply the question to bank, insurance, and startup models.</x:v>
      </x:c>
      <x:c r="K265" s="13" t="str">
        <x:v>Not authored</x:v>
      </x:c>
      <x:c r="L265" s="13" t="str">
        <x:v>No</x:v>
      </x:c>
      <x:c r="M265" s="13" t="str"/>
    </x:row>
    <x:row r="266" ht="58" customHeight="1">
      <x:c r="A266" s="10" t="str">
        <x:v>T16.16</x:v>
      </x:c>
      <x:c r="B266" s="10" t="str">
        <x:v>D16</x:v>
      </x:c>
      <x:c r="C266" s="10" t="str">
        <x:v>Model auditing, error checks, and documentation</x:v>
      </x:c>
      <x:c r="D266" s="10" t="str">
        <x:v>Core</x:v>
      </x:c>
      <x:c r="E266" s="10" t="str">
        <x:v>T07.14</x:v>
      </x:c>
      <x:c r="F266" s="10" t="str">
        <x:v>T16.09</x:v>
      </x:c>
      <x:c r="G266" s="11" t="n">
        <x:v>7</x:v>
      </x:c>
      <x:c r="H266" s="11" t="n">
        <x:v>2</x:v>
      </x:c>
      <x:c r="I266" s="10" t="str">
        <x:v>Inspect a calculation</x:v>
      </x:c>
      <x:c r="J266" s="10" t="str">
        <x:v>If this input changes, which schedules should change with it? Apply the question to model auditing, error checks, and documentation.</x:v>
      </x:c>
      <x:c r="K266" s="13" t="str">
        <x:v>Not authored</x:v>
      </x:c>
      <x:c r="L266" s="13" t="str">
        <x:v>No</x:v>
      </x:c>
      <x:c r="M266" s="13" t="str"/>
    </x:row>
    <x:row r="267" ht="58" customHeight="1">
      <x:c r="A267" s="9" t="str">
        <x:v>T17.01</x:v>
      </x:c>
      <x:c r="B267" s="9" t="str">
        <x:v>D17</x:v>
      </x:c>
      <x:c r="C267" s="9" t="str">
        <x:v>Price versus value</x:v>
      </x:c>
      <x:c r="D267" s="9" t="str">
        <x:v>Core</x:v>
      </x:c>
      <x:c r="E267" s="9" t="str">
        <x:v>T03.01</x:v>
      </x:c>
      <x:c r="F267" s="9" t="str">
        <x:v>T17.02</x:v>
      </x:c>
      <x:c r="G267" s="12" t="n">
        <x:v>5</x:v>
      </x:c>
      <x:c r="H267" s="12" t="n">
        <x:v>1</x:v>
      </x:c>
      <x:c r="I267" s="9" t="str">
        <x:v>Inspect a calculation</x:v>
      </x:c>
      <x:c r="J267" s="9" t="str">
        <x:v>Does this valuation use the right cash flow for the right investor? Apply the question to price versus value.</x:v>
      </x:c>
      <x:c r="K267" s="13" t="str">
        <x:v>Not authored</x:v>
      </x:c>
      <x:c r="L267" s="13" t="str">
        <x:v>No</x:v>
      </x:c>
      <x:c r="M267" s="13" t="str"/>
    </x:row>
    <x:row r="268" ht="58" customHeight="1">
      <x:c r="A268" s="10" t="str">
        <x:v>T17.02</x:v>
      </x:c>
      <x:c r="B268" s="10" t="str">
        <x:v>D17</x:v>
      </x:c>
      <x:c r="C268" s="10" t="str">
        <x:v>Intrinsic valuation versus relative valuation</x:v>
      </x:c>
      <x:c r="D268" s="10" t="str">
        <x:v>Core</x:v>
      </x:c>
      <x:c r="E268" s="10" t="str">
        <x:v>T03.01</x:v>
      </x:c>
      <x:c r="F268" s="10" t="str">
        <x:v>T17.01</x:v>
      </x:c>
      <x:c r="G268" s="11" t="n">
        <x:v>4</x:v>
      </x:c>
      <x:c r="H268" s="11" t="n">
        <x:v>0</x:v>
      </x:c>
      <x:c r="I268" s="10" t="str">
        <x:v>Inspect a calculation</x:v>
      </x:c>
      <x:c r="J268" s="10" t="str">
        <x:v>Does this valuation use the right cash flow for the right investor? Apply the question to intrinsic valuation versus relative valuation.</x:v>
      </x:c>
      <x:c r="K268" s="13" t="str">
        <x:v>Not authored</x:v>
      </x:c>
      <x:c r="L268" s="13" t="str">
        <x:v>No</x:v>
      </x:c>
      <x:c r="M268" s="13" t="str"/>
    </x:row>
    <x:row r="269" ht="58" customHeight="1">
      <x:c r="A269" s="9" t="str">
        <x:v>T17.03</x:v>
      </x:c>
      <x:c r="B269" s="9" t="str">
        <x:v>D17</x:v>
      </x:c>
      <x:c r="C269" s="9" t="str">
        <x:v>Enterprise value versus equity value</x:v>
      </x:c>
      <x:c r="D269" s="9" t="str">
        <x:v>Core</x:v>
      </x:c>
      <x:c r="E269" s="9" t="str">
        <x:v>T03.01</x:v>
      </x:c>
      <x:c r="F269" s="9" t="str">
        <x:v>T17.04</x:v>
      </x:c>
      <x:c r="G269" s="12" t="n">
        <x:v>46</x:v>
      </x:c>
      <x:c r="H269" s="12" t="n">
        <x:v>2</x:v>
      </x:c>
      <x:c r="I269" s="9" t="str">
        <x:v>Inspect a calculation</x:v>
      </x:c>
      <x:c r="J269" s="9" t="str">
        <x:v>Does this valuation use the right cash flow for the right investor? Apply the question to enterprise value versus equity value.</x:v>
      </x:c>
      <x:c r="K269" s="13" t="str">
        <x:v>Not authored</x:v>
      </x:c>
      <x:c r="L269" s="13" t="str">
        <x:v>No</x:v>
      </x:c>
      <x:c r="M269" s="13" t="str"/>
    </x:row>
    <x:row r="270" ht="58" customHeight="1">
      <x:c r="A270" s="10" t="str">
        <x:v>T17.04</x:v>
      </x:c>
      <x:c r="B270" s="10" t="str">
        <x:v>D17</x:v>
      </x:c>
      <x:c r="C270" s="10" t="str">
        <x:v>The enterprise-to-equity value bridge</x:v>
      </x:c>
      <x:c r="D270" s="10" t="str">
        <x:v>Core</x:v>
      </x:c>
      <x:c r="E270" s="10" t="str">
        <x:v>T03.01, T17.03</x:v>
      </x:c>
      <x:c r="F270" s="10" t="str">
        <x:v>T17.03</x:v>
      </x:c>
      <x:c r="G270" s="11" t="n">
        <x:v>12</x:v>
      </x:c>
      <x:c r="H270" s="11" t="n">
        <x:v>4</x:v>
      </x:c>
      <x:c r="I270" s="10" t="str">
        <x:v>Inspect a calculation</x:v>
      </x:c>
      <x:c r="J270" s="10" t="str">
        <x:v>Does this valuation use the right cash flow for the right investor? Apply the question to the enterprise-to-equity value bridge.</x:v>
      </x:c>
      <x:c r="K270" s="13" t="str">
        <x:v>Not authored</x:v>
      </x:c>
      <x:c r="L270" s="13" t="str">
        <x:v>No</x:v>
      </x:c>
      <x:c r="M270" s="13" t="str"/>
    </x:row>
    <x:row r="271" ht="58" customHeight="1">
      <x:c r="A271" s="9" t="str">
        <x:v>T17.05</x:v>
      </x:c>
      <x:c r="B271" s="9" t="str">
        <x:v>D17</x:v>
      </x:c>
      <x:c r="C271" s="9" t="str">
        <x:v>FCFF and FCFE</x:v>
      </x:c>
      <x:c r="D271" s="9" t="str">
        <x:v>Core</x:v>
      </x:c>
      <x:c r="E271" s="9" t="str">
        <x:v>T03.01</x:v>
      </x:c>
      <x:c r="F271" s="9" t="str">
        <x:v>T17.07</x:v>
      </x:c>
      <x:c r="G271" s="12" t="n">
        <x:v>9</x:v>
      </x:c>
      <x:c r="H271" s="12" t="n">
        <x:v>1</x:v>
      </x:c>
      <x:c r="I271" s="9" t="str">
        <x:v>Inspect a calculation</x:v>
      </x:c>
      <x:c r="J271" s="9" t="str">
        <x:v>Does this valuation use the right cash flow for the right investor? Apply the question to fcff and fcfe.</x:v>
      </x:c>
      <x:c r="K271" s="13" t="str">
        <x:v>Not authored</x:v>
      </x:c>
      <x:c r="L271" s="13" t="str">
        <x:v>No</x:v>
      </x:c>
      <x:c r="M271" s="13" t="str"/>
    </x:row>
    <x:row r="272" ht="58" customHeight="1">
      <x:c r="A272" s="10" t="str">
        <x:v>T17.06</x:v>
      </x:c>
      <x:c r="B272" s="10" t="str">
        <x:v>D17</x:v>
      </x:c>
      <x:c r="C272" s="10" t="str">
        <x:v>Dividend discount models</x:v>
      </x:c>
      <x:c r="D272" s="10" t="str">
        <x:v>Core</x:v>
      </x:c>
      <x:c r="E272" s="10" t="str">
        <x:v>T03.01</x:v>
      </x:c>
      <x:c r="F272" s="10" t="str">
        <x:v>T17.05</x:v>
      </x:c>
      <x:c r="G272" s="11" t="n">
        <x:v>3</x:v>
      </x:c>
      <x:c r="H272" s="11" t="n">
        <x:v>0</x:v>
      </x:c>
      <x:c r="I272" s="10" t="str">
        <x:v>Inspect a calculation</x:v>
      </x:c>
      <x:c r="J272" s="10" t="str">
        <x:v>Does this valuation use the right cash flow for the right investor? Apply the question to dividend discount models.</x:v>
      </x:c>
      <x:c r="K272" s="13" t="str">
        <x:v>Not authored</x:v>
      </x:c>
      <x:c r="L272" s="13" t="str">
        <x:v>No</x:v>
      </x:c>
      <x:c r="M272" s="13" t="str"/>
    </x:row>
    <x:row r="273" ht="58" customHeight="1">
      <x:c r="A273" s="9" t="str">
        <x:v>T17.07</x:v>
      </x:c>
      <x:c r="B273" s="9" t="str">
        <x:v>D17</x:v>
      </x:c>
      <x:c r="C273" s="9" t="str">
        <x:v>Discounted cash-flow valuation</x:v>
      </x:c>
      <x:c r="D273" s="9" t="str">
        <x:v>Core</x:v>
      </x:c>
      <x:c r="E273" s="9" t="str">
        <x:v>T03.01, T17.05</x:v>
      </x:c>
      <x:c r="F273" s="9" t="str">
        <x:v>T17.12</x:v>
      </x:c>
      <x:c r="G273" s="12" t="n">
        <x:v>13</x:v>
      </x:c>
      <x:c r="H273" s="12" t="n">
        <x:v>4</x:v>
      </x:c>
      <x:c r="I273" s="9" t="str">
        <x:v>Inspect a calculation</x:v>
      </x:c>
      <x:c r="J273" s="9" t="str">
        <x:v>Does this valuation use the right cash flow for the right investor? Apply the question to discounted cash-flow valuation.</x:v>
      </x:c>
      <x:c r="K273" s="13" t="str">
        <x:v>Not authored</x:v>
      </x:c>
      <x:c r="L273" s="13" t="str">
        <x:v>No</x:v>
      </x:c>
      <x:c r="M273" s="13" t="str"/>
    </x:row>
    <x:row r="274" ht="58" customHeight="1">
      <x:c r="A274" s="10" t="str">
        <x:v>T17.08</x:v>
      </x:c>
      <x:c r="B274" s="10" t="str">
        <x:v>D17</x:v>
      </x:c>
      <x:c r="C274" s="10" t="str">
        <x:v>Adjusted present value</x:v>
      </x:c>
      <x:c r="D274" s="10" t="str">
        <x:v>Core</x:v>
      </x:c>
      <x:c r="E274" s="10" t="str">
        <x:v>T03.01</x:v>
      </x:c>
      <x:c r="F274" s="10" t="str">
        <x:v>T17.07</x:v>
      </x:c>
      <x:c r="G274" s="11" t="n">
        <x:v>3</x:v>
      </x:c>
      <x:c r="H274" s="11" t="n">
        <x:v>0</x:v>
      </x:c>
      <x:c r="I274" s="10" t="str">
        <x:v>Inspect a calculation</x:v>
      </x:c>
      <x:c r="J274" s="10" t="str">
        <x:v>Does this valuation use the right cash flow for the right investor? Apply the question to adjusted present value.</x:v>
      </x:c>
      <x:c r="K274" s="13" t="str">
        <x:v>Not authored</x:v>
      </x:c>
      <x:c r="L274" s="13" t="str">
        <x:v>No</x:v>
      </x:c>
      <x:c r="M274" s="13" t="str"/>
    </x:row>
    <x:row r="275" ht="58" customHeight="1">
      <x:c r="A275" s="9" t="str">
        <x:v>T17.09</x:v>
      </x:c>
      <x:c r="B275" s="9" t="str">
        <x:v>D17</x:v>
      </x:c>
      <x:c r="C275" s="9" t="str">
        <x:v>Residual income and economic profit valuation</x:v>
      </x:c>
      <x:c r="D275" s="9" t="str">
        <x:v>Core</x:v>
      </x:c>
      <x:c r="E275" s="9" t="str">
        <x:v>T03.01</x:v>
      </x:c>
      <x:c r="F275" s="9" t="str">
        <x:v>T17.11</x:v>
      </x:c>
      <x:c r="G275" s="12" t="n">
        <x:v>3</x:v>
      </x:c>
      <x:c r="H275" s="12" t="n">
        <x:v>0</x:v>
      </x:c>
      <x:c r="I275" s="9" t="str">
        <x:v>Inspect a calculation</x:v>
      </x:c>
      <x:c r="J275" s="9" t="str">
        <x:v>Does this valuation use the right cash flow for the right investor? Apply the question to residual income and economic profit valuation.</x:v>
      </x:c>
      <x:c r="K275" s="13" t="str">
        <x:v>Not authored</x:v>
      </x:c>
      <x:c r="L275" s="13" t="str">
        <x:v>No</x:v>
      </x:c>
      <x:c r="M275" s="13" t="str"/>
    </x:row>
    <x:row r="276" ht="58" customHeight="1">
      <x:c r="A276" s="10" t="str">
        <x:v>T17.10</x:v>
      </x:c>
      <x:c r="B276" s="10" t="str">
        <x:v>D17</x:v>
      </x:c>
      <x:c r="C276" s="10" t="str">
        <x:v>Forecast horizons and competitive advantage periods</x:v>
      </x:c>
      <x:c r="D276" s="10" t="str">
        <x:v>Core</x:v>
      </x:c>
      <x:c r="E276" s="10" t="str">
        <x:v>T03.01</x:v>
      </x:c>
      <x:c r="F276" s="10" t="str">
        <x:v>T17.12</x:v>
      </x:c>
      <x:c r="G276" s="11" t="n">
        <x:v>4</x:v>
      </x:c>
      <x:c r="H276" s="11" t="n">
        <x:v>1</x:v>
      </x:c>
      <x:c r="I276" s="10" t="str">
        <x:v>Inspect a calculation</x:v>
      </x:c>
      <x:c r="J276" s="10" t="str">
        <x:v>Does this valuation use the right cash flow for the right investor? Apply the question to forecast horizons and competitive advantage periods.</x:v>
      </x:c>
      <x:c r="K276" s="13" t="str">
        <x:v>Not authored</x:v>
      </x:c>
      <x:c r="L276" s="13" t="str">
        <x:v>No</x:v>
      </x:c>
      <x:c r="M276" s="13" t="str"/>
    </x:row>
    <x:row r="277" ht="58" customHeight="1">
      <x:c r="A277" s="9" t="str">
        <x:v>T17.11</x:v>
      </x:c>
      <x:c r="B277" s="9" t="str">
        <x:v>D17</x:v>
      </x:c>
      <x:c r="C277" s="9" t="str">
        <x:v>Reinvestment, growth, and return on capital</x:v>
      </x:c>
      <x:c r="D277" s="9" t="str">
        <x:v>Core</x:v>
      </x:c>
      <x:c r="E277" s="9" t="str">
        <x:v>T03.01</x:v>
      </x:c>
      <x:c r="F277" s="9" t="str">
        <x:v>T17.12</x:v>
      </x:c>
      <x:c r="G277" s="12" t="n">
        <x:v>12</x:v>
      </x:c>
      <x:c r="H277" s="12" t="n">
        <x:v>6</x:v>
      </x:c>
      <x:c r="I277" s="9" t="str">
        <x:v>Inspect a calculation</x:v>
      </x:c>
      <x:c r="J277" s="9" t="str">
        <x:v>Does this valuation use the right cash flow for the right investor? Apply the question to reinvestment, growth, and return on capital.</x:v>
      </x:c>
      <x:c r="K277" s="13" t="str">
        <x:v>Not authored</x:v>
      </x:c>
      <x:c r="L277" s="13" t="str">
        <x:v>No</x:v>
      </x:c>
      <x:c r="M277" s="13" t="str"/>
    </x:row>
    <x:row r="278" ht="58" customHeight="1">
      <x:c r="A278" s="10" t="str">
        <x:v>T17.12</x:v>
      </x:c>
      <x:c r="B278" s="10" t="str">
        <x:v>D17</x:v>
      </x:c>
      <x:c r="C278" s="10" t="str">
        <x:v>Terminal growth and terminal value</x:v>
      </x:c>
      <x:c r="D278" s="10" t="str">
        <x:v>Core</x:v>
      </x:c>
      <x:c r="E278" s="10" t="str">
        <x:v>T03.01, T17.11</x:v>
      </x:c>
      <x:c r="F278" s="10" t="str">
        <x:v>T17.11</x:v>
      </x:c>
      <x:c r="G278" s="11" t="n">
        <x:v>11</x:v>
      </x:c>
      <x:c r="H278" s="11" t="n">
        <x:v>3</x:v>
      </x:c>
      <x:c r="I278" s="10" t="str">
        <x:v>Inspect a calculation</x:v>
      </x:c>
      <x:c r="J278" s="10" t="str">
        <x:v>Does this valuation use the right cash flow for the right investor? Apply the question to terminal growth and terminal value.</x:v>
      </x:c>
      <x:c r="K278" s="13" t="str">
        <x:v>Not authored</x:v>
      </x:c>
      <x:c r="L278" s="13" t="str">
        <x:v>No</x:v>
      </x:c>
      <x:c r="M278" s="13" t="str"/>
    </x:row>
    <x:row r="279" ht="58" customHeight="1">
      <x:c r="A279" s="9" t="str">
        <x:v>T17.13</x:v>
      </x:c>
      <x:c r="B279" s="9" t="str">
        <x:v>D17</x:v>
      </x:c>
      <x:c r="C279" s="9" t="str">
        <x:v>Exit-multiple terminal values</x:v>
      </x:c>
      <x:c r="D279" s="9" t="str">
        <x:v>Core</x:v>
      </x:c>
      <x:c r="E279" s="9" t="str">
        <x:v>T03.01</x:v>
      </x:c>
      <x:c r="F279" s="9" t="str">
        <x:v>T17.12</x:v>
      </x:c>
      <x:c r="G279" s="12" t="n">
        <x:v>3</x:v>
      </x:c>
      <x:c r="H279" s="12" t="n">
        <x:v>0</x:v>
      </x:c>
      <x:c r="I279" s="9" t="str">
        <x:v>Inspect a calculation</x:v>
      </x:c>
      <x:c r="J279" s="9" t="str">
        <x:v>Does this valuation use the right cash flow for the right investor? Apply the question to exit-multiple terminal values.</x:v>
      </x:c>
      <x:c r="K279" s="13" t="str">
        <x:v>Not authored</x:v>
      </x:c>
      <x:c r="L279" s="13" t="str">
        <x:v>No</x:v>
      </x:c>
      <x:c r="M279" s="13" t="str"/>
    </x:row>
    <x:row r="280" ht="58" customHeight="1">
      <x:c r="A280" s="10" t="str">
        <x:v>T17.14</x:v>
      </x:c>
      <x:c r="B280" s="10" t="str">
        <x:v>D17</x:v>
      </x:c>
      <x:c r="C280" s="10" t="str">
        <x:v>Mid-year discounting and stub periods</x:v>
      </x:c>
      <x:c r="D280" s="10" t="str">
        <x:v>Core</x:v>
      </x:c>
      <x:c r="E280" s="10" t="str">
        <x:v>T03.01</x:v>
      </x:c>
      <x:c r="F280" s="10" t="str">
        <x:v>T17.07</x:v>
      </x:c>
      <x:c r="G280" s="11" t="n">
        <x:v>4</x:v>
      </x:c>
      <x:c r="H280" s="11" t="n">
        <x:v>1</x:v>
      </x:c>
      <x:c r="I280" s="10" t="str">
        <x:v>Inspect a calculation</x:v>
      </x:c>
      <x:c r="J280" s="10" t="str">
        <x:v>Does this valuation use the right cash flow for the right investor? Apply the question to mid-year discounting and stub periods.</x:v>
      </x:c>
      <x:c r="K280" s="13" t="str">
        <x:v>Not authored</x:v>
      </x:c>
      <x:c r="L280" s="13" t="str">
        <x:v>No</x:v>
      </x:c>
      <x:c r="M280" s="13" t="str"/>
    </x:row>
    <x:row r="281" ht="58" customHeight="1">
      <x:c r="A281" s="9" t="str">
        <x:v>T17.15</x:v>
      </x:c>
      <x:c r="B281" s="9" t="str">
        <x:v>D17</x:v>
      </x:c>
      <x:c r="C281" s="9" t="str">
        <x:v>Excess cash and non-operating assets</x:v>
      </x:c>
      <x:c r="D281" s="9" t="str">
        <x:v>Core</x:v>
      </x:c>
      <x:c r="E281" s="9" t="str">
        <x:v>T03.01</x:v>
      </x:c>
      <x:c r="F281" s="9" t="str">
        <x:v>T17.04</x:v>
      </x:c>
      <x:c r="G281" s="12" t="n">
        <x:v>6</x:v>
      </x:c>
      <x:c r="H281" s="12" t="n">
        <x:v>3</x:v>
      </x:c>
      <x:c r="I281" s="9" t="str">
        <x:v>Inspect a calculation</x:v>
      </x:c>
      <x:c r="J281" s="9" t="str">
        <x:v>Does this valuation use the right cash flow for the right investor? Apply the question to excess cash and non-operating assets.</x:v>
      </x:c>
      <x:c r="K281" s="13" t="str">
        <x:v>Not authored</x:v>
      </x:c>
      <x:c r="L281" s="13" t="str">
        <x:v>No</x:v>
      </x:c>
      <x:c r="M281" s="13" t="str"/>
    </x:row>
    <x:row r="282" ht="58" customHeight="1">
      <x:c r="A282" s="10" t="str">
        <x:v>T17.16</x:v>
      </x:c>
      <x:c r="B282" s="10" t="str">
        <x:v>D17</x:v>
      </x:c>
      <x:c r="C282" s="10" t="str">
        <x:v>Debt, leases, pension deficits, and minority interests</x:v>
      </x:c>
      <x:c r="D282" s="10" t="str">
        <x:v>Core</x:v>
      </x:c>
      <x:c r="E282" s="10" t="str">
        <x:v>T03.01</x:v>
      </x:c>
      <x:c r="F282" s="10" t="str">
        <x:v>T17.04</x:v>
      </x:c>
      <x:c r="G282" s="11" t="n">
        <x:v>8</x:v>
      </x:c>
      <x:c r="H282" s="11" t="n">
        <x:v>5</x:v>
      </x:c>
      <x:c r="I282" s="10" t="str">
        <x:v>Inspect a calculation</x:v>
      </x:c>
      <x:c r="J282" s="10" t="str">
        <x:v>Does this valuation use the right cash flow for the right investor? Apply the question to debt, leases, pension deficits, and minority interests.</x:v>
      </x:c>
      <x:c r="K282" s="13" t="str">
        <x:v>Not authored</x:v>
      </x:c>
      <x:c r="L282" s="13" t="str">
        <x:v>No</x:v>
      </x:c>
      <x:c r="M282" s="13" t="str"/>
    </x:row>
    <x:row r="283" ht="58" customHeight="1">
      <x:c r="A283" s="9" t="str">
        <x:v>T17.17</x:v>
      </x:c>
      <x:c r="B283" s="9" t="str">
        <x:v>D17</x:v>
      </x:c>
      <x:c r="C283" s="9" t="str">
        <x:v>Share dilution, options, and restricted stock</x:v>
      </x:c>
      <x:c r="D283" s="9" t="str">
        <x:v>Core</x:v>
      </x:c>
      <x:c r="E283" s="9" t="str">
        <x:v>T03.01</x:v>
      </x:c>
      <x:c r="F283" s="9" t="str">
        <x:v>T17.04</x:v>
      </x:c>
      <x:c r="G283" s="12" t="n">
        <x:v>5</x:v>
      </x:c>
      <x:c r="H283" s="12" t="n">
        <x:v>2</x:v>
      </x:c>
      <x:c r="I283" s="9" t="str">
        <x:v>Inspect a calculation</x:v>
      </x:c>
      <x:c r="J283" s="9" t="str">
        <x:v>Does this valuation use the right cash flow for the right investor? Apply the question to share dilution, options, and restricted stock.</x:v>
      </x:c>
      <x:c r="K283" s="13" t="str">
        <x:v>Not authored</x:v>
      </x:c>
      <x:c r="L283" s="13" t="str">
        <x:v>No</x:v>
      </x:c>
      <x:c r="M283" s="13" t="str"/>
    </x:row>
    <x:row r="284" ht="58" customHeight="1">
      <x:c r="A284" s="10" t="str">
        <x:v>T17.18</x:v>
      </x:c>
      <x:c r="B284" s="10" t="str">
        <x:v>D17</x:v>
      </x:c>
      <x:c r="C284" s="10" t="str">
        <x:v>Sensitivity analysis, scenarios, and reverse DCF</x:v>
      </x:c>
      <x:c r="D284" s="10" t="str">
        <x:v>Core</x:v>
      </x:c>
      <x:c r="E284" s="10" t="str">
        <x:v>T03.01, T17.07</x:v>
      </x:c>
      <x:c r="F284" s="10" t="str">
        <x:v>T17.19</x:v>
      </x:c>
      <x:c r="G284" s="11" t="n">
        <x:v>8</x:v>
      </x:c>
      <x:c r="H284" s="11" t="n">
        <x:v>3</x:v>
      </x:c>
      <x:c r="I284" s="10" t="str">
        <x:v>Inspect a calculation</x:v>
      </x:c>
      <x:c r="J284" s="10" t="str">
        <x:v>Does this valuation use the right cash flow for the right investor? Apply the question to sensitivity analysis, scenarios, and reverse dcf.</x:v>
      </x:c>
      <x:c r="K284" s="13" t="str">
        <x:v>Not authored</x:v>
      </x:c>
      <x:c r="L284" s="13" t="str">
        <x:v>No</x:v>
      </x:c>
      <x:c r="M284" s="13" t="str"/>
    </x:row>
    <x:row r="285" ht="58" customHeight="1">
      <x:c r="A285" s="9" t="str">
        <x:v>T17.19</x:v>
      </x:c>
      <x:c r="B285" s="9" t="str">
        <x:v>D17</x:v>
      </x:c>
      <x:c r="C285" s="9" t="str">
        <x:v>Valuation ranges and uncertainty</x:v>
      </x:c>
      <x:c r="D285" s="9" t="str">
        <x:v>Core</x:v>
      </x:c>
      <x:c r="E285" s="9" t="str">
        <x:v>T03.01</x:v>
      </x:c>
      <x:c r="F285" s="9" t="str">
        <x:v>T17.18</x:v>
      </x:c>
      <x:c r="G285" s="12" t="n">
        <x:v>5</x:v>
      </x:c>
      <x:c r="H285" s="12" t="n">
        <x:v>1</x:v>
      </x:c>
      <x:c r="I285" s="9" t="str">
        <x:v>Inspect a calculation</x:v>
      </x:c>
      <x:c r="J285" s="9" t="str">
        <x:v>Does this valuation use the right cash flow for the right investor? Apply the question to valuation ranges and uncertainty.</x:v>
      </x:c>
      <x:c r="K285" s="13" t="str">
        <x:v>Not authored</x:v>
      </x:c>
      <x:c r="L285" s="13" t="str">
        <x:v>No</x:v>
      </x:c>
      <x:c r="M285" s="13" t="str"/>
    </x:row>
    <x:row r="286" ht="58" customHeight="1">
      <x:c r="A286" s="10" t="str">
        <x:v>T18.01</x:v>
      </x:c>
      <x:c r="B286" s="10" t="str">
        <x:v>D18</x:v>
      </x:c>
      <x:c r="C286" s="10" t="str">
        <x:v>Comparable-company selection</x:v>
      </x:c>
      <x:c r="D286" s="10" t="str">
        <x:v>Advanced</x:v>
      </x:c>
      <x:c r="E286" s="10" t="str">
        <x:v>T17.03</x:v>
      </x:c>
      <x:c r="F286" s="10" t="str">
        <x:v>T18.07</x:v>
      </x:c>
      <x:c r="G286" s="11" t="n">
        <x:v>5</x:v>
      </x:c>
      <x:c r="H286" s="11" t="n">
        <x:v>2</x:v>
      </x:c>
      <x:c r="I286" s="10" t="str">
        <x:v>Inspect a calculation</x:v>
      </x:c>
      <x:c r="J286" s="10" t="str">
        <x:v>Are these businesses comparable enough for this multiple to mean anything? Apply the question to comparable-company selection.</x:v>
      </x:c>
      <x:c r="K286" s="13" t="str">
        <x:v>Not authored</x:v>
      </x:c>
      <x:c r="L286" s="13" t="str">
        <x:v>No</x:v>
      </x:c>
      <x:c r="M286" s="13" t="str"/>
    </x:row>
    <x:row r="287" ht="58" customHeight="1">
      <x:c r="A287" s="9" t="str">
        <x:v>T18.02</x:v>
      </x:c>
      <x:c r="B287" s="9" t="str">
        <x:v>D18</x:v>
      </x:c>
      <x:c r="C287" s="9" t="str">
        <x:v>Comparable transaction analysis</x:v>
      </x:c>
      <x:c r="D287" s="9" t="str">
        <x:v>Advanced</x:v>
      </x:c>
      <x:c r="E287" s="9" t="str">
        <x:v>T17.03</x:v>
      </x:c>
      <x:c r="F287" s="9" t="str">
        <x:v>T18.18</x:v>
      </x:c>
      <x:c r="G287" s="12" t="n">
        <x:v>5</x:v>
      </x:c>
      <x:c r="H287" s="12" t="n">
        <x:v>1</x:v>
      </x:c>
      <x:c r="I287" s="9" t="str">
        <x:v>Inspect a calculation</x:v>
      </x:c>
      <x:c r="J287" s="9" t="str">
        <x:v>Are these businesses comparable enough for this multiple to mean anything? Apply the question to comparable transaction analysis.</x:v>
      </x:c>
      <x:c r="K287" s="13" t="str">
        <x:v>Not authored</x:v>
      </x:c>
      <x:c r="L287" s="13" t="str">
        <x:v>No</x:v>
      </x:c>
      <x:c r="M287" s="13" t="str"/>
    </x:row>
    <x:row r="288" ht="58" customHeight="1">
      <x:c r="A288" s="10" t="str">
        <x:v>T18.03</x:v>
      </x:c>
      <x:c r="B288" s="10" t="str">
        <x:v>D18</x:v>
      </x:c>
      <x:c r="C288" s="10" t="str">
        <x:v>Trailing versus forward multiples</x:v>
      </x:c>
      <x:c r="D288" s="10" t="str">
        <x:v>Advanced</x:v>
      </x:c>
      <x:c r="E288" s="10" t="str">
        <x:v>T17.03</x:v>
      </x:c>
      <x:c r="F288" s="10" t="str">
        <x:v>T18.07</x:v>
      </x:c>
      <x:c r="G288" s="11" t="n">
        <x:v>5</x:v>
      </x:c>
      <x:c r="H288" s="11" t="n">
        <x:v>1</x:v>
      </x:c>
      <x:c r="I288" s="10" t="str">
        <x:v>Inspect a calculation</x:v>
      </x:c>
      <x:c r="J288" s="10" t="str">
        <x:v>Are these businesses comparable enough for this multiple to mean anything? Apply the question to trailing versus forward multiples.</x:v>
      </x:c>
      <x:c r="K288" s="13" t="str">
        <x:v>Not authored</x:v>
      </x:c>
      <x:c r="L288" s="13" t="str">
        <x:v>No</x:v>
      </x:c>
      <x:c r="M288" s="13" t="str"/>
    </x:row>
    <x:row r="289" ht="58" customHeight="1">
      <x:c r="A289" s="9" t="str">
        <x:v>T18.04</x:v>
      </x:c>
      <x:c r="B289" s="9" t="str">
        <x:v>D18</x:v>
      </x:c>
      <x:c r="C289" s="9" t="str">
        <x:v>P/E, PEG, P/B, and P/S</x:v>
      </x:c>
      <x:c r="D289" s="9" t="str">
        <x:v>Advanced</x:v>
      </x:c>
      <x:c r="E289" s="9" t="str">
        <x:v>T17.03, T05.18</x:v>
      </x:c>
      <x:c r="F289" s="9" t="str">
        <x:v>T18.08</x:v>
      </x:c>
      <x:c r="G289" s="12" t="n">
        <x:v>7</x:v>
      </x:c>
      <x:c r="H289" s="12" t="n">
        <x:v>3</x:v>
      </x:c>
      <x:c r="I289" s="9" t="str">
        <x:v>Inspect a calculation</x:v>
      </x:c>
      <x:c r="J289" s="9" t="str">
        <x:v>Are these businesses comparable enough for this multiple to mean anything? Apply the question to p/e, peg, p/b, and p/s.</x:v>
      </x:c>
      <x:c r="K289" s="13" t="str">
        <x:v>Not authored</x:v>
      </x:c>
      <x:c r="L289" s="13" t="str">
        <x:v>No</x:v>
      </x:c>
      <x:c r="M289" s="13" t="str"/>
    </x:row>
    <x:row r="290" ht="58" customHeight="1">
      <x:c r="A290" s="10" t="str">
        <x:v>T18.05</x:v>
      </x:c>
      <x:c r="B290" s="10" t="str">
        <x:v>D18</x:v>
      </x:c>
      <x:c r="C290" s="10" t="str">
        <x:v>EV/revenue, EV/EBITDA, and EV/EBIT</x:v>
      </x:c>
      <x:c r="D290" s="10" t="str">
        <x:v>Advanced</x:v>
      </x:c>
      <x:c r="E290" s="10" t="str">
        <x:v>T17.03</x:v>
      </x:c>
      <x:c r="F290" s="10" t="str">
        <x:v>T18.08</x:v>
      </x:c>
      <x:c r="G290" s="11" t="n">
        <x:v>6</x:v>
      </x:c>
      <x:c r="H290" s="11" t="n">
        <x:v>3</x:v>
      </x:c>
      <x:c r="I290" s="10" t="str">
        <x:v>Inspect a calculation</x:v>
      </x:c>
      <x:c r="J290" s="10" t="str">
        <x:v>Are these businesses comparable enough for this multiple to mean anything? Apply the question to ev/revenue, ev/ebitda, and ev/ebit.</x:v>
      </x:c>
      <x:c r="K290" s="13" t="str">
        <x:v>Not authored</x:v>
      </x:c>
      <x:c r="L290" s="13" t="str">
        <x:v>No</x:v>
      </x:c>
      <x:c r="M290" s="13" t="str"/>
    </x:row>
    <x:row r="291" ht="58" customHeight="1">
      <x:c r="A291" s="9" t="str">
        <x:v>T18.06</x:v>
      </x:c>
      <x:c r="B291" s="9" t="str">
        <x:v>D18</x:v>
      </x:c>
      <x:c r="C291" s="9" t="str">
        <x:v>Cash-flow and sector-specific multiples</x:v>
      </x:c>
      <x:c r="D291" s="9" t="str">
        <x:v>Advanced</x:v>
      </x:c>
      <x:c r="E291" s="9" t="str">
        <x:v>T17.03</x:v>
      </x:c>
      <x:c r="F291" s="9" t="str">
        <x:v>T18.08</x:v>
      </x:c>
      <x:c r="G291" s="12" t="n">
        <x:v>3</x:v>
      </x:c>
      <x:c r="H291" s="12" t="n">
        <x:v>0</x:v>
      </x:c>
      <x:c r="I291" s="9" t="str">
        <x:v>Inspect a calculation</x:v>
      </x:c>
      <x:c r="J291" s="9" t="str">
        <x:v>Are these businesses comparable enough for this multiple to mean anything? Apply the question to cash-flow and sector-specific multiples.</x:v>
      </x:c>
      <x:c r="K291" s="13" t="str">
        <x:v>Not authored</x:v>
      </x:c>
      <x:c r="L291" s="13" t="str">
        <x:v>No</x:v>
      </x:c>
      <x:c r="M291" s="13" t="str"/>
    </x:row>
    <x:row r="292" ht="58" customHeight="1">
      <x:c r="A292" s="10" t="str">
        <x:v>T18.07</x:v>
      </x:c>
      <x:c r="B292" s="10" t="str">
        <x:v>D18</x:v>
      </x:c>
      <x:c r="C292" s="10" t="str">
        <x:v>Normalising earnings and accounting differences</x:v>
      </x:c>
      <x:c r="D292" s="10" t="str">
        <x:v>Advanced</x:v>
      </x:c>
      <x:c r="E292" s="10" t="str">
        <x:v>T17.03</x:v>
      </x:c>
      <x:c r="F292" s="10" t="str">
        <x:v>T18.03</x:v>
      </x:c>
      <x:c r="G292" s="11" t="n">
        <x:v>9</x:v>
      </x:c>
      <x:c r="H292" s="11" t="n">
        <x:v>2</x:v>
      </x:c>
      <x:c r="I292" s="10" t="str">
        <x:v>Inspect a calculation</x:v>
      </x:c>
      <x:c r="J292" s="10" t="str">
        <x:v>Are these businesses comparable enough for this multiple to mean anything? Apply the question to normalising earnings and accounting differences.</x:v>
      </x:c>
      <x:c r="K292" s="13" t="str">
        <x:v>Not authored</x:v>
      </x:c>
      <x:c r="L292" s="13" t="str">
        <x:v>No</x:v>
      </x:c>
      <x:c r="M292" s="13" t="str"/>
    </x:row>
    <x:row r="293" ht="58" customHeight="1">
      <x:c r="A293" s="9" t="str">
        <x:v>T18.08</x:v>
      </x:c>
      <x:c r="B293" s="9" t="str">
        <x:v>D18</x:v>
      </x:c>
      <x:c r="C293" s="9" t="str">
        <x:v>Growth, risk, margins, and returns as multiple drivers</x:v>
      </x:c>
      <x:c r="D293" s="9" t="str">
        <x:v>Advanced</x:v>
      </x:c>
      <x:c r="E293" s="9" t="str">
        <x:v>T17.03</x:v>
      </x:c>
      <x:c r="F293" s="9" t="str">
        <x:v>T18.07</x:v>
      </x:c>
      <x:c r="G293" s="12" t="n">
        <x:v>7</x:v>
      </x:c>
      <x:c r="H293" s="12" t="n">
        <x:v>1</x:v>
      </x:c>
      <x:c r="I293" s="9" t="str">
        <x:v>Inspect a calculation</x:v>
      </x:c>
      <x:c r="J293" s="9" t="str">
        <x:v>Are these businesses comparable enough for this multiple to mean anything? Apply the question to growth, risk, margins, and returns as multiple drivers.</x:v>
      </x:c>
      <x:c r="K293" s="13" t="str">
        <x:v>Not authored</x:v>
      </x:c>
      <x:c r="L293" s="13" t="str">
        <x:v>No</x:v>
      </x:c>
      <x:c r="M293" s="13" t="str"/>
    </x:row>
    <x:row r="294" ht="58" customHeight="1">
      <x:c r="A294" s="10" t="str">
        <x:v>T18.09</x:v>
      </x:c>
      <x:c r="B294" s="10" t="str">
        <x:v>D18</x:v>
      </x:c>
      <x:c r="C294" s="10" t="str">
        <x:v>Sum-of-the-parts valuation</x:v>
      </x:c>
      <x:c r="D294" s="10" t="str">
        <x:v>Advanced</x:v>
      </x:c>
      <x:c r="E294" s="10" t="str">
        <x:v>T17.03</x:v>
      </x:c>
      <x:c r="F294" s="10" t="str">
        <x:v>T18.15</x:v>
      </x:c>
      <x:c r="G294" s="11" t="n">
        <x:v>6</x:v>
      </x:c>
      <x:c r="H294" s="11" t="n">
        <x:v>1</x:v>
      </x:c>
      <x:c r="I294" s="10" t="str">
        <x:v>Inspect a calculation</x:v>
      </x:c>
      <x:c r="J294" s="10" t="str">
        <x:v>Are these businesses comparable enough for this multiple to mean anything? Apply the question to sum-of-the-parts valuation.</x:v>
      </x:c>
      <x:c r="K294" s="13" t="str">
        <x:v>Not authored</x:v>
      </x:c>
      <x:c r="L294" s="13" t="str">
        <x:v>No</x:v>
      </x:c>
      <x:c r="M294" s="13" t="str"/>
    </x:row>
    <x:row r="295" ht="58" customHeight="1">
      <x:c r="A295" s="9" t="str">
        <x:v>T18.10</x:v>
      </x:c>
      <x:c r="B295" s="9" t="str">
        <x:v>D18</x:v>
      </x:c>
      <x:c r="C295" s="9" t="str">
        <x:v>Net asset value and liquidation value</x:v>
      </x:c>
      <x:c r="D295" s="9" t="str">
        <x:v>Advanced</x:v>
      </x:c>
      <x:c r="E295" s="9" t="str">
        <x:v>T17.03</x:v>
      </x:c>
      <x:c r="F295" s="9" t="str">
        <x:v>T18.11</x:v>
      </x:c>
      <x:c r="G295" s="12" t="n">
        <x:v>4</x:v>
      </x:c>
      <x:c r="H295" s="12" t="n">
        <x:v>0</x:v>
      </x:c>
      <x:c r="I295" s="9" t="str">
        <x:v>Inspect a calculation</x:v>
      </x:c>
      <x:c r="J295" s="9" t="str">
        <x:v>Are these businesses comparable enough for this multiple to mean anything? Apply the question to net asset value and liquidation value.</x:v>
      </x:c>
      <x:c r="K295" s="13" t="str">
        <x:v>Not authored</x:v>
      </x:c>
      <x:c r="L295" s="13" t="str">
        <x:v>No</x:v>
      </x:c>
      <x:c r="M295" s="13" t="str"/>
    </x:row>
    <x:row r="296" ht="58" customHeight="1">
      <x:c r="A296" s="10" t="str">
        <x:v>T18.11</x:v>
      </x:c>
      <x:c r="B296" s="10" t="str">
        <x:v>D18</x:v>
      </x:c>
      <x:c r="C296" s="10" t="str">
        <x:v>Replacement cost</x:v>
      </x:c>
      <x:c r="D296" s="10" t="str">
        <x:v>Advanced</x:v>
      </x:c>
      <x:c r="E296" s="10" t="str">
        <x:v>T17.03</x:v>
      </x:c>
      <x:c r="F296" s="10" t="str">
        <x:v>T18.10</x:v>
      </x:c>
      <x:c r="G296" s="11" t="n">
        <x:v>4</x:v>
      </x:c>
      <x:c r="H296" s="11" t="n">
        <x:v>0</x:v>
      </x:c>
      <x:c r="I296" s="10" t="str">
        <x:v>Inspect a calculation</x:v>
      </x:c>
      <x:c r="J296" s="10" t="str">
        <x:v>Are these businesses comparable enough for this multiple to mean anything? Apply the question to replacement cost.</x:v>
      </x:c>
      <x:c r="K296" s="13" t="str">
        <x:v>Not authored</x:v>
      </x:c>
      <x:c r="L296" s="13" t="str">
        <x:v>No</x:v>
      </x:c>
      <x:c r="M296" s="13" t="str"/>
    </x:row>
    <x:row r="297" ht="58" customHeight="1">
      <x:c r="A297" s="9" t="str">
        <x:v>T18.12</x:v>
      </x:c>
      <x:c r="B297" s="9" t="str">
        <x:v>D18</x:v>
      </x:c>
      <x:c r="C297" s="9" t="str">
        <x:v>Private-company valuation</x:v>
      </x:c>
      <x:c r="D297" s="9" t="str">
        <x:v>Advanced</x:v>
      </x:c>
      <x:c r="E297" s="9" t="str">
        <x:v>T17.03</x:v>
      </x:c>
      <x:c r="F297" s="9" t="str">
        <x:v>T18.17</x:v>
      </x:c>
      <x:c r="G297" s="12" t="n">
        <x:v>5</x:v>
      </x:c>
      <x:c r="H297" s="12" t="n">
        <x:v>0</x:v>
      </x:c>
      <x:c r="I297" s="9" t="str">
        <x:v>Inspect a calculation</x:v>
      </x:c>
      <x:c r="J297" s="9" t="str">
        <x:v>Are these businesses comparable enough for this multiple to mean anything? Apply the question to private-company valuation.</x:v>
      </x:c>
      <x:c r="K297" s="13" t="str">
        <x:v>Not authored</x:v>
      </x:c>
      <x:c r="L297" s="13" t="str">
        <x:v>No</x:v>
      </x:c>
      <x:c r="M297" s="13" t="str"/>
    </x:row>
    <x:row r="298" ht="58" customHeight="1">
      <x:c r="A298" s="10" t="str">
        <x:v>T18.13</x:v>
      </x:c>
      <x:c r="B298" s="10" t="str">
        <x:v>D18</x:v>
      </x:c>
      <x:c r="C298" s="10" t="str">
        <x:v>Startup and pre-revenue valuation</x:v>
      </x:c>
      <x:c r="D298" s="10" t="str">
        <x:v>Advanced</x:v>
      </x:c>
      <x:c r="E298" s="10" t="str">
        <x:v>T17.03</x:v>
      </x:c>
      <x:c r="F298" s="10" t="str">
        <x:v>T18.12</x:v>
      </x:c>
      <x:c r="G298" s="11" t="n">
        <x:v>3</x:v>
      </x:c>
      <x:c r="H298" s="11" t="n">
        <x:v>0</x:v>
      </x:c>
      <x:c r="I298" s="10" t="str">
        <x:v>Inspect a calculation</x:v>
      </x:c>
      <x:c r="J298" s="10" t="str">
        <x:v>Are these businesses comparable enough for this multiple to mean anything? Apply the question to startup and pre-revenue valuation.</x:v>
      </x:c>
      <x:c r="K298" s="13" t="str">
        <x:v>Not authored</x:v>
      </x:c>
      <x:c r="L298" s="13" t="str">
        <x:v>No</x:v>
      </x:c>
      <x:c r="M298" s="13" t="str"/>
    </x:row>
    <x:row r="299" ht="58" customHeight="1">
      <x:c r="A299" s="9" t="str">
        <x:v>T18.14</x:v>
      </x:c>
      <x:c r="B299" s="9" t="str">
        <x:v>D18</x:v>
      </x:c>
      <x:c r="C299" s="9" t="str">
        <x:v>Cyclical, commodity, and distressed-company valuation</x:v>
      </x:c>
      <x:c r="D299" s="9" t="str">
        <x:v>Advanced</x:v>
      </x:c>
      <x:c r="E299" s="9" t="str">
        <x:v>T17.03</x:v>
      </x:c>
      <x:c r="F299" s="9" t="str">
        <x:v>T18.07</x:v>
      </x:c>
      <x:c r="G299" s="12" t="n">
        <x:v>6</x:v>
      </x:c>
      <x:c r="H299" s="12" t="n">
        <x:v>3</x:v>
      </x:c>
      <x:c r="I299" s="9" t="str">
        <x:v>Inspect a calculation</x:v>
      </x:c>
      <x:c r="J299" s="9" t="str">
        <x:v>Are these businesses comparable enough for this multiple to mean anything? Apply the question to cyclical, commodity, and distressed-company valuation.</x:v>
      </x:c>
      <x:c r="K299" s="13" t="str">
        <x:v>Not authored</x:v>
      </x:c>
      <x:c r="L299" s="13" t="str">
        <x:v>No</x:v>
      </x:c>
      <x:c r="M299" s="13" t="str"/>
    </x:row>
    <x:row r="300" ht="58" customHeight="1">
      <x:c r="A300" s="10" t="str">
        <x:v>T18.15</x:v>
      </x:c>
      <x:c r="B300" s="10" t="str">
        <x:v>D18</x:v>
      </x:c>
      <x:c r="C300" s="10" t="str">
        <x:v>Bank, NBFC, and insurance valuation</x:v>
      </x:c>
      <x:c r="D300" s="10" t="str">
        <x:v>Advanced</x:v>
      </x:c>
      <x:c r="E300" s="10" t="str">
        <x:v>T17.03</x:v>
      </x:c>
      <x:c r="F300" s="10" t="str">
        <x:v>T18.09</x:v>
      </x:c>
      <x:c r="G300" s="11" t="n">
        <x:v>5</x:v>
      </x:c>
      <x:c r="H300" s="11" t="n">
        <x:v>1</x:v>
      </x:c>
      <x:c r="I300" s="10" t="str">
        <x:v>Inspect a calculation</x:v>
      </x:c>
      <x:c r="J300" s="10" t="str">
        <x:v>Are these businesses comparable enough for this multiple to mean anything? Apply the question to bank, nbfc, and insurance valuation.</x:v>
      </x:c>
      <x:c r="K300" s="13" t="str">
        <x:v>Not authored</x:v>
      </x:c>
      <x:c r="L300" s="13" t="str">
        <x:v>No</x:v>
      </x:c>
      <x:c r="M300" s="13" t="str"/>
    </x:row>
    <x:row r="301" ht="58" customHeight="1">
      <x:c r="A301" s="9" t="str">
        <x:v>T18.16</x:v>
      </x:c>
      <x:c r="B301" s="9" t="str">
        <x:v>D18</x:v>
      </x:c>
      <x:c r="C301" s="9" t="str">
        <x:v>Intangible assets, brands, patents, and customer relationships</x:v>
      </x:c>
      <x:c r="D301" s="9" t="str">
        <x:v>Advanced</x:v>
      </x:c>
      <x:c r="E301" s="9" t="str">
        <x:v>T17.03</x:v>
      </x:c>
      <x:c r="F301" s="9" t="str">
        <x:v>T18.09</x:v>
      </x:c>
      <x:c r="G301" s="12" t="n">
        <x:v>3</x:v>
      </x:c>
      <x:c r="H301" s="12" t="n">
        <x:v>0</x:v>
      </x:c>
      <x:c r="I301" s="9" t="str">
        <x:v>Inspect a calculation</x:v>
      </x:c>
      <x:c r="J301" s="9" t="str">
        <x:v>Are these businesses comparable enough for this multiple to mean anything? Apply the question to intangible assets, brands, patents, and customer relationships.</x:v>
      </x:c>
      <x:c r="K301" s="13" t="str">
        <x:v>Not authored</x:v>
      </x:c>
      <x:c r="L301" s="13" t="str">
        <x:v>No</x:v>
      </x:c>
      <x:c r="M301" s="13" t="str"/>
    </x:row>
    <x:row r="302" ht="58" customHeight="1">
      <x:c r="A302" s="10" t="str">
        <x:v>T18.17</x:v>
      </x:c>
      <x:c r="B302" s="10" t="str">
        <x:v>D18</x:v>
      </x:c>
      <x:c r="C302" s="10" t="str">
        <x:v>Control premiums and marketability considerations</x:v>
      </x:c>
      <x:c r="D302" s="10" t="str">
        <x:v>Advanced</x:v>
      </x:c>
      <x:c r="E302" s="10" t="str">
        <x:v>T17.03</x:v>
      </x:c>
      <x:c r="F302" s="10" t="str">
        <x:v>T18.12</x:v>
      </x:c>
      <x:c r="G302" s="11" t="n">
        <x:v>5</x:v>
      </x:c>
      <x:c r="H302" s="11" t="n">
        <x:v>1</x:v>
      </x:c>
      <x:c r="I302" s="10" t="str">
        <x:v>Inspect a calculation</x:v>
      </x:c>
      <x:c r="J302" s="10" t="str">
        <x:v>Are these businesses comparable enough for this multiple to mean anything? Apply the question to control premiums and marketability considerations.</x:v>
      </x:c>
      <x:c r="K302" s="13" t="str">
        <x:v>Not authored</x:v>
      </x:c>
      <x:c r="L302" s="13" t="str">
        <x:v>No</x:v>
      </x:c>
      <x:c r="M302" s="13" t="str"/>
    </x:row>
    <x:row r="303" ht="58" customHeight="1">
      <x:c r="A303" s="9" t="str">
        <x:v>T18.18</x:v>
      </x:c>
      <x:c r="B303" s="9" t="str">
        <x:v>D18</x:v>
      </x:c>
      <x:c r="C303" s="9" t="str">
        <x:v>Business valuation versus transaction pricing</x:v>
      </x:c>
      <x:c r="D303" s="9" t="str">
        <x:v>Advanced</x:v>
      </x:c>
      <x:c r="E303" s="9" t="str">
        <x:v>T17.03</x:v>
      </x:c>
      <x:c r="F303" s="9" t="str">
        <x:v>T18.02</x:v>
      </x:c>
      <x:c r="G303" s="12" t="n">
        <x:v>4</x:v>
      </x:c>
      <x:c r="H303" s="12" t="n">
        <x:v>0</x:v>
      </x:c>
      <x:c r="I303" s="9" t="str">
        <x:v>Inspect a calculation</x:v>
      </x:c>
      <x:c r="J303" s="9" t="str">
        <x:v>Are these businesses comparable enough for this multiple to mean anything? Apply the question to business valuation versus transaction pricing.</x:v>
      </x:c>
      <x:c r="K303" s="13" t="str">
        <x:v>Not authored</x:v>
      </x:c>
      <x:c r="L303" s="13" t="str">
        <x:v>No</x:v>
      </x:c>
      <x:c r="M303" s="13" t="str"/>
    </x:row>
    <x:row r="304" ht="58" customHeight="1">
      <x:c r="A304" s="10" t="str">
        <x:v>T19.01</x:v>
      </x:c>
      <x:c r="B304" s="10" t="str">
        <x:v>D19</x:v>
      </x:c>
      <x:c r="C304" s="10" t="str">
        <x:v>Common shares, preference shares, and depositary receipts</x:v>
      </x:c>
      <x:c r="D304" s="10" t="str">
        <x:v>Core</x:v>
      </x:c>
      <x:c r="E304" s="10" t="str">
        <x:v>T01.04</x:v>
      </x:c>
      <x:c r="F304" s="10" t="str">
        <x:v>T19.03</x:v>
      </x:c>
      <x:c r="G304" s="11" t="n">
        <x:v>5</x:v>
      </x:c>
      <x:c r="H304" s="11" t="n">
        <x:v>0</x:v>
      </x:c>
      <x:c r="I304" s="10" t="str">
        <x:v>Investigate a case</x:v>
      </x:c>
      <x:c r="J304" s="10" t="str">
        <x:v>What would have to happen for your investment thesis to be wrong? Apply the question to common shares, preference shares, and depositary receipts.</x:v>
      </x:c>
      <x:c r="K304" s="13" t="str">
        <x:v>Not authored</x:v>
      </x:c>
      <x:c r="L304" s="13" t="str">
        <x:v>No</x:v>
      </x:c>
      <x:c r="M304" s="13" t="str"/>
    </x:row>
    <x:row r="305" ht="58" customHeight="1">
      <x:c r="A305" s="9" t="str">
        <x:v>T19.02</x:v>
      </x:c>
      <x:c r="B305" s="9" t="str">
        <x:v>D19</x:v>
      </x:c>
      <x:c r="C305" s="9" t="str">
        <x:v>Primary and secondary equity markets</x:v>
      </x:c>
      <x:c r="D305" s="9" t="str">
        <x:v>Core</x:v>
      </x:c>
      <x:c r="E305" s="9" t="str">
        <x:v>T01.04</x:v>
      </x:c>
      <x:c r="F305" s="9" t="str">
        <x:v>T19.03</x:v>
      </x:c>
      <x:c r="G305" s="12" t="n">
        <x:v>3</x:v>
      </x:c>
      <x:c r="H305" s="12" t="n">
        <x:v>0</x:v>
      </x:c>
      <x:c r="I305" s="9" t="str">
        <x:v>Investigate a case</x:v>
      </x:c>
      <x:c r="J305" s="9" t="str">
        <x:v>What would have to happen for your investment thesis to be wrong? Apply the question to primary and secondary equity markets.</x:v>
      </x:c>
      <x:c r="K305" s="13" t="str">
        <x:v>Not authored</x:v>
      </x:c>
      <x:c r="L305" s="13" t="str">
        <x:v>No</x:v>
      </x:c>
      <x:c r="M305" s="13" t="str"/>
    </x:row>
    <x:row r="306" ht="58" customHeight="1">
      <x:c r="A306" s="10" t="str">
        <x:v>T19.03</x:v>
      </x:c>
      <x:c r="B306" s="10" t="str">
        <x:v>D19</x:v>
      </x:c>
      <x:c r="C306" s="10" t="str">
        <x:v>IPOs, follow-on offerings, rights issues, and private placements</x:v>
      </x:c>
      <x:c r="D306" s="10" t="str">
        <x:v>Core</x:v>
      </x:c>
      <x:c r="E306" s="10" t="str">
        <x:v>T01.04</x:v>
      </x:c>
      <x:c r="F306" s="10" t="str">
        <x:v>T19.01</x:v>
      </x:c>
      <x:c r="G306" s="11" t="n">
        <x:v>6</x:v>
      </x:c>
      <x:c r="H306" s="11" t="n">
        <x:v>1</x:v>
      </x:c>
      <x:c r="I306" s="10" t="str">
        <x:v>Investigate a case</x:v>
      </x:c>
      <x:c r="J306" s="10" t="str">
        <x:v>What would have to happen for your investment thesis to be wrong? Apply the question to ipos, follow-on offerings, rights issues, and private placements.</x:v>
      </x:c>
      <x:c r="K306" s="13" t="str">
        <x:v>Not authored</x:v>
      </x:c>
      <x:c r="L306" s="13" t="str">
        <x:v>No</x:v>
      </x:c>
      <x:c r="M306" s="13" t="str"/>
    </x:row>
    <x:row r="307" ht="58" customHeight="1">
      <x:c r="A307" s="9" t="str">
        <x:v>T19.04</x:v>
      </x:c>
      <x:c r="B307" s="9" t="str">
        <x:v>D19</x:v>
      </x:c>
      <x:c r="C307" s="9" t="str">
        <x:v>Stock exchanges, indices, and market capitalisation</x:v>
      </x:c>
      <x:c r="D307" s="9" t="str">
        <x:v>Core</x:v>
      </x:c>
      <x:c r="E307" s="9" t="str">
        <x:v>T01.04</x:v>
      </x:c>
      <x:c r="F307" s="9" t="str">
        <x:v>T19.05</x:v>
      </x:c>
      <x:c r="G307" s="12" t="n">
        <x:v>5</x:v>
      </x:c>
      <x:c r="H307" s="12" t="n">
        <x:v>1</x:v>
      </x:c>
      <x:c r="I307" s="9" t="str">
        <x:v>Investigate a case</x:v>
      </x:c>
      <x:c r="J307" s="9" t="str">
        <x:v>What would have to happen for your investment thesis to be wrong? Apply the question to stock exchanges, indices, and market capitalisation.</x:v>
      </x:c>
      <x:c r="K307" s="13" t="str">
        <x:v>Not authored</x:v>
      </x:c>
      <x:c r="L307" s="13" t="str">
        <x:v>No</x:v>
      </x:c>
      <x:c r="M307" s="13" t="str"/>
    </x:row>
    <x:row r="308" ht="58" customHeight="1">
      <x:c r="A308" s="10" t="str">
        <x:v>T19.05</x:v>
      </x:c>
      <x:c r="B308" s="10" t="str">
        <x:v>D19</x:v>
      </x:c>
      <x:c r="C308" s="10" t="str">
        <x:v>Free float and index construction</x:v>
      </x:c>
      <x:c r="D308" s="10" t="str">
        <x:v>Core</x:v>
      </x:c>
      <x:c r="E308" s="10" t="str">
        <x:v>T01.04</x:v>
      </x:c>
      <x:c r="F308" s="10" t="str">
        <x:v>T19.04</x:v>
      </x:c>
      <x:c r="G308" s="11" t="n">
        <x:v>5</x:v>
      </x:c>
      <x:c r="H308" s="11" t="n">
        <x:v>1</x:v>
      </x:c>
      <x:c r="I308" s="10" t="str">
        <x:v>Investigate a case</x:v>
      </x:c>
      <x:c r="J308" s="10" t="str">
        <x:v>What would have to happen for your investment thesis to be wrong? Apply the question to free float and index construction.</x:v>
      </x:c>
      <x:c r="K308" s="13" t="str">
        <x:v>Not authored</x:v>
      </x:c>
      <x:c r="L308" s="13" t="str">
        <x:v>No</x:v>
      </x:c>
      <x:c r="M308" s="13" t="str"/>
    </x:row>
    <x:row r="309" ht="58" customHeight="1">
      <x:c r="A309" s="9" t="str">
        <x:v>T19.06</x:v>
      </x:c>
      <x:c r="B309" s="9" t="str">
        <x:v>D19</x:v>
      </x:c>
      <x:c r="C309" s="9" t="str">
        <x:v>Dividends, splits, bonus issues, and buybacks</x:v>
      </x:c>
      <x:c r="D309" s="9" t="str">
        <x:v>Core</x:v>
      </x:c>
      <x:c r="E309" s="9" t="str">
        <x:v>T01.04</x:v>
      </x:c>
      <x:c r="F309" s="9" t="str">
        <x:v>T19.01</x:v>
      </x:c>
      <x:c r="G309" s="12" t="n">
        <x:v>5</x:v>
      </x:c>
      <x:c r="H309" s="12" t="n">
        <x:v>2</x:v>
      </x:c>
      <x:c r="I309" s="9" t="str">
        <x:v>Investigate a case</x:v>
      </x:c>
      <x:c r="J309" s="9" t="str">
        <x:v>What would have to happen for your investment thesis to be wrong? Apply the question to dividends, splits, bonus issues, and buybacks.</x:v>
      </x:c>
      <x:c r="K309" s="13" t="str">
        <x:v>Not authored</x:v>
      </x:c>
      <x:c r="L309" s="13" t="str">
        <x:v>No</x:v>
      </x:c>
      <x:c r="M309" s="13" t="str"/>
    </x:row>
    <x:row r="310" ht="58" customHeight="1">
      <x:c r="A310" s="10" t="str">
        <x:v>T19.07</x:v>
      </x:c>
      <x:c r="B310" s="10" t="str">
        <x:v>D19</x:v>
      </x:c>
      <x:c r="C310" s="10" t="str">
        <x:v>Order types and execution basics</x:v>
      </x:c>
      <x:c r="D310" s="10" t="str">
        <x:v>Core</x:v>
      </x:c>
      <x:c r="E310" s="10" t="str">
        <x:v>T01.04</x:v>
      </x:c>
      <x:c r="F310" s="10" t="str">
        <x:v>T19.08</x:v>
      </x:c>
      <x:c r="G310" s="11" t="n">
        <x:v>5</x:v>
      </x:c>
      <x:c r="H310" s="11" t="n">
        <x:v>2</x:v>
      </x:c>
      <x:c r="I310" s="10" t="str">
        <x:v>Investigate a case</x:v>
      </x:c>
      <x:c r="J310" s="10" t="str">
        <x:v>What would have to happen for your investment thesis to be wrong? Apply the question to order types and execution basics.</x:v>
      </x:c>
      <x:c r="K310" s="13" t="str">
        <x:v>Not authored</x:v>
      </x:c>
      <x:c r="L310" s="13" t="str">
        <x:v>No</x:v>
      </x:c>
      <x:c r="M310" s="13" t="str"/>
    </x:row>
    <x:row r="311" ht="58" customHeight="1">
      <x:c r="A311" s="9" t="str">
        <x:v>T19.08</x:v>
      </x:c>
      <x:c r="B311" s="9" t="str">
        <x:v>D19</x:v>
      </x:c>
      <x:c r="C311" s="9" t="str">
        <x:v>Margin trading and short selling</x:v>
      </x:c>
      <x:c r="D311" s="9" t="str">
        <x:v>Core</x:v>
      </x:c>
      <x:c r="E311" s="9" t="str">
        <x:v>T01.04</x:v>
      </x:c>
      <x:c r="F311" s="9" t="str">
        <x:v>T19.09</x:v>
      </x:c>
      <x:c r="G311" s="12" t="n">
        <x:v>6</x:v>
      </x:c>
      <x:c r="H311" s="12" t="n">
        <x:v>1</x:v>
      </x:c>
      <x:c r="I311" s="9" t="str">
        <x:v>Investigate a case</x:v>
      </x:c>
      <x:c r="J311" s="9" t="str">
        <x:v>What would have to happen for your investment thesis to be wrong? Apply the question to margin trading and short selling.</x:v>
      </x:c>
      <x:c r="K311" s="13" t="str">
        <x:v>Not authored</x:v>
      </x:c>
      <x:c r="L311" s="13" t="str">
        <x:v>No</x:v>
      </x:c>
      <x:c r="M311" s="13" t="str"/>
    </x:row>
    <x:row r="312" ht="58" customHeight="1">
      <x:c r="A312" s="10" t="str">
        <x:v>T19.09</x:v>
      </x:c>
      <x:c r="B312" s="10" t="str">
        <x:v>D19</x:v>
      </x:c>
      <x:c r="C312" s="10" t="str">
        <x:v>Securities lending</x:v>
      </x:c>
      <x:c r="D312" s="10" t="str">
        <x:v>Core</x:v>
      </x:c>
      <x:c r="E312" s="10" t="str">
        <x:v>T01.04</x:v>
      </x:c>
      <x:c r="F312" s="10" t="str">
        <x:v>T19.08</x:v>
      </x:c>
      <x:c r="G312" s="11" t="n">
        <x:v>5</x:v>
      </x:c>
      <x:c r="H312" s="11" t="n">
        <x:v>1</x:v>
      </x:c>
      <x:c r="I312" s="10" t="str">
        <x:v>Investigate a case</x:v>
      </x:c>
      <x:c r="J312" s="10" t="str">
        <x:v>What would have to happen for your investment thesis to be wrong? Apply the question to securities lending.</x:v>
      </x:c>
      <x:c r="K312" s="13" t="str">
        <x:v>Not authored</x:v>
      </x:c>
      <x:c r="L312" s="13" t="str">
        <x:v>No</x:v>
      </x:c>
      <x:c r="M312" s="13" t="str"/>
    </x:row>
    <x:row r="313" ht="58" customHeight="1">
      <x:c r="A313" s="9" t="str">
        <x:v>T19.10</x:v>
      </x:c>
      <x:c r="B313" s="9" t="str">
        <x:v>D19</x:v>
      </x:c>
      <x:c r="C313" s="9" t="str">
        <x:v>Fundamental analysis</x:v>
      </x:c>
      <x:c r="D313" s="9" t="str">
        <x:v>Core</x:v>
      </x:c>
      <x:c r="E313" s="9" t="str">
        <x:v>T01.04</x:v>
      </x:c>
      <x:c r="F313" s="9" t="str">
        <x:v>T19.11</x:v>
      </x:c>
      <x:c r="G313" s="12" t="n">
        <x:v>6</x:v>
      </x:c>
      <x:c r="H313" s="12" t="n">
        <x:v>1</x:v>
      </x:c>
      <x:c r="I313" s="9" t="str">
        <x:v>Investigate a case</x:v>
      </x:c>
      <x:c r="J313" s="9" t="str">
        <x:v>What would have to happen for your investment thesis to be wrong? Apply the question to fundamental analysis.</x:v>
      </x:c>
      <x:c r="K313" s="13" t="str">
        <x:v>Not authored</x:v>
      </x:c>
      <x:c r="L313" s="13" t="str">
        <x:v>No</x:v>
      </x:c>
      <x:c r="M313" s="13" t="str"/>
    </x:row>
    <x:row r="314" ht="58" customHeight="1">
      <x:c r="A314" s="10" t="str">
        <x:v>T19.11</x:v>
      </x:c>
      <x:c r="B314" s="10" t="str">
        <x:v>D19</x:v>
      </x:c>
      <x:c r="C314" s="10" t="str">
        <x:v>Industry analysis and competitive advantage</x:v>
      </x:c>
      <x:c r="D314" s="10" t="str">
        <x:v>Core</x:v>
      </x:c>
      <x:c r="E314" s="10" t="str">
        <x:v>T01.04</x:v>
      </x:c>
      <x:c r="F314" s="10" t="str">
        <x:v>T19.10</x:v>
      </x:c>
      <x:c r="G314" s="11" t="n">
        <x:v>5</x:v>
      </x:c>
      <x:c r="H314" s="11" t="n">
        <x:v>1</x:v>
      </x:c>
      <x:c r="I314" s="10" t="str">
        <x:v>Investigate a case</x:v>
      </x:c>
      <x:c r="J314" s="10" t="str">
        <x:v>What would have to happen for your investment thesis to be wrong? Apply the question to industry analysis and competitive advantage.</x:v>
      </x:c>
      <x:c r="K314" s="13" t="str">
        <x:v>Not authored</x:v>
      </x:c>
      <x:c r="L314" s="13" t="str">
        <x:v>No</x:v>
      </x:c>
      <x:c r="M314" s="13" t="str"/>
    </x:row>
    <x:row r="315" ht="58" customHeight="1">
      <x:c r="A315" s="9" t="str">
        <x:v>T19.12</x:v>
      </x:c>
      <x:c r="B315" s="9" t="str">
        <x:v>D19</x:v>
      </x:c>
      <x:c r="C315" s="9" t="str">
        <x:v>Investment theses, catalysts, and risk factors</x:v>
      </x:c>
      <x:c r="D315" s="9" t="str">
        <x:v>Core</x:v>
      </x:c>
      <x:c r="E315" s="9" t="str">
        <x:v>T01.04</x:v>
      </x:c>
      <x:c r="F315" s="9" t="str">
        <x:v>T19.14</x:v>
      </x:c>
      <x:c r="G315" s="12" t="n">
        <x:v>10</x:v>
      </x:c>
      <x:c r="H315" s="12" t="n">
        <x:v>4</x:v>
      </x:c>
      <x:c r="I315" s="9" t="str">
        <x:v>Investigate a case</x:v>
      </x:c>
      <x:c r="J315" s="9" t="str">
        <x:v>What would have to happen for your investment thesis to be wrong? Apply the question to investment theses, catalysts, and risk factors.</x:v>
      </x:c>
      <x:c r="K315" s="13" t="str">
        <x:v>Not authored</x:v>
      </x:c>
      <x:c r="L315" s="13" t="str">
        <x:v>No</x:v>
      </x:c>
      <x:c r="M315" s="13" t="str"/>
    </x:row>
    <x:row r="316" ht="58" customHeight="1">
      <x:c r="A316" s="10" t="str">
        <x:v>T19.13</x:v>
      </x:c>
      <x:c r="B316" s="10" t="str">
        <x:v>D19</x:v>
      </x:c>
      <x:c r="C316" s="10" t="str">
        <x:v>Earnings estimates and earnings surprises</x:v>
      </x:c>
      <x:c r="D316" s="10" t="str">
        <x:v>Core</x:v>
      </x:c>
      <x:c r="E316" s="10" t="str">
        <x:v>T01.04</x:v>
      </x:c>
      <x:c r="F316" s="10" t="str">
        <x:v>T19.12</x:v>
      </x:c>
      <x:c r="G316" s="11" t="n">
        <x:v>5</x:v>
      </x:c>
      <x:c r="H316" s="11" t="n">
        <x:v>1</x:v>
      </x:c>
      <x:c r="I316" s="10" t="str">
        <x:v>Investigate a case</x:v>
      </x:c>
      <x:c r="J316" s="10" t="str">
        <x:v>What would have to happen for your investment thesis to be wrong? Apply the question to earnings estimates and earnings surprises.</x:v>
      </x:c>
      <x:c r="K316" s="13" t="str">
        <x:v>Not authored</x:v>
      </x:c>
      <x:c r="L316" s="13" t="str">
        <x:v>No</x:v>
      </x:c>
      <x:c r="M316" s="13" t="str"/>
    </x:row>
    <x:row r="317" ht="58" customHeight="1">
      <x:c r="A317" s="9" t="str">
        <x:v>T19.14</x:v>
      </x:c>
      <x:c r="B317" s="9" t="str">
        <x:v>D19</x:v>
      </x:c>
      <x:c r="C317" s="9" t="str">
        <x:v>Equity research reports</x:v>
      </x:c>
      <x:c r="D317" s="9" t="str">
        <x:v>Core</x:v>
      </x:c>
      <x:c r="E317" s="9" t="str">
        <x:v>T01.04</x:v>
      </x:c>
      <x:c r="F317" s="9" t="str">
        <x:v>T19.13</x:v>
      </x:c>
      <x:c r="G317" s="12" t="n">
        <x:v>5</x:v>
      </x:c>
      <x:c r="H317" s="12" t="n">
        <x:v>1</x:v>
      </x:c>
      <x:c r="I317" s="9" t="str">
        <x:v>Investigate a case</x:v>
      </x:c>
      <x:c r="J317" s="9" t="str">
        <x:v>What would have to happen for your investment thesis to be wrong? Apply the question to equity research reports.</x:v>
      </x:c>
      <x:c r="K317" s="13" t="str">
        <x:v>Not authored</x:v>
      </x:c>
      <x:c r="L317" s="13" t="str">
        <x:v>No</x:v>
      </x:c>
      <x:c r="M317" s="13" t="str"/>
    </x:row>
    <x:row r="318" ht="58" customHeight="1">
      <x:c r="A318" s="10" t="str">
        <x:v>T19.15</x:v>
      </x:c>
      <x:c r="B318" s="10" t="str">
        <x:v>D19</x:v>
      </x:c>
      <x:c r="C318" s="10" t="str">
        <x:v>Growth, value, quality, momentum, and income investing</x:v>
      </x:c>
      <x:c r="D318" s="10" t="str">
        <x:v>Core</x:v>
      </x:c>
      <x:c r="E318" s="10" t="str">
        <x:v>T01.04</x:v>
      </x:c>
      <x:c r="F318" s="10" t="str">
        <x:v>T19.12</x:v>
      </x:c>
      <x:c r="G318" s="11" t="n">
        <x:v>3</x:v>
      </x:c>
      <x:c r="H318" s="11" t="n">
        <x:v>0</x:v>
      </x:c>
      <x:c r="I318" s="10" t="str">
        <x:v>Investigate a case</x:v>
      </x:c>
      <x:c r="J318" s="10" t="str">
        <x:v>What would have to happen for your investment thesis to be wrong? Apply the question to growth, value, quality, momentum, and income investing.</x:v>
      </x:c>
      <x:c r="K318" s="13" t="str">
        <x:v>Not authored</x:v>
      </x:c>
      <x:c r="L318" s="13" t="str">
        <x:v>No</x:v>
      </x:c>
      <x:c r="M318" s="13" t="str"/>
    </x:row>
    <x:row r="319" ht="58" customHeight="1">
      <x:c r="A319" s="9" t="str">
        <x:v>T19.16</x:v>
      </x:c>
      <x:c r="B319" s="9" t="str">
        <x:v>D19</x:v>
      </x:c>
      <x:c r="C319" s="9" t="str">
        <x:v>Technical analysis and its limitations</x:v>
      </x:c>
      <x:c r="D319" s="9" t="str">
        <x:v>Core</x:v>
      </x:c>
      <x:c r="E319" s="9" t="str">
        <x:v>T01.04</x:v>
      </x:c>
      <x:c r="F319" s="9" t="str">
        <x:v>T19.10</x:v>
      </x:c>
      <x:c r="G319" s="12" t="n">
        <x:v>3</x:v>
      </x:c>
      <x:c r="H319" s="12" t="n">
        <x:v>0</x:v>
      </x:c>
      <x:c r="I319" s="9" t="str">
        <x:v>Investigate a case</x:v>
      </x:c>
      <x:c r="J319" s="9" t="str">
        <x:v>What would have to happen for your investment thesis to be wrong? Apply the question to technical analysis and its limitations.</x:v>
      </x:c>
      <x:c r="K319" s="13" t="str">
        <x:v>Not authored</x:v>
      </x:c>
      <x:c r="L319" s="13" t="str">
        <x:v>No</x:v>
      </x:c>
      <x:c r="M319" s="13" t="str"/>
    </x:row>
    <x:row r="320" ht="58" customHeight="1">
      <x:c r="A320" s="10" t="str">
        <x:v>T19.17</x:v>
      </x:c>
      <x:c r="B320" s="10" t="str">
        <x:v>D19</x:v>
      </x:c>
      <x:c r="C320" s="10" t="str">
        <x:v>Shareholding patterns and promoter pledging</x:v>
      </x:c>
      <x:c r="D320" s="10" t="str">
        <x:v>Core</x:v>
      </x:c>
      <x:c r="E320" s="10" t="str">
        <x:v>T01.04</x:v>
      </x:c>
      <x:c r="F320" s="10" t="str">
        <x:v>T19.12</x:v>
      </x:c>
      <x:c r="G320" s="11" t="n">
        <x:v>4</x:v>
      </x:c>
      <x:c r="H320" s="11" t="n">
        <x:v>1</x:v>
      </x:c>
      <x:c r="I320" s="10" t="str">
        <x:v>Investigate a case</x:v>
      </x:c>
      <x:c r="J320" s="10" t="str">
        <x:v>What would have to happen for your investment thesis to be wrong? Apply the question to shareholding patterns and promoter pledging.</x:v>
      </x:c>
      <x:c r="K320" s="13" t="str">
        <x:v>Not authored</x:v>
      </x:c>
      <x:c r="L320" s="13" t="str">
        <x:v>No</x:v>
      </x:c>
      <x:c r="M320" s="13" t="str"/>
    </x:row>
    <x:row r="321" ht="58" customHeight="1">
      <x:c r="A321" s="9" t="str">
        <x:v>T20.01</x:v>
      </x:c>
      <x:c r="B321" s="9" t="str">
        <x:v>D20</x:v>
      </x:c>
      <x:c r="C321" s="9" t="str">
        <x:v>Government securities, treasury bills, and corporate bonds</x:v>
      </x:c>
      <x:c r="D321" s="9" t="str">
        <x:v>Core</x:v>
      </x:c>
      <x:c r="E321" s="9" t="str">
        <x:v>T03.01</x:v>
      </x:c>
      <x:c r="F321" s="9" t="str">
        <x:v>T20.03</x:v>
      </x:c>
      <x:c r="G321" s="12" t="n">
        <x:v>4</x:v>
      </x:c>
      <x:c r="H321" s="12" t="n">
        <x:v>1</x:v>
      </x:c>
      <x:c r="I321" s="9" t="str">
        <x:v>Inspect a calculation</x:v>
      </x:c>
      <x:c r="J321" s="9" t="str">
        <x:v>Which matters more here: a change in yields, credit quality or payment timing? Apply the question to government securities, treasury bills, and corporate bonds.</x:v>
      </x:c>
      <x:c r="K321" s="13" t="str">
        <x:v>Not authored</x:v>
      </x:c>
      <x:c r="L321" s="13" t="str">
        <x:v>No</x:v>
      </x:c>
      <x:c r="M321" s="13" t="str"/>
    </x:row>
    <x:row r="322" ht="58" customHeight="1">
      <x:c r="A322" s="10" t="str">
        <x:v>T20.02</x:v>
      </x:c>
      <x:c r="B322" s="10" t="str">
        <x:v>D20</x:v>
      </x:c>
      <x:c r="C322" s="10" t="str">
        <x:v>Municipal, agency, covered, and inflation-linked bonds</x:v>
      </x:c>
      <x:c r="D322" s="10" t="str">
        <x:v>Core</x:v>
      </x:c>
      <x:c r="E322" s="10" t="str">
        <x:v>T03.01</x:v>
      </x:c>
      <x:c r="F322" s="10" t="str">
        <x:v>T20.03</x:v>
      </x:c>
      <x:c r="G322" s="11" t="n">
        <x:v>3</x:v>
      </x:c>
      <x:c r="H322" s="11" t="n">
        <x:v>0</x:v>
      </x:c>
      <x:c r="I322" s="10" t="str">
        <x:v>Inspect a calculation</x:v>
      </x:c>
      <x:c r="J322" s="10" t="str">
        <x:v>Which matters more here: a change in yields, credit quality or payment timing? Apply the question to municipal, agency, covered, and inflation-linked bonds.</x:v>
      </x:c>
      <x:c r="K322" s="13" t="str">
        <x:v>Not authored</x:v>
      </x:c>
      <x:c r="L322" s="13" t="str">
        <x:v>No</x:v>
      </x:c>
      <x:c r="M322" s="13" t="str"/>
    </x:row>
    <x:row r="323" ht="58" customHeight="1">
      <x:c r="A323" s="9" t="str">
        <x:v>T20.03</x:v>
      </x:c>
      <x:c r="B323" s="9" t="str">
        <x:v>D20</x:v>
      </x:c>
      <x:c r="C323" s="9" t="str">
        <x:v>Coupon structures and payment conventions</x:v>
      </x:c>
      <x:c r="D323" s="9" t="str">
        <x:v>Core</x:v>
      </x:c>
      <x:c r="E323" s="9" t="str">
        <x:v>T03.01</x:v>
      </x:c>
      <x:c r="F323" s="9" t="str">
        <x:v>T20.05</x:v>
      </x:c>
      <x:c r="G323" s="12" t="n">
        <x:v>8</x:v>
      </x:c>
      <x:c r="H323" s="12" t="n">
        <x:v>2</x:v>
      </x:c>
      <x:c r="I323" s="9" t="str">
        <x:v>Inspect a calculation</x:v>
      </x:c>
      <x:c r="J323" s="9" t="str">
        <x:v>Which matters more here: a change in yields, credit quality or payment timing? Apply the question to coupon structures and payment conventions.</x:v>
      </x:c>
      <x:c r="K323" s="13" t="str">
        <x:v>Not authored</x:v>
      </x:c>
      <x:c r="L323" s="13" t="str">
        <x:v>No</x:v>
      </x:c>
      <x:c r="M323" s="13" t="str"/>
    </x:row>
    <x:row r="324" ht="58" customHeight="1">
      <x:c r="A324" s="10" t="str">
        <x:v>T20.04</x:v>
      </x:c>
      <x:c r="B324" s="10" t="str">
        <x:v>D20</x:v>
      </x:c>
      <x:c r="C324" s="10" t="str">
        <x:v>Clean price, dirty price, and accrued interest</x:v>
      </x:c>
      <x:c r="D324" s="10" t="str">
        <x:v>Core</x:v>
      </x:c>
      <x:c r="E324" s="10" t="str">
        <x:v>T03.01</x:v>
      </x:c>
      <x:c r="F324" s="10" t="str">
        <x:v>T20.06</x:v>
      </x:c>
      <x:c r="G324" s="11" t="n">
        <x:v>3</x:v>
      </x:c>
      <x:c r="H324" s="11" t="n">
        <x:v>0</x:v>
      </x:c>
      <x:c r="I324" s="10" t="str">
        <x:v>Inspect a calculation</x:v>
      </x:c>
      <x:c r="J324" s="10" t="str">
        <x:v>Which matters more here: a change in yields, credit quality or payment timing? Apply the question to clean price, dirty price, and accrued interest.</x:v>
      </x:c>
      <x:c r="K324" s="13" t="str">
        <x:v>Not authored</x:v>
      </x:c>
      <x:c r="L324" s="13" t="str">
        <x:v>No</x:v>
      </x:c>
      <x:c r="M324" s="13" t="str"/>
    </x:row>
    <x:row r="325" ht="58" customHeight="1">
      <x:c r="A325" s="9" t="str">
        <x:v>T20.05</x:v>
      </x:c>
      <x:c r="B325" s="9" t="str">
        <x:v>D20</x:v>
      </x:c>
      <x:c r="C325" s="9" t="str">
        <x:v>Bond pricing</x:v>
      </x:c>
      <x:c r="D325" s="9" t="str">
        <x:v>Core</x:v>
      </x:c>
      <x:c r="E325" s="9" t="str">
        <x:v>T03.01</x:v>
      </x:c>
      <x:c r="F325" s="9" t="str">
        <x:v>T20.06</x:v>
      </x:c>
      <x:c r="G325" s="12" t="n">
        <x:v>12</x:v>
      </x:c>
      <x:c r="H325" s="12" t="n">
        <x:v>4</x:v>
      </x:c>
      <x:c r="I325" s="9" t="str">
        <x:v>Inspect a calculation</x:v>
      </x:c>
      <x:c r="J325" s="9" t="str">
        <x:v>Which matters more here: a change in yields, credit quality or payment timing? Apply the question to bond pricing.</x:v>
      </x:c>
      <x:c r="K325" s="13" t="str">
        <x:v>Not authored</x:v>
      </x:c>
      <x:c r="L325" s="13" t="str">
        <x:v>No</x:v>
      </x:c>
      <x:c r="M325" s="13" t="str"/>
    </x:row>
    <x:row r="326" ht="58" customHeight="1">
      <x:c r="A326" s="10" t="str">
        <x:v>T20.06</x:v>
      </x:c>
      <x:c r="B326" s="10" t="str">
        <x:v>D20</x:v>
      </x:c>
      <x:c r="C326" s="10" t="str">
        <x:v>Current yield, yield to maturity, yield to call, and yield to worst</x:v>
      </x:c>
      <x:c r="D326" s="10" t="str">
        <x:v>Core</x:v>
      </x:c>
      <x:c r="E326" s="10" t="str">
        <x:v>T03.01, T20.05</x:v>
      </x:c>
      <x:c r="F326" s="10" t="str">
        <x:v>T20.05</x:v>
      </x:c>
      <x:c r="G326" s="11" t="n">
        <x:v>6</x:v>
      </x:c>
      <x:c r="H326" s="11" t="n">
        <x:v>0</x:v>
      </x:c>
      <x:c r="I326" s="10" t="str">
        <x:v>Inspect a calculation</x:v>
      </x:c>
      <x:c r="J326" s="10" t="str">
        <x:v>Which matters more here: a change in yields, credit quality or payment timing? Apply the question to current yield, yield to maturity, yield to call, and yield to worst.</x:v>
      </x:c>
      <x:c r="K326" s="13" t="str">
        <x:v>Not authored</x:v>
      </x:c>
      <x:c r="L326" s="13" t="str">
        <x:v>No</x:v>
      </x:c>
      <x:c r="M326" s="13" t="str"/>
    </x:row>
    <x:row r="327" ht="58" customHeight="1">
      <x:c r="A327" s="9" t="str">
        <x:v>T20.07</x:v>
      </x:c>
      <x:c r="B327" s="9" t="str">
        <x:v>D20</x:v>
      </x:c>
      <x:c r="C327" s="9" t="str">
        <x:v>Spot rates, forward rates, and par yields</x:v>
      </x:c>
      <x:c r="D327" s="9" t="str">
        <x:v>Core</x:v>
      </x:c>
      <x:c r="E327" s="9" t="str">
        <x:v>T03.01</x:v>
      </x:c>
      <x:c r="F327" s="9" t="str">
        <x:v>T20.08</x:v>
      </x:c>
      <x:c r="G327" s="12" t="n">
        <x:v>6</x:v>
      </x:c>
      <x:c r="H327" s="12" t="n">
        <x:v>1</x:v>
      </x:c>
      <x:c r="I327" s="9" t="str">
        <x:v>Inspect a calculation</x:v>
      </x:c>
      <x:c r="J327" s="9" t="str">
        <x:v>Which matters more here: a change in yields, credit quality or payment timing? Apply the question to spot rates, forward rates, and par yields.</x:v>
      </x:c>
      <x:c r="K327" s="13" t="str">
        <x:v>Not authored</x:v>
      </x:c>
      <x:c r="L327" s="13" t="str">
        <x:v>No</x:v>
      </x:c>
      <x:c r="M327" s="13" t="str"/>
    </x:row>
    <x:row r="328" ht="58" customHeight="1">
      <x:c r="A328" s="10" t="str">
        <x:v>T20.08</x:v>
      </x:c>
      <x:c r="B328" s="10" t="str">
        <x:v>D20</x:v>
      </x:c>
      <x:c r="C328" s="10" t="str">
        <x:v>Yield curves and term-structure theories</x:v>
      </x:c>
      <x:c r="D328" s="10" t="str">
        <x:v>Core</x:v>
      </x:c>
      <x:c r="E328" s="10" t="str">
        <x:v>T03.01</x:v>
      </x:c>
      <x:c r="F328" s="10" t="str">
        <x:v>T20.09</x:v>
      </x:c>
      <x:c r="G328" s="11" t="n">
        <x:v>6</x:v>
      </x:c>
      <x:c r="H328" s="11" t="n">
        <x:v>2</x:v>
      </x:c>
      <x:c r="I328" s="10" t="str">
        <x:v>Inspect a calculation</x:v>
      </x:c>
      <x:c r="J328" s="10" t="str">
        <x:v>Which matters more here: a change in yields, credit quality or payment timing? Apply the question to yield curves and term-structure theories.</x:v>
      </x:c>
      <x:c r="K328" s="13" t="str">
        <x:v>Not authored</x:v>
      </x:c>
      <x:c r="L328" s="13" t="str">
        <x:v>No</x:v>
      </x:c>
      <x:c r="M328" s="13" t="str"/>
    </x:row>
    <x:row r="329" ht="58" customHeight="1">
      <x:c r="A329" s="9" t="str">
        <x:v>T20.09</x:v>
      </x:c>
      <x:c r="B329" s="9" t="str">
        <x:v>D20</x:v>
      </x:c>
      <x:c r="C329" s="9" t="str">
        <x:v>Bootstrapping discount curves</x:v>
      </x:c>
      <x:c r="D329" s="9" t="str">
        <x:v>Core</x:v>
      </x:c>
      <x:c r="E329" s="9" t="str">
        <x:v>T03.01, T20.07</x:v>
      </x:c>
      <x:c r="F329" s="9" t="str">
        <x:v>T20.07</x:v>
      </x:c>
      <x:c r="G329" s="12" t="n">
        <x:v>6</x:v>
      </x:c>
      <x:c r="H329" s="12" t="n">
        <x:v>1</x:v>
      </x:c>
      <x:c r="I329" s="9" t="str">
        <x:v>Inspect a calculation</x:v>
      </x:c>
      <x:c r="J329" s="9" t="str">
        <x:v>Which matters more here: a change in yields, credit quality or payment timing? Apply the question to bootstrapping discount curves.</x:v>
      </x:c>
      <x:c r="K329" s="13" t="str">
        <x:v>Not authored</x:v>
      </x:c>
      <x:c r="L329" s="13" t="str">
        <x:v>No</x:v>
      </x:c>
      <x:c r="M329" s="13" t="str"/>
    </x:row>
    <x:row r="330" ht="58" customHeight="1">
      <x:c r="A330" s="10" t="str">
        <x:v>T20.10</x:v>
      </x:c>
      <x:c r="B330" s="10" t="str">
        <x:v>D20</x:v>
      </x:c>
      <x:c r="C330" s="10" t="str">
        <x:v>Duration, modified duration, and effective duration</x:v>
      </x:c>
      <x:c r="D330" s="10" t="str">
        <x:v>Core</x:v>
      </x:c>
      <x:c r="E330" s="10" t="str">
        <x:v>T03.01, T20.05</x:v>
      </x:c>
      <x:c r="F330" s="10" t="str">
        <x:v>T20.11</x:v>
      </x:c>
      <x:c r="G330" s="11" t="n">
        <x:v>9</x:v>
      </x:c>
      <x:c r="H330" s="11" t="n">
        <x:v>2</x:v>
      </x:c>
      <x:c r="I330" s="10" t="str">
        <x:v>Inspect a calculation</x:v>
      </x:c>
      <x:c r="J330" s="10" t="str">
        <x:v>Which matters more here: a change in yields, credit quality or payment timing? Apply the question to duration, modified duration, and effective duration.</x:v>
      </x:c>
      <x:c r="K330" s="13" t="str">
        <x:v>Not authored</x:v>
      </x:c>
      <x:c r="L330" s="13" t="str">
        <x:v>No</x:v>
      </x:c>
      <x:c r="M330" s="13" t="str"/>
    </x:row>
    <x:row r="331" ht="58" customHeight="1">
      <x:c r="A331" s="9" t="str">
        <x:v>T20.11</x:v>
      </x:c>
      <x:c r="B331" s="9" t="str">
        <x:v>D20</x:v>
      </x:c>
      <x:c r="C331" s="9" t="str">
        <x:v>Convexity and key-rate duration</x:v>
      </x:c>
      <x:c r="D331" s="9" t="str">
        <x:v>Core</x:v>
      </x:c>
      <x:c r="E331" s="9" t="str">
        <x:v>T03.01, T20.10</x:v>
      </x:c>
      <x:c r="F331" s="9" t="str">
        <x:v>T20.10</x:v>
      </x:c>
      <x:c r="G331" s="12" t="n">
        <x:v>6</x:v>
      </x:c>
      <x:c r="H331" s="12" t="n">
        <x:v>1</x:v>
      </x:c>
      <x:c r="I331" s="9" t="str">
        <x:v>Inspect a calculation</x:v>
      </x:c>
      <x:c r="J331" s="9" t="str">
        <x:v>Which matters more here: a change in yields, credit quality or payment timing? Apply the question to convexity and key-rate duration.</x:v>
      </x:c>
      <x:c r="K331" s="13" t="str">
        <x:v>Not authored</x:v>
      </x:c>
      <x:c r="L331" s="13" t="str">
        <x:v>No</x:v>
      </x:c>
      <x:c r="M331" s="13" t="str"/>
    </x:row>
    <x:row r="332" ht="58" customHeight="1">
      <x:c r="A332" s="10" t="str">
        <x:v>T20.12</x:v>
      </x:c>
      <x:c r="B332" s="10" t="str">
        <x:v>D20</x:v>
      </x:c>
      <x:c r="C332" s="10" t="str">
        <x:v>Credit spreads and spread duration</x:v>
      </x:c>
      <x:c r="D332" s="10" t="str">
        <x:v>Core</x:v>
      </x:c>
      <x:c r="E332" s="10" t="str">
        <x:v>T03.01</x:v>
      </x:c>
      <x:c r="F332" s="10" t="str">
        <x:v>T20.15</x:v>
      </x:c>
      <x:c r="G332" s="11" t="n">
        <x:v>5</x:v>
      </x:c>
      <x:c r="H332" s="11" t="n">
        <x:v>1</x:v>
      </x:c>
      <x:c r="I332" s="10" t="str">
        <x:v>Inspect a calculation</x:v>
      </x:c>
      <x:c r="J332" s="10" t="str">
        <x:v>Which matters more here: a change in yields, credit quality or payment timing? Apply the question to credit spreads and spread duration.</x:v>
      </x:c>
      <x:c r="K332" s="13" t="str">
        <x:v>Not authored</x:v>
      </x:c>
      <x:c r="L332" s="13" t="str">
        <x:v>No</x:v>
      </x:c>
      <x:c r="M332" s="13" t="str"/>
    </x:row>
    <x:row r="333" ht="58" customHeight="1">
      <x:c r="A333" s="9" t="str">
        <x:v>T20.13</x:v>
      </x:c>
      <x:c r="B333" s="9" t="str">
        <x:v>D20</x:v>
      </x:c>
      <x:c r="C333" s="9" t="str">
        <x:v>Floating-rate notes</x:v>
      </x:c>
      <x:c r="D333" s="9" t="str">
        <x:v>Core</x:v>
      </x:c>
      <x:c r="E333" s="9" t="str">
        <x:v>T03.01</x:v>
      </x:c>
      <x:c r="F333" s="9" t="str">
        <x:v>T20.03</x:v>
      </x:c>
      <x:c r="G333" s="12" t="n">
        <x:v>4</x:v>
      </x:c>
      <x:c r="H333" s="12" t="n">
        <x:v>1</x:v>
      </x:c>
      <x:c r="I333" s="9" t="str">
        <x:v>Inspect a calculation</x:v>
      </x:c>
      <x:c r="J333" s="9" t="str">
        <x:v>Which matters more here: a change in yields, credit quality or payment timing? Apply the question to floating-rate notes.</x:v>
      </x:c>
      <x:c r="K333" s="13" t="str">
        <x:v>Not authored</x:v>
      </x:c>
      <x:c r="L333" s="13" t="str">
        <x:v>No</x:v>
      </x:c>
      <x:c r="M333" s="13" t="str"/>
    </x:row>
    <x:row r="334" ht="58" customHeight="1">
      <x:c r="A334" s="10" t="str">
        <x:v>T20.14</x:v>
      </x:c>
      <x:c r="B334" s="10" t="str">
        <x:v>D20</x:v>
      </x:c>
      <x:c r="C334" s="10" t="str">
        <x:v>Callable, puttable, and convertible bonds</x:v>
      </x:c>
      <x:c r="D334" s="10" t="str">
        <x:v>Core</x:v>
      </x:c>
      <x:c r="E334" s="10" t="str">
        <x:v>T03.01</x:v>
      </x:c>
      <x:c r="F334" s="10" t="str">
        <x:v>T20.05</x:v>
      </x:c>
      <x:c r="G334" s="11" t="n">
        <x:v>4</x:v>
      </x:c>
      <x:c r="H334" s="11" t="n">
        <x:v>1</x:v>
      </x:c>
      <x:c r="I334" s="10" t="str">
        <x:v>Inspect a calculation</x:v>
      </x:c>
      <x:c r="J334" s="10" t="str">
        <x:v>Which matters more here: a change in yields, credit quality or payment timing? Apply the question to callable, puttable, and convertible bonds.</x:v>
      </x:c>
      <x:c r="K334" s="13" t="str">
        <x:v>Not authored</x:v>
      </x:c>
      <x:c r="L334" s="13" t="str">
        <x:v>No</x:v>
      </x:c>
      <x:c r="M334" s="13" t="str"/>
    </x:row>
    <x:row r="335" ht="58" customHeight="1">
      <x:c r="A335" s="9" t="str">
        <x:v>T20.15</x:v>
      </x:c>
      <x:c r="B335" s="9" t="str">
        <x:v>D20</x:v>
      </x:c>
      <x:c r="C335" s="9" t="str">
        <x:v>Default, recovery, and bond covenants</x:v>
      </x:c>
      <x:c r="D335" s="9" t="str">
        <x:v>Core</x:v>
      </x:c>
      <x:c r="E335" s="9" t="str">
        <x:v>T03.01</x:v>
      </x:c>
      <x:c r="F335" s="9" t="str">
        <x:v>T20.12</x:v>
      </x:c>
      <x:c r="G335" s="12" t="n">
        <x:v>5</x:v>
      </x:c>
      <x:c r="H335" s="12" t="n">
        <x:v>1</x:v>
      </x:c>
      <x:c r="I335" s="9" t="str">
        <x:v>Inspect a calculation</x:v>
      </x:c>
      <x:c r="J335" s="9" t="str">
        <x:v>Which matters more here: a change in yields, credit quality or payment timing? Apply the question to default, recovery, and bond covenants.</x:v>
      </x:c>
      <x:c r="K335" s="13" t="str">
        <x:v>Not authored</x:v>
      </x:c>
      <x:c r="L335" s="13" t="str">
        <x:v>No</x:v>
      </x:c>
      <x:c r="M335" s="13" t="str"/>
    </x:row>
    <x:row r="336" ht="58" customHeight="1">
      <x:c r="A336" s="10" t="str">
        <x:v>T20.16</x:v>
      </x:c>
      <x:c r="B336" s="10" t="str">
        <x:v>D20</x:v>
      </x:c>
      <x:c r="C336" s="10" t="str">
        <x:v>Bond portfolio strategies, ladders, and immunisation</x:v>
      </x:c>
      <x:c r="D336" s="10" t="str">
        <x:v>Core</x:v>
      </x:c>
      <x:c r="E336" s="10" t="str">
        <x:v>T03.01</x:v>
      </x:c>
      <x:c r="F336" s="10" t="str">
        <x:v>T20.10</x:v>
      </x:c>
      <x:c r="G336" s="11" t="n">
        <x:v>5</x:v>
      </x:c>
      <x:c r="H336" s="11" t="n">
        <x:v>1</x:v>
      </x:c>
      <x:c r="I336" s="10" t="str">
        <x:v>Inspect a calculation</x:v>
      </x:c>
      <x:c r="J336" s="10" t="str">
        <x:v>Which matters more here: a change in yields, credit quality or payment timing? Apply the question to bond portfolio strategies, ladders, and immunisation.</x:v>
      </x:c>
      <x:c r="K336" s="13" t="str">
        <x:v>Not authored</x:v>
      </x:c>
      <x:c r="L336" s="13" t="str">
        <x:v>No</x:v>
      </x:c>
      <x:c r="M336" s="13" t="str"/>
    </x:row>
    <x:row r="337" ht="58" customHeight="1">
      <x:c r="A337" s="9" t="str">
        <x:v>T20.17</x:v>
      </x:c>
      <x:c r="B337" s="9" t="str">
        <x:v>D20</x:v>
      </x:c>
      <x:c r="C337" s="9" t="str">
        <x:v>Fixed-income attribution and relative value</x:v>
      </x:c>
      <x:c r="D337" s="9" t="str">
        <x:v>Core</x:v>
      </x:c>
      <x:c r="E337" s="9" t="str">
        <x:v>T03.01</x:v>
      </x:c>
      <x:c r="F337" s="9" t="str">
        <x:v>T20.16</x:v>
      </x:c>
      <x:c r="G337" s="12" t="n">
        <x:v>3</x:v>
      </x:c>
      <x:c r="H337" s="12" t="n">
        <x:v>0</x:v>
      </x:c>
      <x:c r="I337" s="9" t="str">
        <x:v>Inspect a calculation</x:v>
      </x:c>
      <x:c r="J337" s="9" t="str">
        <x:v>Which matters more here: a change in yields, credit quality or payment timing? Apply the question to fixed-income attribution and relative value.</x:v>
      </x:c>
      <x:c r="K337" s="13" t="str">
        <x:v>Not authored</x:v>
      </x:c>
      <x:c r="L337" s="13" t="str">
        <x:v>No</x:v>
      </x:c>
      <x:c r="M337" s="13" t="str"/>
    </x:row>
    <x:row r="338" ht="58" customHeight="1">
      <x:c r="A338" s="10" t="str">
        <x:v>T21.01</x:v>
      </x:c>
      <x:c r="B338" s="10" t="str">
        <x:v>D21</x:v>
      </x:c>
      <x:c r="C338" s="10" t="str">
        <x:v>Forwards and futures</x:v>
      </x:c>
      <x:c r="D338" s="10" t="str">
        <x:v>Advanced</x:v>
      </x:c>
      <x:c r="E338" s="10" t="str">
        <x:v>T01.15</x:v>
      </x:c>
      <x:c r="F338" s="10" t="str">
        <x:v>T21.17</x:v>
      </x:c>
      <x:c r="G338" s="11" t="n">
        <x:v>5</x:v>
      </x:c>
      <x:c r="H338" s="11" t="n">
        <x:v>2</x:v>
      </x:c>
      <x:c r="I338" s="10" t="str">
        <x:v>Compare scenarios</x:v>
      </x:c>
      <x:c r="J338" s="10" t="str">
        <x:v>What is the payoff if the market moves against your position? Apply the question to forwards and futures.</x:v>
      </x:c>
      <x:c r="K338" s="13" t="str">
        <x:v>Not authored</x:v>
      </x:c>
      <x:c r="L338" s="13" t="str">
        <x:v>No</x:v>
      </x:c>
      <x:c r="M338" s="13" t="str"/>
    </x:row>
    <x:row r="339" ht="58" customHeight="1">
      <x:c r="A339" s="9" t="str">
        <x:v>T21.02</x:v>
      </x:c>
      <x:c r="B339" s="9" t="str">
        <x:v>D21</x:v>
      </x:c>
      <x:c r="C339" s="9" t="str">
        <x:v>Options: calls and puts</x:v>
      </x:c>
      <x:c r="D339" s="9" t="str">
        <x:v>Advanced</x:v>
      </x:c>
      <x:c r="E339" s="9" t="str">
        <x:v>T01.15</x:v>
      </x:c>
      <x:c r="F339" s="9" t="str">
        <x:v>T21.04</x:v>
      </x:c>
      <x:c r="G339" s="12" t="n">
        <x:v>13</x:v>
      </x:c>
      <x:c r="H339" s="12" t="n">
        <x:v>6</x:v>
      </x:c>
      <x:c r="I339" s="9" t="str">
        <x:v>Compare scenarios</x:v>
      </x:c>
      <x:c r="J339" s="9" t="str">
        <x:v>What is the payoff if the market moves against your position? Apply the question to options: calls and puts.</x:v>
      </x:c>
      <x:c r="K339" s="13" t="str">
        <x:v>Not authored</x:v>
      </x:c>
      <x:c r="L339" s="13" t="str">
        <x:v>No</x:v>
      </x:c>
      <x:c r="M339" s="13" t="str"/>
    </x:row>
    <x:row r="340" ht="58" customHeight="1">
      <x:c r="A340" s="10" t="str">
        <x:v>T21.03</x:v>
      </x:c>
      <x:c r="B340" s="10" t="str">
        <x:v>D21</x:v>
      </x:c>
      <x:c r="C340" s="10" t="str">
        <x:v>Payoff versus profit diagrams</x:v>
      </x:c>
      <x:c r="D340" s="10" t="str">
        <x:v>Advanced</x:v>
      </x:c>
      <x:c r="E340" s="10" t="str">
        <x:v>T01.15</x:v>
      </x:c>
      <x:c r="F340" s="10" t="str">
        <x:v>T21.02</x:v>
      </x:c>
      <x:c r="G340" s="11" t="n">
        <x:v>7</x:v>
      </x:c>
      <x:c r="H340" s="11" t="n">
        <x:v>1</x:v>
      </x:c>
      <x:c r="I340" s="10" t="str">
        <x:v>Compare scenarios</x:v>
      </x:c>
      <x:c r="J340" s="10" t="str">
        <x:v>What is the payoff if the market moves against your position? Apply the question to payoff versus profit diagrams.</x:v>
      </x:c>
      <x:c r="K340" s="13" t="str">
        <x:v>Not authored</x:v>
      </x:c>
      <x:c r="L340" s="13" t="str">
        <x:v>No</x:v>
      </x:c>
      <x:c r="M340" s="13" t="str"/>
    </x:row>
    <x:row r="341" ht="58" customHeight="1">
      <x:c r="A341" s="9" t="str">
        <x:v>T21.04</x:v>
      </x:c>
      <x:c r="B341" s="9" t="str">
        <x:v>D21</x:v>
      </x:c>
      <x:c r="C341" s="9" t="str">
        <x:v>Moneyness, intrinsic value, and time value</x:v>
      </x:c>
      <x:c r="D341" s="9" t="str">
        <x:v>Advanced</x:v>
      </x:c>
      <x:c r="E341" s="9" t="str">
        <x:v>T01.15, T21.02</x:v>
      </x:c>
      <x:c r="F341" s="9" t="str">
        <x:v>T21.03</x:v>
      </x:c>
      <x:c r="G341" s="12" t="n">
        <x:v>6</x:v>
      </x:c>
      <x:c r="H341" s="12" t="n">
        <x:v>1</x:v>
      </x:c>
      <x:c r="I341" s="9" t="str">
        <x:v>Compare scenarios</x:v>
      </x:c>
      <x:c r="J341" s="9" t="str">
        <x:v>What is the payoff if the market moves against your position? Apply the question to moneyness, intrinsic value, and time value.</x:v>
      </x:c>
      <x:c r="K341" s="13" t="str">
        <x:v>Not authored</x:v>
      </x:c>
      <x:c r="L341" s="13" t="str">
        <x:v>No</x:v>
      </x:c>
      <x:c r="M341" s="13" t="str"/>
    </x:row>
    <x:row r="342" ht="58" customHeight="1">
      <x:c r="A342" s="10" t="str">
        <x:v>T21.05</x:v>
      </x:c>
      <x:c r="B342" s="10" t="str">
        <x:v>D21</x:v>
      </x:c>
      <x:c r="C342" s="10" t="str">
        <x:v>Put-call parity</x:v>
      </x:c>
      <x:c r="D342" s="10" t="str">
        <x:v>Advanced</x:v>
      </x:c>
      <x:c r="E342" s="10" t="str">
        <x:v>T01.15, T21.02</x:v>
      </x:c>
      <x:c r="F342" s="10" t="str">
        <x:v>T21.17</x:v>
      </x:c>
      <x:c r="G342" s="11" t="n">
        <x:v>5</x:v>
      </x:c>
      <x:c r="H342" s="11" t="n">
        <x:v>1</x:v>
      </x:c>
      <x:c r="I342" s="10" t="str">
        <x:v>Compare scenarios</x:v>
      </x:c>
      <x:c r="J342" s="10" t="str">
        <x:v>What is the payoff if the market moves against your position? Apply the question to put-call parity.</x:v>
      </x:c>
      <x:c r="K342" s="13" t="str">
        <x:v>Not authored</x:v>
      </x:c>
      <x:c r="L342" s="13" t="str">
        <x:v>No</x:v>
      </x:c>
      <x:c r="M342" s="13" t="str"/>
    </x:row>
    <x:row r="343" ht="58" customHeight="1">
      <x:c r="A343" s="9" t="str">
        <x:v>T21.06</x:v>
      </x:c>
      <x:c r="B343" s="9" t="str">
        <x:v>D21</x:v>
      </x:c>
      <x:c r="C343" s="9" t="str">
        <x:v>Binomial option pricing</x:v>
      </x:c>
      <x:c r="D343" s="9" t="str">
        <x:v>Advanced</x:v>
      </x:c>
      <x:c r="E343" s="9" t="str">
        <x:v>T01.15, T02.07</x:v>
      </x:c>
      <x:c r="F343" s="9" t="str">
        <x:v>T21.07</x:v>
      </x:c>
      <x:c r="G343" s="12" t="n">
        <x:v>7</x:v>
      </x:c>
      <x:c r="H343" s="12" t="n">
        <x:v>1</x:v>
      </x:c>
      <x:c r="I343" s="9" t="str">
        <x:v>Compare scenarios</x:v>
      </x:c>
      <x:c r="J343" s="9" t="str">
        <x:v>What is the payoff if the market moves against your position? Apply the question to binomial option pricing.</x:v>
      </x:c>
      <x:c r="K343" s="13" t="str">
        <x:v>Not authored</x:v>
      </x:c>
      <x:c r="L343" s="13" t="str">
        <x:v>No</x:v>
      </x:c>
      <x:c r="M343" s="13" t="str"/>
    </x:row>
    <x:row r="344" ht="58" customHeight="1">
      <x:c r="A344" s="10" t="str">
        <x:v>T21.07</x:v>
      </x:c>
      <x:c r="B344" s="10" t="str">
        <x:v>D21</x:v>
      </x:c>
      <x:c r="C344" s="10" t="str">
        <x:v>Black-Scholes foundations and assumptions</x:v>
      </x:c>
      <x:c r="D344" s="10" t="str">
        <x:v>Advanced</x:v>
      </x:c>
      <x:c r="E344" s="10" t="str">
        <x:v>T01.15, T21.06</x:v>
      </x:c>
      <x:c r="F344" s="10" t="str">
        <x:v>T21.06</x:v>
      </x:c>
      <x:c r="G344" s="11" t="n">
        <x:v>8</x:v>
      </x:c>
      <x:c r="H344" s="11" t="n">
        <x:v>1</x:v>
      </x:c>
      <x:c r="I344" s="10" t="str">
        <x:v>Compare scenarios</x:v>
      </x:c>
      <x:c r="J344" s="10" t="str">
        <x:v>What is the payoff if the market moves against your position? Apply the question to black-scholes foundations and assumptions.</x:v>
      </x:c>
      <x:c r="K344" s="13" t="str">
        <x:v>Not authored</x:v>
      </x:c>
      <x:c r="L344" s="13" t="str">
        <x:v>No</x:v>
      </x:c>
      <x:c r="M344" s="13" t="str"/>
    </x:row>
    <x:row r="345" ht="58" customHeight="1">
      <x:c r="A345" s="9" t="str">
        <x:v>T21.08</x:v>
      </x:c>
      <x:c r="B345" s="9" t="str">
        <x:v>D21</x:v>
      </x:c>
      <x:c r="C345" s="9" t="str">
        <x:v>Option Greeks</x:v>
      </x:c>
      <x:c r="D345" s="9" t="str">
        <x:v>Advanced</x:v>
      </x:c>
      <x:c r="E345" s="9" t="str">
        <x:v>T01.15, T21.07</x:v>
      </x:c>
      <x:c r="F345" s="9" t="str">
        <x:v>T21.09</x:v>
      </x:c>
      <x:c r="G345" s="12" t="n">
        <x:v>6</x:v>
      </x:c>
      <x:c r="H345" s="12" t="n">
        <x:v>1</x:v>
      </x:c>
      <x:c r="I345" s="9" t="str">
        <x:v>Compare scenarios</x:v>
      </x:c>
      <x:c r="J345" s="9" t="str">
        <x:v>What is the payoff if the market moves against your position? Apply the question to option greeks.</x:v>
      </x:c>
      <x:c r="K345" s="13" t="str">
        <x:v>Not authored</x:v>
      </x:c>
      <x:c r="L345" s="13" t="str">
        <x:v>No</x:v>
      </x:c>
      <x:c r="M345" s="13" t="str"/>
    </x:row>
    <x:row r="346" ht="58" customHeight="1">
      <x:c r="A346" s="10" t="str">
        <x:v>T21.09</x:v>
      </x:c>
      <x:c r="B346" s="10" t="str">
        <x:v>D21</x:v>
      </x:c>
      <x:c r="C346" s="10" t="str">
        <x:v>Implied versus realised volatility</x:v>
      </x:c>
      <x:c r="D346" s="10" t="str">
        <x:v>Advanced</x:v>
      </x:c>
      <x:c r="E346" s="10" t="str">
        <x:v>T01.15</x:v>
      </x:c>
      <x:c r="F346" s="10" t="str">
        <x:v>T21.08</x:v>
      </x:c>
      <x:c r="G346" s="11" t="n">
        <x:v>7</x:v>
      </x:c>
      <x:c r="H346" s="11" t="n">
        <x:v>1</x:v>
      </x:c>
      <x:c r="I346" s="10" t="str">
        <x:v>Compare scenarios</x:v>
      </x:c>
      <x:c r="J346" s="10" t="str">
        <x:v>What is the payoff if the market moves against your position? Apply the question to implied versus realised volatility.</x:v>
      </x:c>
      <x:c r="K346" s="13" t="str">
        <x:v>Not authored</x:v>
      </x:c>
      <x:c r="L346" s="13" t="str">
        <x:v>No</x:v>
      </x:c>
      <x:c r="M346" s="13" t="str"/>
    </x:row>
    <x:row r="347" ht="58" customHeight="1">
      <x:c r="A347" s="9" t="str">
        <x:v>T21.10</x:v>
      </x:c>
      <x:c r="B347" s="9" t="str">
        <x:v>D21</x:v>
      </x:c>
      <x:c r="C347" s="9" t="str">
        <x:v>Volatility smiles, skews, and term structures</x:v>
      </x:c>
      <x:c r="D347" s="9" t="str">
        <x:v>Advanced</x:v>
      </x:c>
      <x:c r="E347" s="9" t="str">
        <x:v>T01.15, T21.09</x:v>
      </x:c>
      <x:c r="F347" s="9" t="str">
        <x:v>T21.09</x:v>
      </x:c>
      <x:c r="G347" s="12" t="n">
        <x:v>4</x:v>
      </x:c>
      <x:c r="H347" s="12" t="n">
        <x:v>0</x:v>
      </x:c>
      <x:c r="I347" s="9" t="str">
        <x:v>Compare scenarios</x:v>
      </x:c>
      <x:c r="J347" s="9" t="str">
        <x:v>What is the payoff if the market moves against your position? Apply the question to volatility smiles, skews, and term structures.</x:v>
      </x:c>
      <x:c r="K347" s="13" t="str">
        <x:v>Not authored</x:v>
      </x:c>
      <x:c r="L347" s="13" t="str">
        <x:v>No</x:v>
      </x:c>
      <x:c r="M347" s="13" t="str"/>
    </x:row>
    <x:row r="348" ht="58" customHeight="1">
      <x:c r="A348" s="10" t="str">
        <x:v>T21.11</x:v>
      </x:c>
      <x:c r="B348" s="10" t="str">
        <x:v>D21</x:v>
      </x:c>
      <x:c r="C348" s="10" t="str">
        <x:v>Option strategies: spreads, straddles, strangles, and collars</x:v>
      </x:c>
      <x:c r="D348" s="10" t="str">
        <x:v>Advanced</x:v>
      </x:c>
      <x:c r="E348" s="10" t="str">
        <x:v>T01.15, T21.03</x:v>
      </x:c>
      <x:c r="F348" s="10" t="str">
        <x:v>T21.03</x:v>
      </x:c>
      <x:c r="G348" s="11" t="n">
        <x:v>4</x:v>
      </x:c>
      <x:c r="H348" s="11" t="n">
        <x:v>0</x:v>
      </x:c>
      <x:c r="I348" s="10" t="str">
        <x:v>Compare scenarios</x:v>
      </x:c>
      <x:c r="J348" s="10" t="str">
        <x:v>What is the payoff if the market moves against your position? Apply the question to option strategies: spreads, straddles, strangles, and collars.</x:v>
      </x:c>
      <x:c r="K348" s="13" t="str">
        <x:v>Not authored</x:v>
      </x:c>
      <x:c r="L348" s="13" t="str">
        <x:v>No</x:v>
      </x:c>
      <x:c r="M348" s="13" t="str"/>
    </x:row>
    <x:row r="349" ht="58" customHeight="1">
      <x:c r="A349" s="9" t="str">
        <x:v>T21.12</x:v>
      </x:c>
      <x:c r="B349" s="9" t="str">
        <x:v>D21</x:v>
      </x:c>
      <x:c r="C349" s="9" t="str">
        <x:v>Interest-rate, currency, and commodity swaps</x:v>
      </x:c>
      <x:c r="D349" s="9" t="str">
        <x:v>Advanced</x:v>
      </x:c>
      <x:c r="E349" s="9" t="str">
        <x:v>T01.15</x:v>
      </x:c>
      <x:c r="F349" s="9" t="str">
        <x:v>T21.17</x:v>
      </x:c>
      <x:c r="G349" s="12" t="n">
        <x:v>5</x:v>
      </x:c>
      <x:c r="H349" s="12" t="n">
        <x:v>1</x:v>
      </x:c>
      <x:c r="I349" s="9" t="str">
        <x:v>Compare scenarios</x:v>
      </x:c>
      <x:c r="J349" s="9" t="str">
        <x:v>What is the payoff if the market moves against your position? Apply the question to interest-rate, currency, and commodity swaps.</x:v>
      </x:c>
      <x:c r="K349" s="13" t="str">
        <x:v>Not authored</x:v>
      </x:c>
      <x:c r="L349" s="13" t="str">
        <x:v>No</x:v>
      </x:c>
      <x:c r="M349" s="13" t="str"/>
    </x:row>
    <x:row r="350" ht="58" customHeight="1">
      <x:c r="A350" s="10" t="str">
        <x:v>T21.13</x:v>
      </x:c>
      <x:c r="B350" s="10" t="str">
        <x:v>D21</x:v>
      </x:c>
      <x:c r="C350" s="10" t="str">
        <x:v>Credit default swaps</x:v>
      </x:c>
      <x:c r="D350" s="10" t="str">
        <x:v>Advanced</x:v>
      </x:c>
      <x:c r="E350" s="10" t="str">
        <x:v>T01.15</x:v>
      </x:c>
      <x:c r="F350" s="10" t="str">
        <x:v>T21.18</x:v>
      </x:c>
      <x:c r="G350" s="11" t="n">
        <x:v>5</x:v>
      </x:c>
      <x:c r="H350" s="11" t="n">
        <x:v>1</x:v>
      </x:c>
      <x:c r="I350" s="10" t="str">
        <x:v>Compare scenarios</x:v>
      </x:c>
      <x:c r="J350" s="10" t="str">
        <x:v>What is the payoff if the market moves against your position? Apply the question to credit default swaps.</x:v>
      </x:c>
      <x:c r="K350" s="13" t="str">
        <x:v>Not authored</x:v>
      </x:c>
      <x:c r="L350" s="13" t="str">
        <x:v>No</x:v>
      </x:c>
      <x:c r="M350" s="13" t="str"/>
    </x:row>
    <x:row r="351" ht="58" customHeight="1">
      <x:c r="A351" s="9" t="str">
        <x:v>T21.14</x:v>
      </x:c>
      <x:c r="B351" s="9" t="str">
        <x:v>D21</x:v>
      </x:c>
      <x:c r="C351" s="9" t="str">
        <x:v>Caps, floors, and swaptions</x:v>
      </x:c>
      <x:c r="D351" s="9" t="str">
        <x:v>Advanced</x:v>
      </x:c>
      <x:c r="E351" s="9" t="str">
        <x:v>T01.15</x:v>
      </x:c>
      <x:c r="F351" s="9" t="str">
        <x:v>T21.12</x:v>
      </x:c>
      <x:c r="G351" s="12" t="n">
        <x:v>4</x:v>
      </x:c>
      <x:c r="H351" s="12" t="n">
        <x:v>1</x:v>
      </x:c>
      <x:c r="I351" s="9" t="str">
        <x:v>Compare scenarios</x:v>
      </x:c>
      <x:c r="J351" s="9" t="str">
        <x:v>What is the payoff if the market moves against your position? Apply the question to caps, floors, and swaptions.</x:v>
      </x:c>
      <x:c r="K351" s="13" t="str">
        <x:v>Not authored</x:v>
      </x:c>
      <x:c r="L351" s="13" t="str">
        <x:v>No</x:v>
      </x:c>
      <x:c r="M351" s="13" t="str"/>
    </x:row>
    <x:row r="352" ht="58" customHeight="1">
      <x:c r="A352" s="10" t="str">
        <x:v>T21.15</x:v>
      </x:c>
      <x:c r="B352" s="10" t="str">
        <x:v>D21</x:v>
      </x:c>
      <x:c r="C352" s="10" t="str">
        <x:v>Exotic options and path-dependent payoffs</x:v>
      </x:c>
      <x:c r="D352" s="10" t="str">
        <x:v>Advanced</x:v>
      </x:c>
      <x:c r="E352" s="10" t="str">
        <x:v>T01.15</x:v>
      </x:c>
      <x:c r="F352" s="10" t="str">
        <x:v>T21.07</x:v>
      </x:c>
      <x:c r="G352" s="11" t="n">
        <x:v>4</x:v>
      </x:c>
      <x:c r="H352" s="11" t="n">
        <x:v>1</x:v>
      </x:c>
      <x:c r="I352" s="10" t="str">
        <x:v>Compare scenarios</x:v>
      </x:c>
      <x:c r="J352" s="10" t="str">
        <x:v>What is the payoff if the market moves against your position? Apply the question to exotic options and path-dependent payoffs.</x:v>
      </x:c>
      <x:c r="K352" s="13" t="str">
        <x:v>Not authored</x:v>
      </x:c>
      <x:c r="L352" s="13" t="str">
        <x:v>No</x:v>
      </x:c>
      <x:c r="M352" s="13" t="str"/>
    </x:row>
    <x:row r="353" ht="58" customHeight="1">
      <x:c r="A353" s="9" t="str">
        <x:v>T21.16</x:v>
      </x:c>
      <x:c r="B353" s="9" t="str">
        <x:v>D21</x:v>
      </x:c>
      <x:c r="C353" s="9" t="str">
        <x:v>Structured notes and embedded derivatives</x:v>
      </x:c>
      <x:c r="D353" s="9" t="str">
        <x:v>Advanced</x:v>
      </x:c>
      <x:c r="E353" s="9" t="str">
        <x:v>T01.15</x:v>
      </x:c>
      <x:c r="F353" s="9" t="str">
        <x:v>T21.02</x:v>
      </x:c>
      <x:c r="G353" s="12" t="n">
        <x:v>5</x:v>
      </x:c>
      <x:c r="H353" s="12" t="n">
        <x:v>2</x:v>
      </x:c>
      <x:c r="I353" s="9" t="str">
        <x:v>Compare scenarios</x:v>
      </x:c>
      <x:c r="J353" s="9" t="str">
        <x:v>What is the payoff if the market moves against your position? Apply the question to structured notes and embedded derivatives.</x:v>
      </x:c>
      <x:c r="K353" s="13" t="str">
        <x:v>Not authored</x:v>
      </x:c>
      <x:c r="L353" s="13" t="str">
        <x:v>No</x:v>
      </x:c>
      <x:c r="M353" s="13" t="str"/>
    </x:row>
    <x:row r="354" ht="58" customHeight="1">
      <x:c r="A354" s="10" t="str">
        <x:v>T21.17</x:v>
      </x:c>
      <x:c r="B354" s="10" t="str">
        <x:v>D21</x:v>
      </x:c>
      <x:c r="C354" s="10" t="str">
        <x:v>Hedging, speculation, and arbitrage</x:v>
      </x:c>
      <x:c r="D354" s="10" t="str">
        <x:v>Advanced</x:v>
      </x:c>
      <x:c r="E354" s="10" t="str">
        <x:v>T01.15</x:v>
      </x:c>
      <x:c r="F354" s="10" t="str">
        <x:v>T21.19</x:v>
      </x:c>
      <x:c r="G354" s="11" t="n">
        <x:v>11</x:v>
      </x:c>
      <x:c r="H354" s="11" t="n">
        <x:v>3</x:v>
      </x:c>
      <x:c r="I354" s="10" t="str">
        <x:v>Compare scenarios</x:v>
      </x:c>
      <x:c r="J354" s="10" t="str">
        <x:v>What is the payoff if the market moves against your position? Apply the question to hedging, speculation, and arbitrage.</x:v>
      </x:c>
      <x:c r="K354" s="13" t="str">
        <x:v>Not authored</x:v>
      </x:c>
      <x:c r="L354" s="13" t="str">
        <x:v>No</x:v>
      </x:c>
      <x:c r="M354" s="13" t="str"/>
    </x:row>
    <x:row r="355" ht="58" customHeight="1">
      <x:c r="A355" s="9" t="str">
        <x:v>T21.18</x:v>
      </x:c>
      <x:c r="B355" s="9" t="str">
        <x:v>D21</x:v>
      </x:c>
      <x:c r="C355" s="9" t="str">
        <x:v>Margin, collateral, clearing, and counterparty risk</x:v>
      </x:c>
      <x:c r="D355" s="9" t="str">
        <x:v>Advanced</x:v>
      </x:c>
      <x:c r="E355" s="9" t="str">
        <x:v>T01.15</x:v>
      </x:c>
      <x:c r="F355" s="9" t="str">
        <x:v>T21.13</x:v>
      </x:c>
      <x:c r="G355" s="12" t="n">
        <x:v>6</x:v>
      </x:c>
      <x:c r="H355" s="12" t="n">
        <x:v>2</x:v>
      </x:c>
      <x:c r="I355" s="9" t="str">
        <x:v>Compare scenarios</x:v>
      </x:c>
      <x:c r="J355" s="9" t="str">
        <x:v>What is the payoff if the market moves against your position? Apply the question to margin, collateral, clearing, and counterparty risk.</x:v>
      </x:c>
      <x:c r="K355" s="13" t="str">
        <x:v>Not authored</x:v>
      </x:c>
      <x:c r="L355" s="13" t="str">
        <x:v>No</x:v>
      </x:c>
      <x:c r="M355" s="13" t="str"/>
    </x:row>
    <x:row r="356" ht="58" customHeight="1">
      <x:c r="A356" s="10" t="str">
        <x:v>T21.19</x:v>
      </x:c>
      <x:c r="B356" s="10" t="str">
        <x:v>D21</x:v>
      </x:c>
      <x:c r="C356" s="10" t="str">
        <x:v>Basis risk and hedge effectiveness</x:v>
      </x:c>
      <x:c r="D356" s="10" t="str">
        <x:v>Advanced</x:v>
      </x:c>
      <x:c r="E356" s="10" t="str">
        <x:v>T01.15</x:v>
      </x:c>
      <x:c r="F356" s="10" t="str">
        <x:v>T21.17</x:v>
      </x:c>
      <x:c r="G356" s="11" t="n">
        <x:v>5</x:v>
      </x:c>
      <x:c r="H356" s="11" t="n">
        <x:v>1</x:v>
      </x:c>
      <x:c r="I356" s="10" t="str">
        <x:v>Compare scenarios</x:v>
      </x:c>
      <x:c r="J356" s="10" t="str">
        <x:v>What is the payoff if the market moves against your position? Apply the question to basis risk and hedge effectiveness.</x:v>
      </x:c>
      <x:c r="K356" s="13" t="str">
        <x:v>Not authored</x:v>
      </x:c>
      <x:c r="L356" s="13" t="str">
        <x:v>No</x:v>
      </x:c>
      <x:c r="M356" s="13" t="str"/>
    </x:row>
    <x:row r="357" ht="58" customHeight="1">
      <x:c r="A357" s="9" t="str">
        <x:v>T22.01</x:v>
      </x:c>
      <x:c r="B357" s="9" t="str">
        <x:v>D22</x:v>
      </x:c>
      <x:c r="C357" s="9" t="str">
        <x:v>Investment objectives and constraints</x:v>
      </x:c>
      <x:c r="D357" s="9" t="str">
        <x:v>Core</x:v>
      </x:c>
      <x:c r="E357" s="9" t="str">
        <x:v>T02.09</x:v>
      </x:c>
      <x:c r="F357" s="9" t="str">
        <x:v>T22.02</x:v>
      </x:c>
      <x:c r="G357" s="12" t="n">
        <x:v>4</x:v>
      </x:c>
      <x:c r="H357" s="12" t="n">
        <x:v>0</x:v>
      </x:c>
      <x:c r="I357" s="9" t="str">
        <x:v>Compare scenarios</x:v>
      </x:c>
      <x:c r="J357" s="9" t="str">
        <x:v>Would this investment improve the portfolio rather than just look attractive alone? Apply the question to investment objectives and constraints.</x:v>
      </x:c>
      <x:c r="K357" s="13" t="str">
        <x:v>Not authored</x:v>
      </x:c>
      <x:c r="L357" s="13" t="str">
        <x:v>No</x:v>
      </x:c>
      <x:c r="M357" s="13" t="str"/>
    </x:row>
    <x:row r="358" ht="58" customHeight="1">
      <x:c r="A358" s="10" t="str">
        <x:v>T22.02</x:v>
      </x:c>
      <x:c r="B358" s="10" t="str">
        <x:v>D22</x:v>
      </x:c>
      <x:c r="C358" s="10" t="str">
        <x:v>Investment policy statements</x:v>
      </x:c>
      <x:c r="D358" s="10" t="str">
        <x:v>Core</x:v>
      </x:c>
      <x:c r="E358" s="10" t="str">
        <x:v>T02.09</x:v>
      </x:c>
      <x:c r="F358" s="10" t="str">
        <x:v>T22.01</x:v>
      </x:c>
      <x:c r="G358" s="11" t="n">
        <x:v>8</x:v>
      </x:c>
      <x:c r="H358" s="11" t="n">
        <x:v>3</x:v>
      </x:c>
      <x:c r="I358" s="10" t="str">
        <x:v>Compare scenarios</x:v>
      </x:c>
      <x:c r="J358" s="10" t="str">
        <x:v>Would this investment improve the portfolio rather than just look attractive alone? Apply the question to investment policy statements.</x:v>
      </x:c>
      <x:c r="K358" s="13" t="str">
        <x:v>Not authored</x:v>
      </x:c>
      <x:c r="L358" s="13" t="str">
        <x:v>No</x:v>
      </x:c>
      <x:c r="M358" s="13" t="str"/>
    </x:row>
    <x:row r="359" ht="58" customHeight="1">
      <x:c r="A359" s="9" t="str">
        <x:v>T22.03</x:v>
      </x:c>
      <x:c r="B359" s="9" t="str">
        <x:v>D22</x:v>
      </x:c>
      <x:c r="C359" s="9" t="str">
        <x:v>Risk tolerance, risk capacity, and investment horizon</x:v>
      </x:c>
      <x:c r="D359" s="9" t="str">
        <x:v>Core</x:v>
      </x:c>
      <x:c r="E359" s="9" t="str">
        <x:v>T02.09</x:v>
      </x:c>
      <x:c r="F359" s="9" t="str">
        <x:v>T22.02</x:v>
      </x:c>
      <x:c r="G359" s="12" t="n">
        <x:v>6</x:v>
      </x:c>
      <x:c r="H359" s="12" t="n">
        <x:v>2</x:v>
      </x:c>
      <x:c r="I359" s="9" t="str">
        <x:v>Compare scenarios</x:v>
      </x:c>
      <x:c r="J359" s="9" t="str">
        <x:v>Would this investment improve the portfolio rather than just look attractive alone? Apply the question to risk tolerance, risk capacity, and investment horizon.</x:v>
      </x:c>
      <x:c r="K359" s="13" t="str">
        <x:v>Not authored</x:v>
      </x:c>
      <x:c r="L359" s="13" t="str">
        <x:v>No</x:v>
      </x:c>
      <x:c r="M359" s="13" t="str"/>
    </x:row>
    <x:row r="360" ht="58" customHeight="1">
      <x:c r="A360" s="10" t="str">
        <x:v>T22.04</x:v>
      </x:c>
      <x:c r="B360" s="10" t="str">
        <x:v>D22</x:v>
      </x:c>
      <x:c r="C360" s="10" t="str">
        <x:v>Diversification and correlation</x:v>
      </x:c>
      <x:c r="D360" s="10" t="str">
        <x:v>Core</x:v>
      </x:c>
      <x:c r="E360" s="10" t="str">
        <x:v>T02.09</x:v>
      </x:c>
      <x:c r="F360" s="10" t="str">
        <x:v>T22.05</x:v>
      </x:c>
      <x:c r="G360" s="11" t="n">
        <x:v>6</x:v>
      </x:c>
      <x:c r="H360" s="11" t="n">
        <x:v>2</x:v>
      </x:c>
      <x:c r="I360" s="10" t="str">
        <x:v>Compare scenarios</x:v>
      </x:c>
      <x:c r="J360" s="10" t="str">
        <x:v>Would this investment improve the portfolio rather than just look attractive alone? Apply the question to diversification and correlation.</x:v>
      </x:c>
      <x:c r="K360" s="13" t="str">
        <x:v>Not authored</x:v>
      </x:c>
      <x:c r="L360" s="13" t="str">
        <x:v>No</x:v>
      </x:c>
      <x:c r="M360" s="13" t="str"/>
    </x:row>
    <x:row r="361" ht="58" customHeight="1">
      <x:c r="A361" s="9" t="str">
        <x:v>T22.05</x:v>
      </x:c>
      <x:c r="B361" s="9" t="str">
        <x:v>D22</x:v>
      </x:c>
      <x:c r="C361" s="9" t="str">
        <x:v>Modern portfolio theory</x:v>
      </x:c>
      <x:c r="D361" s="9" t="str">
        <x:v>Core</x:v>
      </x:c>
      <x:c r="E361" s="9" t="str">
        <x:v>T02.09, T22.04</x:v>
      </x:c>
      <x:c r="F361" s="9" t="str">
        <x:v>T22.06</x:v>
      </x:c>
      <x:c r="G361" s="12" t="n">
        <x:v>10</x:v>
      </x:c>
      <x:c r="H361" s="12" t="n">
        <x:v>1</x:v>
      </x:c>
      <x:c r="I361" s="9" t="str">
        <x:v>Compare scenarios</x:v>
      </x:c>
      <x:c r="J361" s="9" t="str">
        <x:v>Would this investment improve the portfolio rather than just look attractive alone? Apply the question to modern portfolio theory.</x:v>
      </x:c>
      <x:c r="K361" s="13" t="str">
        <x:v>Not authored</x:v>
      </x:c>
      <x:c r="L361" s="13" t="str">
        <x:v>No</x:v>
      </x:c>
      <x:c r="M361" s="13" t="str"/>
    </x:row>
    <x:row r="362" ht="58" customHeight="1">
      <x:c r="A362" s="10" t="str">
        <x:v>T22.06</x:v>
      </x:c>
      <x:c r="B362" s="10" t="str">
        <x:v>D22</x:v>
      </x:c>
      <x:c r="C362" s="10" t="str">
        <x:v>Efficient frontier and minimum-variance portfolios</x:v>
      </x:c>
      <x:c r="D362" s="10" t="str">
        <x:v>Core</x:v>
      </x:c>
      <x:c r="E362" s="10" t="str">
        <x:v>T02.09, T22.05</x:v>
      </x:c>
      <x:c r="F362" s="10" t="str">
        <x:v>T22.05</x:v>
      </x:c>
      <x:c r="G362" s="11" t="n">
        <x:v>8</x:v>
      </x:c>
      <x:c r="H362" s="11" t="n">
        <x:v>2</x:v>
      </x:c>
      <x:c r="I362" s="10" t="str">
        <x:v>Compare scenarios</x:v>
      </x:c>
      <x:c r="J362" s="10" t="str">
        <x:v>Would this investment improve the portfolio rather than just look attractive alone? Apply the question to efficient frontier and minimum-variance portfolios.</x:v>
      </x:c>
      <x:c r="K362" s="13" t="str">
        <x:v>Not authored</x:v>
      </x:c>
      <x:c r="L362" s="13" t="str">
        <x:v>No</x:v>
      </x:c>
      <x:c r="M362" s="13" t="str"/>
    </x:row>
    <x:row r="363" ht="58" customHeight="1">
      <x:c r="A363" s="9" t="str">
        <x:v>T22.07</x:v>
      </x:c>
      <x:c r="B363" s="9" t="str">
        <x:v>D22</x:v>
      </x:c>
      <x:c r="C363" s="9" t="str">
        <x:v>Capital allocation line and capital market line</x:v>
      </x:c>
      <x:c r="D363" s="9" t="str">
        <x:v>Core</x:v>
      </x:c>
      <x:c r="E363" s="9" t="str">
        <x:v>T02.09, T22.06</x:v>
      </x:c>
      <x:c r="F363" s="9" t="str">
        <x:v>T22.05</x:v>
      </x:c>
      <x:c r="G363" s="12" t="n">
        <x:v>4</x:v>
      </x:c>
      <x:c r="H363" s="12" t="n">
        <x:v>0</x:v>
      </x:c>
      <x:c r="I363" s="9" t="str">
        <x:v>Compare scenarios</x:v>
      </x:c>
      <x:c r="J363" s="9" t="str">
        <x:v>Would this investment improve the portfolio rather than just look attractive alone? Apply the question to capital allocation line and capital market line.</x:v>
      </x:c>
      <x:c r="K363" s="13" t="str">
        <x:v>Not authored</x:v>
      </x:c>
      <x:c r="L363" s="13" t="str">
        <x:v>No</x:v>
      </x:c>
      <x:c r="M363" s="13" t="str"/>
    </x:row>
    <x:row r="364" ht="58" customHeight="1">
      <x:c r="A364" s="10" t="str">
        <x:v>T22.08</x:v>
      </x:c>
      <x:c r="B364" s="10" t="str">
        <x:v>D22</x:v>
      </x:c>
      <x:c r="C364" s="10" t="str">
        <x:v>CAPM, arbitrage pricing theory, and factor models</x:v>
      </x:c>
      <x:c r="D364" s="10" t="str">
        <x:v>Core</x:v>
      </x:c>
      <x:c r="E364" s="10" t="str">
        <x:v>T02.09</x:v>
      </x:c>
      <x:c r="F364" s="10" t="str">
        <x:v>T22.05</x:v>
      </x:c>
      <x:c r="G364" s="11" t="n">
        <x:v>5</x:v>
      </x:c>
      <x:c r="H364" s="11" t="n">
        <x:v>2</x:v>
      </x:c>
      <x:c r="I364" s="10" t="str">
        <x:v>Compare scenarios</x:v>
      </x:c>
      <x:c r="J364" s="10" t="str">
        <x:v>Would this investment improve the portfolio rather than just look attractive alone? Apply the question to capm, arbitrage pricing theory, and factor models.</x:v>
      </x:c>
      <x:c r="K364" s="13" t="str">
        <x:v>Not authored</x:v>
      </x:c>
      <x:c r="L364" s="13" t="str">
        <x:v>No</x:v>
      </x:c>
      <x:c r="M364" s="13" t="str"/>
    </x:row>
    <x:row r="365" ht="58" customHeight="1">
      <x:c r="A365" s="9" t="str">
        <x:v>T22.09</x:v>
      </x:c>
      <x:c r="B365" s="9" t="str">
        <x:v>D22</x:v>
      </x:c>
      <x:c r="C365" s="9" t="str">
        <x:v>Strategic and tactical asset allocation</x:v>
      </x:c>
      <x:c r="D365" s="9" t="str">
        <x:v>Core</x:v>
      </x:c>
      <x:c r="E365" s="9" t="str">
        <x:v>T02.09</x:v>
      </x:c>
      <x:c r="F365" s="9" t="str">
        <x:v>T22.12</x:v>
      </x:c>
      <x:c r="G365" s="12" t="n">
        <x:v>27</x:v>
      </x:c>
      <x:c r="H365" s="12" t="n">
        <x:v>4</x:v>
      </x:c>
      <x:c r="I365" s="9" t="str">
        <x:v>Compare scenarios</x:v>
      </x:c>
      <x:c r="J365" s="9" t="str">
        <x:v>Would this investment improve the portfolio rather than just look attractive alone? Apply the question to strategic and tactical asset allocation.</x:v>
      </x:c>
      <x:c r="K365" s="13" t="str">
        <x:v>Not authored</x:v>
      </x:c>
      <x:c r="L365" s="13" t="str">
        <x:v>No</x:v>
      </x:c>
      <x:c r="M365" s="13" t="str"/>
    </x:row>
    <x:row r="366" ht="58" customHeight="1">
      <x:c r="A366" s="10" t="str">
        <x:v>T22.10</x:v>
      </x:c>
      <x:c r="B366" s="10" t="str">
        <x:v>D22</x:v>
      </x:c>
      <x:c r="C366" s="10" t="str">
        <x:v>Active versus passive management</x:v>
      </x:c>
      <x:c r="D366" s="10" t="str">
        <x:v>Core</x:v>
      </x:c>
      <x:c r="E366" s="10" t="str">
        <x:v>T02.09</x:v>
      </x:c>
      <x:c r="F366" s="10" t="str">
        <x:v>T22.11</x:v>
      </x:c>
      <x:c r="G366" s="11" t="n">
        <x:v>5</x:v>
      </x:c>
      <x:c r="H366" s="11" t="n">
        <x:v>1</x:v>
      </x:c>
      <x:c r="I366" s="10" t="str">
        <x:v>Compare scenarios</x:v>
      </x:c>
      <x:c r="J366" s="10" t="str">
        <x:v>Would this investment improve the portfolio rather than just look attractive alone? Apply the question to active versus passive management.</x:v>
      </x:c>
      <x:c r="K366" s="13" t="str">
        <x:v>Not authored</x:v>
      </x:c>
      <x:c r="L366" s="13" t="str">
        <x:v>No</x:v>
      </x:c>
      <x:c r="M366" s="13" t="str"/>
    </x:row>
    <x:row r="367" ht="58" customHeight="1">
      <x:c r="A367" s="9" t="str">
        <x:v>T22.11</x:v>
      </x:c>
      <x:c r="B367" s="9" t="str">
        <x:v>D22</x:v>
      </x:c>
      <x:c r="C367" s="9" t="str">
        <x:v>Indexing, tracking error, and active share</x:v>
      </x:c>
      <x:c r="D367" s="9" t="str">
        <x:v>Core</x:v>
      </x:c>
      <x:c r="E367" s="9" t="str">
        <x:v>T02.09</x:v>
      </x:c>
      <x:c r="F367" s="9" t="str">
        <x:v>T22.10</x:v>
      </x:c>
      <x:c r="G367" s="12" t="n">
        <x:v>6</x:v>
      </x:c>
      <x:c r="H367" s="12" t="n">
        <x:v>2</x:v>
      </x:c>
      <x:c r="I367" s="9" t="str">
        <x:v>Compare scenarios</x:v>
      </x:c>
      <x:c r="J367" s="9" t="str">
        <x:v>Would this investment improve the portfolio rather than just look attractive alone? Apply the question to indexing, tracking error, and active share.</x:v>
      </x:c>
      <x:c r="K367" s="13" t="str">
        <x:v>Not authored</x:v>
      </x:c>
      <x:c r="L367" s="13" t="str">
        <x:v>No</x:v>
      </x:c>
      <x:c r="M367" s="13" t="str"/>
    </x:row>
    <x:row r="368" ht="58" customHeight="1">
      <x:c r="A368" s="10" t="str">
        <x:v>T22.12</x:v>
      </x:c>
      <x:c r="B368" s="10" t="str">
        <x:v>D22</x:v>
      </x:c>
      <x:c r="C368" s="10" t="str">
        <x:v>Portfolio construction and position sizing</x:v>
      </x:c>
      <x:c r="D368" s="10" t="str">
        <x:v>Core</x:v>
      </x:c>
      <x:c r="E368" s="10" t="str">
        <x:v>T02.09</x:v>
      </x:c>
      <x:c r="F368" s="10" t="str">
        <x:v>T22.13</x:v>
      </x:c>
      <x:c r="G368" s="11" t="n">
        <x:v>7</x:v>
      </x:c>
      <x:c r="H368" s="11" t="n">
        <x:v>3</x:v>
      </x:c>
      <x:c r="I368" s="10" t="str">
        <x:v>Compare scenarios</x:v>
      </x:c>
      <x:c r="J368" s="10" t="str">
        <x:v>Would this investment improve the portfolio rather than just look attractive alone? Apply the question to portfolio construction and position sizing.</x:v>
      </x:c>
      <x:c r="K368" s="13" t="str">
        <x:v>Not authored</x:v>
      </x:c>
      <x:c r="L368" s="13" t="str">
        <x:v>No</x:v>
      </x:c>
      <x:c r="M368" s="13" t="str"/>
    </x:row>
    <x:row r="369" ht="58" customHeight="1">
      <x:c r="A369" s="9" t="str">
        <x:v>T22.13</x:v>
      </x:c>
      <x:c r="B369" s="9" t="str">
        <x:v>D22</x:v>
      </x:c>
      <x:c r="C369" s="9" t="str">
        <x:v>Rebalancing</x:v>
      </x:c>
      <x:c r="D369" s="9" t="str">
        <x:v>Core</x:v>
      </x:c>
      <x:c r="E369" s="9" t="str">
        <x:v>T02.09</x:v>
      </x:c>
      <x:c r="F369" s="9" t="str">
        <x:v>T22.09</x:v>
      </x:c>
      <x:c r="G369" s="12" t="n">
        <x:v>6</x:v>
      </x:c>
      <x:c r="H369" s="12" t="n">
        <x:v>2</x:v>
      </x:c>
      <x:c r="I369" s="9" t="str">
        <x:v>Compare scenarios</x:v>
      </x:c>
      <x:c r="J369" s="9" t="str">
        <x:v>Would this investment improve the portfolio rather than just look attractive alone? Apply the question to rebalancing.</x:v>
      </x:c>
      <x:c r="K369" s="13" t="str">
        <x:v>Not authored</x:v>
      </x:c>
      <x:c r="L369" s="13" t="str">
        <x:v>No</x:v>
      </x:c>
      <x:c r="M369" s="13" t="str"/>
    </x:row>
    <x:row r="370" ht="58" customHeight="1">
      <x:c r="A370" s="10" t="str">
        <x:v>T22.14</x:v>
      </x:c>
      <x:c r="B370" s="10" t="str">
        <x:v>D22</x:v>
      </x:c>
      <x:c r="C370" s="10" t="str">
        <x:v>Benchmark selection</x:v>
      </x:c>
      <x:c r="D370" s="10" t="str">
        <x:v>Core</x:v>
      </x:c>
      <x:c r="E370" s="10" t="str">
        <x:v>T02.09</x:v>
      </x:c>
      <x:c r="F370" s="10" t="str">
        <x:v>T22.16</x:v>
      </x:c>
      <x:c r="G370" s="11" t="n">
        <x:v>5</x:v>
      </x:c>
      <x:c r="H370" s="11" t="n">
        <x:v>1</x:v>
      </x:c>
      <x:c r="I370" s="10" t="str">
        <x:v>Compare scenarios</x:v>
      </x:c>
      <x:c r="J370" s="10" t="str">
        <x:v>Would this investment improve the portfolio rather than just look attractive alone? Apply the question to benchmark selection.</x:v>
      </x:c>
      <x:c r="K370" s="13" t="str">
        <x:v>Not authored</x:v>
      </x:c>
      <x:c r="L370" s="13" t="str">
        <x:v>No</x:v>
      </x:c>
      <x:c r="M370" s="13" t="str"/>
    </x:row>
    <x:row r="371" ht="58" customHeight="1">
      <x:c r="A371" s="9" t="str">
        <x:v>T22.15</x:v>
      </x:c>
      <x:c r="B371" s="9" t="str">
        <x:v>D22</x:v>
      </x:c>
      <x:c r="C371" s="9" t="str">
        <x:v>Sharpe, Sortino, Treynor, and information ratios</x:v>
      </x:c>
      <x:c r="D371" s="9" t="str">
        <x:v>Core</x:v>
      </x:c>
      <x:c r="E371" s="9" t="str">
        <x:v>T02.09, T02.08</x:v>
      </x:c>
      <x:c r="F371" s="9" t="str">
        <x:v>T22.16</x:v>
      </x:c>
      <x:c r="G371" s="12" t="n">
        <x:v>5</x:v>
      </x:c>
      <x:c r="H371" s="12" t="n">
        <x:v>1</x:v>
      </x:c>
      <x:c r="I371" s="9" t="str">
        <x:v>Compare scenarios</x:v>
      </x:c>
      <x:c r="J371" s="9" t="str">
        <x:v>Would this investment improve the portfolio rather than just look attractive alone? Apply the question to sharpe, sortino, treynor, and information ratios.</x:v>
      </x:c>
      <x:c r="K371" s="13" t="str">
        <x:v>Not authored</x:v>
      </x:c>
      <x:c r="L371" s="13" t="str">
        <x:v>No</x:v>
      </x:c>
      <x:c r="M371" s="13" t="str"/>
    </x:row>
    <x:row r="372" ht="58" customHeight="1">
      <x:c r="A372" s="10" t="str">
        <x:v>T22.16</x:v>
      </x:c>
      <x:c r="B372" s="10" t="str">
        <x:v>D22</x:v>
      </x:c>
      <x:c r="C372" s="10" t="str">
        <x:v>Alpha and performance attribution</x:v>
      </x:c>
      <x:c r="D372" s="10" t="str">
        <x:v>Core</x:v>
      </x:c>
      <x:c r="E372" s="10" t="str">
        <x:v>T02.09</x:v>
      </x:c>
      <x:c r="F372" s="10" t="str">
        <x:v>T22.14</x:v>
      </x:c>
      <x:c r="G372" s="11" t="n">
        <x:v>7</x:v>
      </x:c>
      <x:c r="H372" s="11" t="n">
        <x:v>2</x:v>
      </x:c>
      <x:c r="I372" s="10" t="str">
        <x:v>Compare scenarios</x:v>
      </x:c>
      <x:c r="J372" s="10" t="str">
        <x:v>Would this investment improve the portfolio rather than just look attractive alone? Apply the question to alpha and performance attribution.</x:v>
      </x:c>
      <x:c r="K372" s="13" t="str">
        <x:v>Not authored</x:v>
      </x:c>
      <x:c r="L372" s="13" t="str">
        <x:v>No</x:v>
      </x:c>
      <x:c r="M372" s="13" t="str"/>
    </x:row>
    <x:row r="373" ht="58" customHeight="1">
      <x:c r="A373" s="9" t="str">
        <x:v>T22.17</x:v>
      </x:c>
      <x:c r="B373" s="9" t="str">
        <x:v>D22</x:v>
      </x:c>
      <x:c r="C373" s="9" t="str">
        <x:v>Drawdowns and downside protection</x:v>
      </x:c>
      <x:c r="D373" s="9" t="str">
        <x:v>Core</x:v>
      </x:c>
      <x:c r="E373" s="9" t="str">
        <x:v>T02.09</x:v>
      </x:c>
      <x:c r="F373" s="9" t="str">
        <x:v>T22.03</x:v>
      </x:c>
      <x:c r="G373" s="12" t="n">
        <x:v>4</x:v>
      </x:c>
      <x:c r="H373" s="12" t="n">
        <x:v>1</x:v>
      </x:c>
      <x:c r="I373" s="9" t="str">
        <x:v>Compare scenarios</x:v>
      </x:c>
      <x:c r="J373" s="9" t="str">
        <x:v>Would this investment improve the portfolio rather than just look attractive alone? Apply the question to drawdowns and downside protection.</x:v>
      </x:c>
      <x:c r="K373" s="13" t="str">
        <x:v>Not authored</x:v>
      </x:c>
      <x:c r="L373" s="13" t="str">
        <x:v>No</x:v>
      </x:c>
      <x:c r="M373" s="13" t="str"/>
    </x:row>
    <x:row r="374" ht="58" customHeight="1">
      <x:c r="A374" s="10" t="str">
        <x:v>T22.18</x:v>
      </x:c>
      <x:c r="B374" s="10" t="str">
        <x:v>D22</x:v>
      </x:c>
      <x:c r="C374" s="10" t="str">
        <x:v>Liability-driven and goals-based investing</x:v>
      </x:c>
      <x:c r="D374" s="10" t="str">
        <x:v>Core</x:v>
      </x:c>
      <x:c r="E374" s="10" t="str">
        <x:v>T02.09</x:v>
      </x:c>
      <x:c r="F374" s="10" t="str">
        <x:v>T22.19</x:v>
      </x:c>
      <x:c r="G374" s="11" t="n">
        <x:v>6</x:v>
      </x:c>
      <x:c r="H374" s="11" t="n">
        <x:v>2</x:v>
      </x:c>
      <x:c r="I374" s="10" t="str">
        <x:v>Compare scenarios</x:v>
      </x:c>
      <x:c r="J374" s="10" t="str">
        <x:v>Would this investment improve the portfolio rather than just look attractive alone? Apply the question to liability-driven and goals-based investing.</x:v>
      </x:c>
      <x:c r="K374" s="13" t="str">
        <x:v>Not authored</x:v>
      </x:c>
      <x:c r="L374" s="13" t="str">
        <x:v>No</x:v>
      </x:c>
      <x:c r="M374" s="13" t="str"/>
    </x:row>
    <x:row r="375" ht="58" customHeight="1">
      <x:c r="A375" s="9" t="str">
        <x:v>T22.19</x:v>
      </x:c>
      <x:c r="B375" s="9" t="str">
        <x:v>D22</x:v>
      </x:c>
      <x:c r="C375" s="9" t="str">
        <x:v>Endowment, pension, and institutional portfolios</x:v>
      </x:c>
      <x:c r="D375" s="9" t="str">
        <x:v>Core</x:v>
      </x:c>
      <x:c r="E375" s="9" t="str">
        <x:v>T02.09</x:v>
      </x:c>
      <x:c r="F375" s="9" t="str">
        <x:v>T22.18</x:v>
      </x:c>
      <x:c r="G375" s="12" t="n">
        <x:v>5</x:v>
      </x:c>
      <x:c r="H375" s="12" t="n">
        <x:v>1</x:v>
      </x:c>
      <x:c r="I375" s="9" t="str">
        <x:v>Compare scenarios</x:v>
      </x:c>
      <x:c r="J375" s="9" t="str">
        <x:v>Would this investment improve the portfolio rather than just look attractive alone? Apply the question to endowment, pension, and institutional portfolios.</x:v>
      </x:c>
      <x:c r="K375" s="13" t="str">
        <x:v>Not authored</x:v>
      </x:c>
      <x:c r="L375" s="13" t="str">
        <x:v>No</x:v>
      </x:c>
      <x:c r="M375" s="13" t="str"/>
    </x:row>
    <x:row r="376" ht="58" customHeight="1">
      <x:c r="A376" s="10" t="str">
        <x:v>T23.01</x:v>
      </x:c>
      <x:c r="B376" s="10" t="str">
        <x:v>D23</x:v>
      </x:c>
      <x:c r="C376" s="10" t="str">
        <x:v>Mutual funds and exchange-traded funds</x:v>
      </x:c>
      <x:c r="D376" s="10" t="str">
        <x:v>Advanced</x:v>
      </x:c>
      <x:c r="E376" s="10" t="str">
        <x:v>T22.09</x:v>
      </x:c>
      <x:c r="F376" s="10" t="str">
        <x:v>T23.04</x:v>
      </x:c>
      <x:c r="G376" s="11" t="n">
        <x:v>7</x:v>
      </x:c>
      <x:c r="H376" s="11" t="n">
        <x:v>2</x:v>
      </x:c>
      <x:c r="I376" s="10" t="str">
        <x:v>Investigate a case</x:v>
      </x:c>
      <x:c r="J376" s="10" t="str">
        <x:v>How do fees, illiquidity and the fund structure change the investor outcome? Apply the question to mutual funds and exchange-traded funds.</x:v>
      </x:c>
      <x:c r="K376" s="13" t="str">
        <x:v>Not authored</x:v>
      </x:c>
      <x:c r="L376" s="13" t="str">
        <x:v>No</x:v>
      </x:c>
      <x:c r="M376" s="13" t="str"/>
    </x:row>
    <x:row r="377" ht="58" customHeight="1">
      <x:c r="A377" s="9" t="str">
        <x:v>T23.02</x:v>
      </x:c>
      <x:c r="B377" s="9" t="str">
        <x:v>D23</x:v>
      </x:c>
      <x:c r="C377" s="9" t="str">
        <x:v>Open-end and closed-end funds</x:v>
      </x:c>
      <x:c r="D377" s="9" t="str">
        <x:v>Advanced</x:v>
      </x:c>
      <x:c r="E377" s="9" t="str">
        <x:v>T22.09</x:v>
      </x:c>
      <x:c r="F377" s="9" t="str">
        <x:v>T23.01</x:v>
      </x:c>
      <x:c r="G377" s="12" t="n">
        <x:v>3</x:v>
      </x:c>
      <x:c r="H377" s="12" t="n">
        <x:v>0</x:v>
      </x:c>
      <x:c r="I377" s="9" t="str">
        <x:v>Investigate a case</x:v>
      </x:c>
      <x:c r="J377" s="9" t="str">
        <x:v>How do fees, illiquidity and the fund structure change the investor outcome? Apply the question to open-end and closed-end funds.</x:v>
      </x:c>
      <x:c r="K377" s="13" t="str">
        <x:v>Not authored</x:v>
      </x:c>
      <x:c r="L377" s="13" t="str">
        <x:v>No</x:v>
      </x:c>
      <x:c r="M377" s="13" t="str"/>
    </x:row>
    <x:row r="378" ht="58" customHeight="1">
      <x:c r="A378" s="10" t="str">
        <x:v>T23.03</x:v>
      </x:c>
      <x:c r="B378" s="10" t="str">
        <x:v>D23</x:v>
      </x:c>
      <x:c r="C378" s="10" t="str">
        <x:v>Index funds and actively managed funds</x:v>
      </x:c>
      <x:c r="D378" s="10" t="str">
        <x:v>Advanced</x:v>
      </x:c>
      <x:c r="E378" s="10" t="str">
        <x:v>T22.09</x:v>
      </x:c>
      <x:c r="F378" s="10" t="str">
        <x:v>T23.04</x:v>
      </x:c>
      <x:c r="G378" s="11" t="n">
        <x:v>5</x:v>
      </x:c>
      <x:c r="H378" s="11" t="n">
        <x:v>1</x:v>
      </x:c>
      <x:c r="I378" s="10" t="str">
        <x:v>Investigate a case</x:v>
      </x:c>
      <x:c r="J378" s="10" t="str">
        <x:v>How do fees, illiquidity and the fund structure change the investor outcome? Apply the question to index funds and actively managed funds.</x:v>
      </x:c>
      <x:c r="K378" s="13" t="str">
        <x:v>Not authored</x:v>
      </x:c>
      <x:c r="L378" s="13" t="str">
        <x:v>No</x:v>
      </x:c>
      <x:c r="M378" s="13" t="str"/>
    </x:row>
    <x:row r="379" ht="58" customHeight="1">
      <x:c r="A379" s="9" t="str">
        <x:v>T23.04</x:v>
      </x:c>
      <x:c r="B379" s="9" t="str">
        <x:v>D23</x:v>
      </x:c>
      <x:c r="C379" s="9" t="str">
        <x:v>Fund NAV, expense ratios, and tracking differences</x:v>
      </x:c>
      <x:c r="D379" s="9" t="str">
        <x:v>Advanced</x:v>
      </x:c>
      <x:c r="E379" s="9" t="str">
        <x:v>T22.09</x:v>
      </x:c>
      <x:c r="F379" s="9" t="str">
        <x:v>T23.03</x:v>
      </x:c>
      <x:c r="G379" s="12" t="n">
        <x:v>9</x:v>
      </x:c>
      <x:c r="H379" s="12" t="n">
        <x:v>4</x:v>
      </x:c>
      <x:c r="I379" s="9" t="str">
        <x:v>Investigate a case</x:v>
      </x:c>
      <x:c r="J379" s="9" t="str">
        <x:v>How do fees, illiquidity and the fund structure change the investor outcome? Apply the question to fund nav, expense ratios, and tracking differences.</x:v>
      </x:c>
      <x:c r="K379" s="13" t="str">
        <x:v>Not authored</x:v>
      </x:c>
      <x:c r="L379" s="13" t="str">
        <x:v>No</x:v>
      </x:c>
      <x:c r="M379" s="13" t="str"/>
    </x:row>
    <x:row r="380" ht="58" customHeight="1">
      <x:c r="A380" s="10" t="str">
        <x:v>T23.05</x:v>
      </x:c>
      <x:c r="B380" s="10" t="str">
        <x:v>D23</x:v>
      </x:c>
      <x:c r="C380" s="10" t="str">
        <x:v>Fund selection and manager due diligence</x:v>
      </x:c>
      <x:c r="D380" s="10" t="str">
        <x:v>Advanced</x:v>
      </x:c>
      <x:c r="E380" s="10" t="str">
        <x:v>T22.09</x:v>
      </x:c>
      <x:c r="F380" s="10" t="str">
        <x:v>T23.19</x:v>
      </x:c>
      <x:c r="G380" s="11" t="n">
        <x:v>5</x:v>
      </x:c>
      <x:c r="H380" s="11" t="n">
        <x:v>1</x:v>
      </x:c>
      <x:c r="I380" s="10" t="str">
        <x:v>Investigate a case</x:v>
      </x:c>
      <x:c r="J380" s="10" t="str">
        <x:v>How do fees, illiquidity and the fund structure change the investor outcome? Apply the question to fund selection and manager due diligence.</x:v>
      </x:c>
      <x:c r="K380" s="13" t="str">
        <x:v>Not authored</x:v>
      </x:c>
      <x:c r="L380" s="13" t="str">
        <x:v>No</x:v>
      </x:c>
      <x:c r="M380" s="13" t="str"/>
    </x:row>
    <x:row r="381" ht="58" customHeight="1">
      <x:c r="A381" s="9" t="str">
        <x:v>T23.06</x:v>
      </x:c>
      <x:c r="B381" s="9" t="str">
        <x:v>D23</x:v>
      </x:c>
      <x:c r="C381" s="9" t="str">
        <x:v>Portfolio management services and alternative investment funds</x:v>
      </x:c>
      <x:c r="D381" s="9" t="str">
        <x:v>Advanced</x:v>
      </x:c>
      <x:c r="E381" s="9" t="str">
        <x:v>T22.09</x:v>
      </x:c>
      <x:c r="F381" s="9" t="str">
        <x:v>T23.01</x:v>
      </x:c>
      <x:c r="G381" s="12" t="n">
        <x:v>3</x:v>
      </x:c>
      <x:c r="H381" s="12" t="n">
        <x:v>0</x:v>
      </x:c>
      <x:c r="I381" s="9" t="str">
        <x:v>Investigate a case</x:v>
      </x:c>
      <x:c r="J381" s="9" t="str">
        <x:v>How do fees, illiquidity and the fund structure change the investor outcome? Apply the question to portfolio management services and alternative investment funds.</x:v>
      </x:c>
      <x:c r="K381" s="13" t="str">
        <x:v>Not authored</x:v>
      </x:c>
      <x:c r="L381" s="13" t="str">
        <x:v>No</x:v>
      </x:c>
      <x:c r="M381" s="13" t="str"/>
    </x:row>
    <x:row r="382" ht="58" customHeight="1">
      <x:c r="A382" s="10" t="str">
        <x:v>T23.07</x:v>
      </x:c>
      <x:c r="B382" s="10" t="str">
        <x:v>D23</x:v>
      </x:c>
      <x:c r="C382" s="10" t="str">
        <x:v>Hedge funds and hedge-fund strategies</x:v>
      </x:c>
      <x:c r="D382" s="10" t="str">
        <x:v>Advanced</x:v>
      </x:c>
      <x:c r="E382" s="10" t="str">
        <x:v>T22.09</x:v>
      </x:c>
      <x:c r="F382" s="10" t="str">
        <x:v>T23.19</x:v>
      </x:c>
      <x:c r="G382" s="11" t="n">
        <x:v>3</x:v>
      </x:c>
      <x:c r="H382" s="11" t="n">
        <x:v>0</x:v>
      </x:c>
      <x:c r="I382" s="10" t="str">
        <x:v>Investigate a case</x:v>
      </x:c>
      <x:c r="J382" s="10" t="str">
        <x:v>How do fees, illiquidity and the fund structure change the investor outcome? Apply the question to hedge funds and hedge-fund strategies.</x:v>
      </x:c>
      <x:c r="K382" s="13" t="str">
        <x:v>Not authored</x:v>
      </x:c>
      <x:c r="L382" s="13" t="str">
        <x:v>No</x:v>
      </x:c>
      <x:c r="M382" s="13" t="str"/>
    </x:row>
    <x:row r="383" ht="58" customHeight="1">
      <x:c r="A383" s="9" t="str">
        <x:v>T23.08</x:v>
      </x:c>
      <x:c r="B383" s="9" t="str">
        <x:v>D23</x:v>
      </x:c>
      <x:c r="C383" s="9" t="str">
        <x:v>Private equity</x:v>
      </x:c>
      <x:c r="D383" s="9" t="str">
        <x:v>Advanced</x:v>
      </x:c>
      <x:c r="E383" s="9" t="str">
        <x:v>T22.09</x:v>
      </x:c>
      <x:c r="F383" s="9" t="str">
        <x:v>T23.16</x:v>
      </x:c>
      <x:c r="G383" s="12" t="n">
        <x:v>4</x:v>
      </x:c>
      <x:c r="H383" s="12" t="n">
        <x:v>1</x:v>
      </x:c>
      <x:c r="I383" s="9" t="str">
        <x:v>Investigate a case</x:v>
      </x:c>
      <x:c r="J383" s="9" t="str">
        <x:v>How do fees, illiquidity and the fund structure change the investor outcome? Apply the question to private equity.</x:v>
      </x:c>
      <x:c r="K383" s="13" t="str">
        <x:v>Not authored</x:v>
      </x:c>
      <x:c r="L383" s="13" t="str">
        <x:v>No</x:v>
      </x:c>
      <x:c r="M383" s="13" t="str"/>
    </x:row>
    <x:row r="384" ht="58" customHeight="1">
      <x:c r="A384" s="10" t="str">
        <x:v>T23.09</x:v>
      </x:c>
      <x:c r="B384" s="10" t="str">
        <x:v>D23</x:v>
      </x:c>
      <x:c r="C384" s="10" t="str">
        <x:v>Venture capital and growth equity</x:v>
      </x:c>
      <x:c r="D384" s="10" t="str">
        <x:v>Advanced</x:v>
      </x:c>
      <x:c r="E384" s="10" t="str">
        <x:v>T22.09</x:v>
      </x:c>
      <x:c r="F384" s="10" t="str">
        <x:v>T23.17</x:v>
      </x:c>
      <x:c r="G384" s="11" t="n">
        <x:v>4</x:v>
      </x:c>
      <x:c r="H384" s="11" t="n">
        <x:v>1</x:v>
      </x:c>
      <x:c r="I384" s="10" t="str">
        <x:v>Investigate a case</x:v>
      </x:c>
      <x:c r="J384" s="10" t="str">
        <x:v>How do fees, illiquidity and the fund structure change the investor outcome? Apply the question to venture capital and growth equity.</x:v>
      </x:c>
      <x:c r="K384" s="13" t="str">
        <x:v>Not authored</x:v>
      </x:c>
      <x:c r="L384" s="13" t="str">
        <x:v>No</x:v>
      </x:c>
      <x:c r="M384" s="13" t="str"/>
    </x:row>
    <x:row r="385" ht="58" customHeight="1">
      <x:c r="A385" s="9" t="str">
        <x:v>T23.10</x:v>
      </x:c>
      <x:c r="B385" s="9" t="str">
        <x:v>D23</x:v>
      </x:c>
      <x:c r="C385" s="9" t="str">
        <x:v>Private credit and direct lending</x:v>
      </x:c>
      <x:c r="D385" s="9" t="str">
        <x:v>Advanced</x:v>
      </x:c>
      <x:c r="E385" s="9" t="str">
        <x:v>T22.09</x:v>
      </x:c>
      <x:c r="F385" s="9" t="str">
        <x:v>T23.19</x:v>
      </x:c>
      <x:c r="G385" s="12" t="n">
        <x:v>5</x:v>
      </x:c>
      <x:c r="H385" s="12" t="n">
        <x:v>1</x:v>
      </x:c>
      <x:c r="I385" s="9" t="str">
        <x:v>Investigate a case</x:v>
      </x:c>
      <x:c r="J385" s="9" t="str">
        <x:v>How do fees, illiquidity and the fund structure change the investor outcome? Apply the question to private credit and direct lending.</x:v>
      </x:c>
      <x:c r="K385" s="13" t="str">
        <x:v>Not authored</x:v>
      </x:c>
      <x:c r="L385" s="13" t="str">
        <x:v>No</x:v>
      </x:c>
      <x:c r="M385" s="13" t="str"/>
    </x:row>
    <x:row r="386" ht="58" customHeight="1">
      <x:c r="A386" s="10" t="str">
        <x:v>T23.11</x:v>
      </x:c>
      <x:c r="B386" s="10" t="str">
        <x:v>D23</x:v>
      </x:c>
      <x:c r="C386" s="10" t="str">
        <x:v>Distressed debt and special situations</x:v>
      </x:c>
      <x:c r="D386" s="10" t="str">
        <x:v>Advanced</x:v>
      </x:c>
      <x:c r="E386" s="10" t="str">
        <x:v>T22.09</x:v>
      </x:c>
      <x:c r="F386" s="10" t="str">
        <x:v>T23.10</x:v>
      </x:c>
      <x:c r="G386" s="11" t="n">
        <x:v>4</x:v>
      </x:c>
      <x:c r="H386" s="11" t="n">
        <x:v>1</x:v>
      </x:c>
      <x:c r="I386" s="10" t="str">
        <x:v>Investigate a case</x:v>
      </x:c>
      <x:c r="J386" s="10" t="str">
        <x:v>How do fees, illiquidity and the fund structure change the investor outcome? Apply the question to distressed debt and special situations.</x:v>
      </x:c>
      <x:c r="K386" s="13" t="str">
        <x:v>Not authored</x:v>
      </x:c>
      <x:c r="L386" s="13" t="str">
        <x:v>No</x:v>
      </x:c>
      <x:c r="M386" s="13" t="str"/>
    </x:row>
    <x:row r="387" ht="58" customHeight="1">
      <x:c r="A387" s="9" t="str">
        <x:v>T23.12</x:v>
      </x:c>
      <x:c r="B387" s="9" t="str">
        <x:v>D23</x:v>
      </x:c>
      <x:c r="C387" s="9" t="str">
        <x:v>Real estate funds, REITs, and InvITs</x:v>
      </x:c>
      <x:c r="D387" s="9" t="str">
        <x:v>Advanced</x:v>
      </x:c>
      <x:c r="E387" s="9" t="str">
        <x:v>T22.09</x:v>
      </x:c>
      <x:c r="F387" s="9" t="str">
        <x:v>T23.14</x:v>
      </x:c>
      <x:c r="G387" s="12" t="n">
        <x:v>5</x:v>
      </x:c>
      <x:c r="H387" s="12" t="n">
        <x:v>1</x:v>
      </x:c>
      <x:c r="I387" s="9" t="str">
        <x:v>Investigate a case</x:v>
      </x:c>
      <x:c r="J387" s="9" t="str">
        <x:v>How do fees, illiquidity and the fund structure change the investor outcome? Apply the question to real estate funds, reits, and invits.</x:v>
      </x:c>
      <x:c r="K387" s="13" t="str">
        <x:v>Not authored</x:v>
      </x:c>
      <x:c r="L387" s="13" t="str">
        <x:v>No</x:v>
      </x:c>
      <x:c r="M387" s="13" t="str"/>
    </x:row>
    <x:row r="388" ht="58" customHeight="1">
      <x:c r="A388" s="10" t="str">
        <x:v>T23.13</x:v>
      </x:c>
      <x:c r="B388" s="10" t="str">
        <x:v>D23</x:v>
      </x:c>
      <x:c r="C388" s="10" t="str">
        <x:v>Commodities, gold, and natural resources</x:v>
      </x:c>
      <x:c r="D388" s="10" t="str">
        <x:v>Advanced</x:v>
      </x:c>
      <x:c r="E388" s="10" t="str">
        <x:v>T22.09</x:v>
      </x:c>
      <x:c r="F388" s="10" t="str">
        <x:v>T23.19</x:v>
      </x:c>
      <x:c r="G388" s="11" t="n">
        <x:v>3</x:v>
      </x:c>
      <x:c r="H388" s="11" t="n">
        <x:v>0</x:v>
      </x:c>
      <x:c r="I388" s="10" t="str">
        <x:v>Investigate a case</x:v>
      </x:c>
      <x:c r="J388" s="10" t="str">
        <x:v>How do fees, illiquidity and the fund structure change the investor outcome? Apply the question to commodities, gold, and natural resources.</x:v>
      </x:c>
      <x:c r="K388" s="13" t="str">
        <x:v>Not authored</x:v>
      </x:c>
      <x:c r="L388" s="13" t="str">
        <x:v>No</x:v>
      </x:c>
      <x:c r="M388" s="13" t="str"/>
    </x:row>
    <x:row r="389" ht="58" customHeight="1">
      <x:c r="A389" s="9" t="str">
        <x:v>T23.14</x:v>
      </x:c>
      <x:c r="B389" s="9" t="str">
        <x:v>D23</x:v>
      </x:c>
      <x:c r="C389" s="9" t="str">
        <x:v>Infrastructure funds</x:v>
      </x:c>
      <x:c r="D389" s="9" t="str">
        <x:v>Advanced</x:v>
      </x:c>
      <x:c r="E389" s="9" t="str">
        <x:v>T22.09</x:v>
      </x:c>
      <x:c r="F389" s="9" t="str">
        <x:v>T23.12</x:v>
      </x:c>
      <x:c r="G389" s="12" t="n">
        <x:v>5</x:v>
      </x:c>
      <x:c r="H389" s="12" t="n">
        <x:v>1</x:v>
      </x:c>
      <x:c r="I389" s="9" t="str">
        <x:v>Investigate a case</x:v>
      </x:c>
      <x:c r="J389" s="9" t="str">
        <x:v>How do fees, illiquidity and the fund structure change the investor outcome? Apply the question to infrastructure funds.</x:v>
      </x:c>
      <x:c r="K389" s="13" t="str">
        <x:v>Not authored</x:v>
      </x:c>
      <x:c r="L389" s="13" t="str">
        <x:v>No</x:v>
      </x:c>
      <x:c r="M389" s="13" t="str"/>
    </x:row>
    <x:row r="390" ht="58" customHeight="1">
      <x:c r="A390" s="10" t="str">
        <x:v>T23.15</x:v>
      </x:c>
      <x:c r="B390" s="10" t="str">
        <x:v>D23</x:v>
      </x:c>
      <x:c r="C390" s="10" t="str">
        <x:v>Collectibles and other alternative stores of value</x:v>
      </x:c>
      <x:c r="D390" s="10" t="str">
        <x:v>Advanced</x:v>
      </x:c>
      <x:c r="E390" s="10" t="str">
        <x:v>T22.09</x:v>
      </x:c>
      <x:c r="F390" s="10" t="str">
        <x:v>T23.19</x:v>
      </x:c>
      <x:c r="G390" s="11" t="n">
        <x:v>3</x:v>
      </x:c>
      <x:c r="H390" s="11" t="n">
        <x:v>0</x:v>
      </x:c>
      <x:c r="I390" s="10" t="str">
        <x:v>Investigate a case</x:v>
      </x:c>
      <x:c r="J390" s="10" t="str">
        <x:v>How do fees, illiquidity and the fund structure change the investor outcome? Apply the question to collectibles and other alternative stores of value.</x:v>
      </x:c>
      <x:c r="K390" s="13" t="str">
        <x:v>Not authored</x:v>
      </x:c>
      <x:c r="L390" s="13" t="str">
        <x:v>No</x:v>
      </x:c>
      <x:c r="M390" s="13" t="str"/>
    </x:row>
    <x:row r="391" ht="58" customHeight="1">
      <x:c r="A391" s="9" t="str">
        <x:v>T23.16</x:v>
      </x:c>
      <x:c r="B391" s="9" t="str">
        <x:v>D23</x:v>
      </x:c>
      <x:c r="C391" s="9" t="str">
        <x:v>Fund fees, carried interest, and distribution waterfalls</x:v>
      </x:c>
      <x:c r="D391" s="9" t="str">
        <x:v>Advanced</x:v>
      </x:c>
      <x:c r="E391" s="9" t="str">
        <x:v>T22.09</x:v>
      </x:c>
      <x:c r="F391" s="9" t="str">
        <x:v>T23.17</x:v>
      </x:c>
      <x:c r="G391" s="12" t="n">
        <x:v>6</x:v>
      </x:c>
      <x:c r="H391" s="12" t="n">
        <x:v>2</x:v>
      </x:c>
      <x:c r="I391" s="9" t="str">
        <x:v>Investigate a case</x:v>
      </x:c>
      <x:c r="J391" s="9" t="str">
        <x:v>How do fees, illiquidity and the fund structure change the investor outcome? Apply the question to fund fees, carried interest, and distribution waterfalls.</x:v>
      </x:c>
      <x:c r="K391" s="13" t="str">
        <x:v>Not authored</x:v>
      </x:c>
      <x:c r="L391" s="13" t="str">
        <x:v>No</x:v>
      </x:c>
      <x:c r="M391" s="13" t="str"/>
    </x:row>
    <x:row r="392" ht="58" customHeight="1">
      <x:c r="A392" s="10" t="str">
        <x:v>T23.17</x:v>
      </x:c>
      <x:c r="B392" s="10" t="str">
        <x:v>D23</x:v>
      </x:c>
      <x:c r="C392" s="10" t="str">
        <x:v>Capital calls, commitments, and the J-curve</x:v>
      </x:c>
      <x:c r="D392" s="10" t="str">
        <x:v>Advanced</x:v>
      </x:c>
      <x:c r="E392" s="10" t="str">
        <x:v>T22.09</x:v>
      </x:c>
      <x:c r="F392" s="10" t="str">
        <x:v>T23.18</x:v>
      </x:c>
      <x:c r="G392" s="11" t="n">
        <x:v>7</x:v>
      </x:c>
      <x:c r="H392" s="11" t="n">
        <x:v>1</x:v>
      </x:c>
      <x:c r="I392" s="10" t="str">
        <x:v>Investigate a case</x:v>
      </x:c>
      <x:c r="J392" s="10" t="str">
        <x:v>How do fees, illiquidity and the fund structure change the investor outcome? Apply the question to capital calls, commitments, and the j-curve.</x:v>
      </x:c>
      <x:c r="K392" s="13" t="str">
        <x:v>Not authored</x:v>
      </x:c>
      <x:c r="L392" s="13" t="str">
        <x:v>No</x:v>
      </x:c>
      <x:c r="M392" s="13" t="str"/>
    </x:row>
    <x:row r="393" ht="58" customHeight="1">
      <x:c r="A393" s="9" t="str">
        <x:v>T23.18</x:v>
      </x:c>
      <x:c r="B393" s="9" t="str">
        <x:v>D23</x:v>
      </x:c>
      <x:c r="C393" s="9" t="str">
        <x:v>IRR, MOIC, DPI, RVPI, and TVPI</x:v>
      </x:c>
      <x:c r="D393" s="9" t="str">
        <x:v>Advanced</x:v>
      </x:c>
      <x:c r="E393" s="9" t="str">
        <x:v>T22.09, T03.13</x:v>
      </x:c>
      <x:c r="F393" s="9" t="str">
        <x:v>T23.17</x:v>
      </x:c>
      <x:c r="G393" s="12" t="n">
        <x:v>7</x:v>
      </x:c>
      <x:c r="H393" s="12" t="n">
        <x:v>2</x:v>
      </x:c>
      <x:c r="I393" s="9" t="str">
        <x:v>Investigate a case</x:v>
      </x:c>
      <x:c r="J393" s="9" t="str">
        <x:v>How do fees, illiquidity and the fund structure change the investor outcome? Apply the question to irr, moic, dpi, rvpi, and tvpi.</x:v>
      </x:c>
      <x:c r="K393" s="13" t="str">
        <x:v>Not authored</x:v>
      </x:c>
      <x:c r="L393" s="13" t="str">
        <x:v>No</x:v>
      </x:c>
      <x:c r="M393" s="13" t="str"/>
    </x:row>
    <x:row r="394" ht="58" customHeight="1">
      <x:c r="A394" s="10" t="str">
        <x:v>T23.19</x:v>
      </x:c>
      <x:c r="B394" s="10" t="str">
        <x:v>D23</x:v>
      </x:c>
      <x:c r="C394" s="10" t="str">
        <x:v>Liquidity, valuation, and survivorship bias in private assets</x:v>
      </x:c>
      <x:c r="D394" s="10" t="str">
        <x:v>Advanced</x:v>
      </x:c>
      <x:c r="E394" s="10" t="str">
        <x:v>T22.09</x:v>
      </x:c>
      <x:c r="F394" s="10" t="str">
        <x:v>T23.05</x:v>
      </x:c>
      <x:c r="G394" s="11" t="n">
        <x:v>9</x:v>
      </x:c>
      <x:c r="H394" s="11" t="n">
        <x:v>1</x:v>
      </x:c>
      <x:c r="I394" s="10" t="str">
        <x:v>Investigate a case</x:v>
      </x:c>
      <x:c r="J394" s="10" t="str">
        <x:v>How do fees, illiquidity and the fund structure change the investor outcome? Apply the question to liquidity, valuation, and survivorship bias in private assets.</x:v>
      </x:c>
      <x:c r="K394" s="13" t="str">
        <x:v>Not authored</x:v>
      </x:c>
      <x:c r="L394" s="13" t="str">
        <x:v>No</x:v>
      </x:c>
      <x:c r="M394" s="13" t="str"/>
    </x:row>
    <x:row r="395" ht="58" customHeight="1">
      <x:c r="A395" s="9" t="str">
        <x:v>T24.01</x:v>
      </x:c>
      <x:c r="B395" s="9" t="str">
        <x:v>D24</x:v>
      </x:c>
      <x:c r="C395" s="9" t="str">
        <x:v>How banks create and intermediate credit</x:v>
      </x:c>
      <x:c r="D395" s="9" t="str">
        <x:v>Specialist</x:v>
      </x:c>
      <x:c r="E395" s="9" t="str">
        <x:v>T01.03</x:v>
      </x:c>
      <x:c r="F395" s="9" t="str">
        <x:v>T24.03</x:v>
      </x:c>
      <x:c r="G395" s="12" t="n">
        <x:v>3</x:v>
      </x:c>
      <x:c r="H395" s="12" t="n">
        <x:v>0</x:v>
      </x:c>
      <x:c r="I395" s="9" t="str">
        <x:v>Compare scenarios</x:v>
      </x:c>
      <x:c r="J395" s="9" t="str">
        <x:v>Could this borrower repay under a plausible downside scenario? Apply the question to how banks create and intermediate credit.</x:v>
      </x:c>
      <x:c r="K395" s="13" t="str">
        <x:v>Not authored</x:v>
      </x:c>
      <x:c r="L395" s="13" t="str">
        <x:v>No</x:v>
      </x:c>
      <x:c r="M395" s="13" t="str"/>
    </x:row>
    <x:row r="396" ht="58" customHeight="1">
      <x:c r="A396" s="10" t="str">
        <x:v>T24.02</x:v>
      </x:c>
      <x:c r="B396" s="10" t="str">
        <x:v>D24</x:v>
      </x:c>
      <x:c r="C396" s="10" t="str">
        <x:v>Bank balance sheets and income statements</x:v>
      </x:c>
      <x:c r="D396" s="10" t="str">
        <x:v>Specialist</x:v>
      </x:c>
      <x:c r="E396" s="10" t="str">
        <x:v>T01.03</x:v>
      </x:c>
      <x:c r="F396" s="10" t="str">
        <x:v>T24.04</x:v>
      </x:c>
      <x:c r="G396" s="11" t="n">
        <x:v>5</x:v>
      </x:c>
      <x:c r="H396" s="11" t="n">
        <x:v>2</x:v>
      </x:c>
      <x:c r="I396" s="10" t="str">
        <x:v>Compare scenarios</x:v>
      </x:c>
      <x:c r="J396" s="10" t="str">
        <x:v>Could this borrower repay under a plausible downside scenario? Apply the question to bank balance sheets and income statements.</x:v>
      </x:c>
      <x:c r="K396" s="13" t="str">
        <x:v>Not authored</x:v>
      </x:c>
      <x:c r="L396" s="13" t="str">
        <x:v>No</x:v>
      </x:c>
      <x:c r="M396" s="13" t="str"/>
    </x:row>
    <x:row r="397" ht="58" customHeight="1">
      <x:c r="A397" s="9" t="str">
        <x:v>T24.03</x:v>
      </x:c>
      <x:c r="B397" s="9" t="str">
        <x:v>D24</x:v>
      </x:c>
      <x:c r="C397" s="9" t="str">
        <x:v>Deposits, lending, and wholesale funding</x:v>
      </x:c>
      <x:c r="D397" s="9" t="str">
        <x:v>Specialist</x:v>
      </x:c>
      <x:c r="E397" s="9" t="str">
        <x:v>T01.03</x:v>
      </x:c>
      <x:c r="F397" s="9" t="str">
        <x:v>T24.08</x:v>
      </x:c>
      <x:c r="G397" s="12" t="n">
        <x:v>7</x:v>
      </x:c>
      <x:c r="H397" s="12" t="n">
        <x:v>2</x:v>
      </x:c>
      <x:c r="I397" s="9" t="str">
        <x:v>Compare scenarios</x:v>
      </x:c>
      <x:c r="J397" s="9" t="str">
        <x:v>Could this borrower repay under a plausible downside scenario? Apply the question to deposits, lending, and wholesale funding.</x:v>
      </x:c>
      <x:c r="K397" s="13" t="str">
        <x:v>Not authored</x:v>
      </x:c>
      <x:c r="L397" s="13" t="str">
        <x:v>No</x:v>
      </x:c>
      <x:c r="M397" s="13" t="str"/>
    </x:row>
    <x:row r="398" ht="58" customHeight="1">
      <x:c r="A398" s="10" t="str">
        <x:v>T24.04</x:v>
      </x:c>
      <x:c r="B398" s="10" t="str">
        <x:v>D24</x:v>
      </x:c>
      <x:c r="C398" s="10" t="str">
        <x:v>Net interest income and net interest margin</x:v>
      </x:c>
      <x:c r="D398" s="10" t="str">
        <x:v>Specialist</x:v>
      </x:c>
      <x:c r="E398" s="10" t="str">
        <x:v>T01.03</x:v>
      </x:c>
      <x:c r="F398" s="10" t="str">
        <x:v>T24.05</x:v>
      </x:c>
      <x:c r="G398" s="11" t="n">
        <x:v>6</x:v>
      </x:c>
      <x:c r="H398" s="11" t="n">
        <x:v>1</x:v>
      </x:c>
      <x:c r="I398" s="10" t="str">
        <x:v>Compare scenarios</x:v>
      </x:c>
      <x:c r="J398" s="10" t="str">
        <x:v>Could this borrower repay under a plausible downside scenario? Apply the question to net interest income and net interest margin.</x:v>
      </x:c>
      <x:c r="K398" s="13" t="str">
        <x:v>Not authored</x:v>
      </x:c>
      <x:c r="L398" s="13" t="str">
        <x:v>No</x:v>
      </x:c>
      <x:c r="M398" s="13" t="str"/>
    </x:row>
    <x:row r="399" ht="58" customHeight="1">
      <x:c r="A399" s="9" t="str">
        <x:v>T24.05</x:v>
      </x:c>
      <x:c r="B399" s="9" t="str">
        <x:v>D24</x:v>
      </x:c>
      <x:c r="C399" s="9" t="str">
        <x:v>Fee income and operating efficiency</x:v>
      </x:c>
      <x:c r="D399" s="9" t="str">
        <x:v>Specialist</x:v>
      </x:c>
      <x:c r="E399" s="9" t="str">
        <x:v>T01.03</x:v>
      </x:c>
      <x:c r="F399" s="9" t="str">
        <x:v>T24.04</x:v>
      </x:c>
      <x:c r="G399" s="12" t="n">
        <x:v>4</x:v>
      </x:c>
      <x:c r="H399" s="12" t="n">
        <x:v>0</x:v>
      </x:c>
      <x:c r="I399" s="9" t="str">
        <x:v>Compare scenarios</x:v>
      </x:c>
      <x:c r="J399" s="9" t="str">
        <x:v>Could this borrower repay under a plausible downside scenario? Apply the question to fee income and operating efficiency.</x:v>
      </x:c>
      <x:c r="K399" s="13" t="str">
        <x:v>Not authored</x:v>
      </x:c>
      <x:c r="L399" s="13" t="str">
        <x:v>No</x:v>
      </x:c>
      <x:c r="M399" s="13" t="str"/>
    </x:row>
    <x:row r="400" ht="58" customHeight="1">
      <x:c r="A400" s="10" t="str">
        <x:v>T24.06</x:v>
      </x:c>
      <x:c r="B400" s="10" t="str">
        <x:v>D24</x:v>
      </x:c>
      <x:c r="C400" s="10" t="str">
        <x:v>Asset-liability management</x:v>
      </x:c>
      <x:c r="D400" s="10" t="str">
        <x:v>Specialist</x:v>
      </x:c>
      <x:c r="E400" s="10" t="str">
        <x:v>T01.03</x:v>
      </x:c>
      <x:c r="F400" s="10" t="str">
        <x:v>T24.08</x:v>
      </x:c>
      <x:c r="G400" s="11" t="n">
        <x:v>5</x:v>
      </x:c>
      <x:c r="H400" s="11" t="n">
        <x:v>1</x:v>
      </x:c>
      <x:c r="I400" s="10" t="str">
        <x:v>Compare scenarios</x:v>
      </x:c>
      <x:c r="J400" s="10" t="str">
        <x:v>Could this borrower repay under a plausible downside scenario? Apply the question to asset-liability management.</x:v>
      </x:c>
      <x:c r="K400" s="13" t="str">
        <x:v>Not authored</x:v>
      </x:c>
      <x:c r="L400" s="13" t="str">
        <x:v>No</x:v>
      </x:c>
      <x:c r="M400" s="13" t="str"/>
    </x:row>
    <x:row r="401" ht="58" customHeight="1">
      <x:c r="A401" s="9" t="str">
        <x:v>T24.07</x:v>
      </x:c>
      <x:c r="B401" s="9" t="str">
        <x:v>D24</x:v>
      </x:c>
      <x:c r="C401" s="9" t="str">
        <x:v>Capital adequacy and risk-weighted assets</x:v>
      </x:c>
      <x:c r="D401" s="9" t="str">
        <x:v>Specialist</x:v>
      </x:c>
      <x:c r="E401" s="9" t="str">
        <x:v>T01.03</x:v>
      </x:c>
      <x:c r="F401" s="9" t="str">
        <x:v>T24.08</x:v>
      </x:c>
      <x:c r="G401" s="12" t="n">
        <x:v>4</x:v>
      </x:c>
      <x:c r="H401" s="12" t="n">
        <x:v>1</x:v>
      </x:c>
      <x:c r="I401" s="9" t="str">
        <x:v>Compare scenarios</x:v>
      </x:c>
      <x:c r="J401" s="9" t="str">
        <x:v>Could this borrower repay under a plausible downside scenario? Apply the question to capital adequacy and risk-weighted assets.</x:v>
      </x:c>
      <x:c r="K401" s="13" t="str">
        <x:v>Not authored</x:v>
      </x:c>
      <x:c r="L401" s="13" t="str">
        <x:v>No</x:v>
      </x:c>
      <x:c r="M401" s="13" t="str"/>
    </x:row>
    <x:row r="402" ht="58" customHeight="1">
      <x:c r="A402" s="10" t="str">
        <x:v>T24.08</x:v>
      </x:c>
      <x:c r="B402" s="10" t="str">
        <x:v>D24</x:v>
      </x:c>
      <x:c r="C402" s="10" t="str">
        <x:v>Liquidity and funding risk</x:v>
      </x:c>
      <x:c r="D402" s="10" t="str">
        <x:v>Specialist</x:v>
      </x:c>
      <x:c r="E402" s="10" t="str">
        <x:v>T01.03</x:v>
      </x:c>
      <x:c r="F402" s="10" t="str">
        <x:v>T24.06</x:v>
      </x:c>
      <x:c r="G402" s="11" t="n">
        <x:v>7</x:v>
      </x:c>
      <x:c r="H402" s="11" t="n">
        <x:v>1</x:v>
      </x:c>
      <x:c r="I402" s="10" t="str">
        <x:v>Compare scenarios</x:v>
      </x:c>
      <x:c r="J402" s="10" t="str">
        <x:v>Could this borrower repay under a plausible downside scenario? Apply the question to liquidity and funding risk.</x:v>
      </x:c>
      <x:c r="K402" s="13" t="str">
        <x:v>Not authored</x:v>
      </x:c>
      <x:c r="L402" s="13" t="str">
        <x:v>No</x:v>
      </x:c>
      <x:c r="M402" s="13" t="str"/>
    </x:row>
    <x:row r="403" ht="58" customHeight="1">
      <x:c r="A403" s="9" t="str">
        <x:v>T24.09</x:v>
      </x:c>
      <x:c r="B403" s="9" t="str">
        <x:v>D24</x:v>
      </x:c>
      <x:c r="C403" s="9" t="str">
        <x:v>Loan origination and underwriting</x:v>
      </x:c>
      <x:c r="D403" s="9" t="str">
        <x:v>Specialist</x:v>
      </x:c>
      <x:c r="E403" s="9" t="str">
        <x:v>T01.03</x:v>
      </x:c>
      <x:c r="F403" s="9" t="str">
        <x:v>T24.11</x:v>
      </x:c>
      <x:c r="G403" s="12" t="n">
        <x:v>9</x:v>
      </x:c>
      <x:c r="H403" s="12" t="n">
        <x:v>4</x:v>
      </x:c>
      <x:c r="I403" s="9" t="str">
        <x:v>Compare scenarios</x:v>
      </x:c>
      <x:c r="J403" s="9" t="str">
        <x:v>Could this borrower repay under a plausible downside scenario? Apply the question to loan origination and underwriting.</x:v>
      </x:c>
      <x:c r="K403" s="13" t="str">
        <x:v>Not authored</x:v>
      </x:c>
      <x:c r="L403" s="13" t="str">
        <x:v>No</x:v>
      </x:c>
      <x:c r="M403" s="13" t="str"/>
    </x:row>
    <x:row r="404" ht="58" customHeight="1">
      <x:c r="A404" s="10" t="str">
        <x:v>T24.10</x:v>
      </x:c>
      <x:c r="B404" s="10" t="str">
        <x:v>D24</x:v>
      </x:c>
      <x:c r="C404" s="10" t="str">
        <x:v>Retail, SME, and corporate lending</x:v>
      </x:c>
      <x:c r="D404" s="10" t="str">
        <x:v>Specialist</x:v>
      </x:c>
      <x:c r="E404" s="10" t="str">
        <x:v>T01.03</x:v>
      </x:c>
      <x:c r="F404" s="10" t="str">
        <x:v>T24.09</x:v>
      </x:c>
      <x:c r="G404" s="11" t="n">
        <x:v>3</x:v>
      </x:c>
      <x:c r="H404" s="11" t="n">
        <x:v>0</x:v>
      </x:c>
      <x:c r="I404" s="10" t="str">
        <x:v>Compare scenarios</x:v>
      </x:c>
      <x:c r="J404" s="10" t="str">
        <x:v>Could this borrower repay under a plausible downside scenario? Apply the question to retail, sme, and corporate lending.</x:v>
      </x:c>
      <x:c r="K404" s="13" t="str">
        <x:v>Not authored</x:v>
      </x:c>
      <x:c r="L404" s="13" t="str">
        <x:v>No</x:v>
      </x:c>
      <x:c r="M404" s="13" t="str"/>
    </x:row>
    <x:row r="405" ht="58" customHeight="1">
      <x:c r="A405" s="9" t="str">
        <x:v>T24.11</x:v>
      </x:c>
      <x:c r="B405" s="9" t="str">
        <x:v>D24</x:v>
      </x:c>
      <x:c r="C405" s="9" t="str">
        <x:v>Credit ratings and credit scoring</x:v>
      </x:c>
      <x:c r="D405" s="9" t="str">
        <x:v>Specialist</x:v>
      </x:c>
      <x:c r="E405" s="9" t="str">
        <x:v>T01.03</x:v>
      </x:c>
      <x:c r="F405" s="9" t="str">
        <x:v>T24.12</x:v>
      </x:c>
      <x:c r="G405" s="12" t="n">
        <x:v>11</x:v>
      </x:c>
      <x:c r="H405" s="12" t="n">
        <x:v>6</x:v>
      </x:c>
      <x:c r="I405" s="9" t="str">
        <x:v>Compare scenarios</x:v>
      </x:c>
      <x:c r="J405" s="9" t="str">
        <x:v>Could this borrower repay under a plausible downside scenario? Apply the question to credit ratings and credit scoring.</x:v>
      </x:c>
      <x:c r="K405" s="13" t="str">
        <x:v>Not authored</x:v>
      </x:c>
      <x:c r="L405" s="13" t="str">
        <x:v>No</x:v>
      </x:c>
      <x:c r="M405" s="13" t="str"/>
    </x:row>
    <x:row r="406" ht="58" customHeight="1">
      <x:c r="A406" s="10" t="str">
        <x:v>T24.12</x:v>
      </x:c>
      <x:c r="B406" s="10" t="str">
        <x:v>D24</x:v>
      </x:c>
      <x:c r="C406" s="10" t="str">
        <x:v>Probability of default, loss given default, and exposure at default</x:v>
      </x:c>
      <x:c r="D406" s="10" t="str">
        <x:v>Specialist</x:v>
      </x:c>
      <x:c r="E406" s="10" t="str">
        <x:v>T01.03, T02.07</x:v>
      </x:c>
      <x:c r="F406" s="10" t="str">
        <x:v>T24.11</x:v>
      </x:c>
      <x:c r="G406" s="11" t="n">
        <x:v>9</x:v>
      </x:c>
      <x:c r="H406" s="11" t="n">
        <x:v>3</x:v>
      </x:c>
      <x:c r="I406" s="10" t="str">
        <x:v>Compare scenarios</x:v>
      </x:c>
      <x:c r="J406" s="10" t="str">
        <x:v>Could this borrower repay under a plausible downside scenario? Apply the question to probability of default, loss given default, and exposure at default.</x:v>
      </x:c>
      <x:c r="K406" s="13" t="str">
        <x:v>Not authored</x:v>
      </x:c>
      <x:c r="L406" s="13" t="str">
        <x:v>No</x:v>
      </x:c>
      <x:c r="M406" s="13" t="str"/>
    </x:row>
    <x:row r="407" ht="58" customHeight="1">
      <x:c r="A407" s="9" t="str">
        <x:v>T24.13</x:v>
      </x:c>
      <x:c r="B407" s="9" t="str">
        <x:v>D24</x:v>
      </x:c>
      <x:c r="C407" s="9" t="str">
        <x:v>Collateral, guarantees, and security structures</x:v>
      </x:c>
      <x:c r="D407" s="9" t="str">
        <x:v>Specialist</x:v>
      </x:c>
      <x:c r="E407" s="9" t="str">
        <x:v>T01.03</x:v>
      </x:c>
      <x:c r="F407" s="9" t="str">
        <x:v>T24.14</x:v>
      </x:c>
      <x:c r="G407" s="12" t="n">
        <x:v>6</x:v>
      </x:c>
      <x:c r="H407" s="12" t="n">
        <x:v>2</x:v>
      </x:c>
      <x:c r="I407" s="9" t="str">
        <x:v>Compare scenarios</x:v>
      </x:c>
      <x:c r="J407" s="9" t="str">
        <x:v>Could this borrower repay under a plausible downside scenario? Apply the question to collateral, guarantees, and security structures.</x:v>
      </x:c>
      <x:c r="K407" s="13" t="str">
        <x:v>Not authored</x:v>
      </x:c>
      <x:c r="L407" s="13" t="str">
        <x:v>No</x:v>
      </x:c>
      <x:c r="M407" s="13" t="str"/>
    </x:row>
    <x:row r="408" ht="58" customHeight="1">
      <x:c r="A408" s="10" t="str">
        <x:v>T24.14</x:v>
      </x:c>
      <x:c r="B408" s="10" t="str">
        <x:v>D24</x:v>
      </x:c>
      <x:c r="C408" s="10" t="str">
        <x:v>Covenants and debt service capacity</x:v>
      </x:c>
      <x:c r="D408" s="10" t="str">
        <x:v>Specialist</x:v>
      </x:c>
      <x:c r="E408" s="10" t="str">
        <x:v>T01.03</x:v>
      </x:c>
      <x:c r="F408" s="10" t="str">
        <x:v>T24.13</x:v>
      </x:c>
      <x:c r="G408" s="11" t="n">
        <x:v>8</x:v>
      </x:c>
      <x:c r="H408" s="11" t="n">
        <x:v>4</x:v>
      </x:c>
      <x:c r="I408" s="10" t="str">
        <x:v>Compare scenarios</x:v>
      </x:c>
      <x:c r="J408" s="10" t="str">
        <x:v>Could this borrower repay under a plausible downside scenario? Apply the question to covenants and debt service capacity.</x:v>
      </x:c>
      <x:c r="K408" s="13" t="str">
        <x:v>Not authored</x:v>
      </x:c>
      <x:c r="L408" s="13" t="str">
        <x:v>No</x:v>
      </x:c>
      <x:c r="M408" s="13" t="str"/>
    </x:row>
    <x:row r="409" ht="58" customHeight="1">
      <x:c r="A409" s="9" t="str">
        <x:v>T24.15</x:v>
      </x:c>
      <x:c r="B409" s="9" t="str">
        <x:v>D24</x:v>
      </x:c>
      <x:c r="C409" s="9" t="str">
        <x:v>Non-performing assets and provisioning</x:v>
      </x:c>
      <x:c r="D409" s="9" t="str">
        <x:v>Specialist</x:v>
      </x:c>
      <x:c r="E409" s="9" t="str">
        <x:v>T01.03</x:v>
      </x:c>
      <x:c r="F409" s="9" t="str">
        <x:v>T24.16</x:v>
      </x:c>
      <x:c r="G409" s="12" t="n">
        <x:v>6</x:v>
      </x:c>
      <x:c r="H409" s="12" t="n">
        <x:v>1</x:v>
      </x:c>
      <x:c r="I409" s="9" t="str">
        <x:v>Compare scenarios</x:v>
      </x:c>
      <x:c r="J409" s="9" t="str">
        <x:v>Could this borrower repay under a plausible downside scenario? Apply the question to non-performing assets and provisioning.</x:v>
      </x:c>
      <x:c r="K409" s="13" t="str">
        <x:v>Not authored</x:v>
      </x:c>
      <x:c r="L409" s="13" t="str">
        <x:v>No</x:v>
      </x:c>
      <x:c r="M409" s="13" t="str"/>
    </x:row>
    <x:row r="410" ht="58" customHeight="1">
      <x:c r="A410" s="10" t="str">
        <x:v>T24.16</x:v>
      </x:c>
      <x:c r="B410" s="10" t="str">
        <x:v>D24</x:v>
      </x:c>
      <x:c r="C410" s="10" t="str">
        <x:v>Expected credit losses</x:v>
      </x:c>
      <x:c r="D410" s="10" t="str">
        <x:v>Specialist</x:v>
      </x:c>
      <x:c r="E410" s="10" t="str">
        <x:v>T01.03, T24.12</x:v>
      </x:c>
      <x:c r="F410" s="10" t="str">
        <x:v>T24.15</x:v>
      </x:c>
      <x:c r="G410" s="11" t="n">
        <x:v>7</x:v>
      </x:c>
      <x:c r="H410" s="11" t="n">
        <x:v>1</x:v>
      </x:c>
      <x:c r="I410" s="10" t="str">
        <x:v>Compare scenarios</x:v>
      </x:c>
      <x:c r="J410" s="10" t="str">
        <x:v>Could this borrower repay under a plausible downside scenario? Apply the question to expected credit losses.</x:v>
      </x:c>
      <x:c r="K410" s="13" t="str">
        <x:v>Not authored</x:v>
      </x:c>
      <x:c r="L410" s="13" t="str">
        <x:v>No</x:v>
      </x:c>
      <x:c r="M410" s="13" t="str"/>
    </x:row>
    <x:row r="411" ht="58" customHeight="1">
      <x:c r="A411" s="9" t="str">
        <x:v>T24.17</x:v>
      </x:c>
      <x:c r="B411" s="9" t="str">
        <x:v>D24</x:v>
      </x:c>
      <x:c r="C411" s="9" t="str">
        <x:v>Loan restructuring and recovery</x:v>
      </x:c>
      <x:c r="D411" s="9" t="str">
        <x:v>Specialist</x:v>
      </x:c>
      <x:c r="E411" s="9" t="str">
        <x:v>T01.03</x:v>
      </x:c>
      <x:c r="F411" s="9" t="str">
        <x:v>T24.15</x:v>
      </x:c>
      <x:c r="G411" s="12" t="n">
        <x:v>4</x:v>
      </x:c>
      <x:c r="H411" s="12" t="n">
        <x:v>1</x:v>
      </x:c>
      <x:c r="I411" s="9" t="str">
        <x:v>Compare scenarios</x:v>
      </x:c>
      <x:c r="J411" s="9" t="str">
        <x:v>Could this borrower repay under a plausible downside scenario? Apply the question to loan restructuring and recovery.</x:v>
      </x:c>
      <x:c r="K411" s="13" t="str">
        <x:v>Not authored</x:v>
      </x:c>
      <x:c r="L411" s="13" t="str">
        <x:v>No</x:v>
      </x:c>
      <x:c r="M411" s="13" t="str"/>
    </x:row>
    <x:row r="412" ht="58" customHeight="1">
      <x:c r="A412" s="10" t="str">
        <x:v>T24.18</x:v>
      </x:c>
      <x:c r="B412" s="10" t="str">
        <x:v>D24</x:v>
      </x:c>
      <x:c r="C412" s="10" t="str">
        <x:v>NBFCs, microfinance, and housing finance</x:v>
      </x:c>
      <x:c r="D412" s="10" t="str">
        <x:v>Specialist</x:v>
      </x:c>
      <x:c r="E412" s="10" t="str">
        <x:v>T01.03</x:v>
      </x:c>
      <x:c r="F412" s="10" t="str">
        <x:v>T24.09</x:v>
      </x:c>
      <x:c r="G412" s="11" t="n">
        <x:v>5</x:v>
      </x:c>
      <x:c r="H412" s="11" t="n">
        <x:v>2</x:v>
      </x:c>
      <x:c r="I412" s="10" t="str">
        <x:v>Compare scenarios</x:v>
      </x:c>
      <x:c r="J412" s="10" t="str">
        <x:v>Could this borrower repay under a plausible downside scenario? Apply the question to nbfcs, microfinance, and housing finance.</x:v>
      </x:c>
      <x:c r="K412" s="13" t="str">
        <x:v>Not authored</x:v>
      </x:c>
      <x:c r="L412" s="13" t="str">
        <x:v>No</x:v>
      </x:c>
      <x:c r="M412" s="13" t="str"/>
    </x:row>
    <x:row r="413" ht="58" customHeight="1">
      <x:c r="A413" s="9" t="str">
        <x:v>T24.19</x:v>
      </x:c>
      <x:c r="B413" s="9" t="str">
        <x:v>D24</x:v>
      </x:c>
      <x:c r="C413" s="9" t="str">
        <x:v>Securitisation and loan sales</x:v>
      </x:c>
      <x:c r="D413" s="9" t="str">
        <x:v>Specialist</x:v>
      </x:c>
      <x:c r="E413" s="9" t="str">
        <x:v>T01.03</x:v>
      </x:c>
      <x:c r="F413" s="9" t="str">
        <x:v>T24.03</x:v>
      </x:c>
      <x:c r="G413" s="12" t="n">
        <x:v>4</x:v>
      </x:c>
      <x:c r="H413" s="12" t="n">
        <x:v>1</x:v>
      </x:c>
      <x:c r="I413" s="9" t="str">
        <x:v>Compare scenarios</x:v>
      </x:c>
      <x:c r="J413" s="9" t="str">
        <x:v>Could this borrower repay under a plausible downside scenario? Apply the question to securitisation and loan sales.</x:v>
      </x:c>
      <x:c r="K413" s="13" t="str">
        <x:v>Not authored</x:v>
      </x:c>
      <x:c r="L413" s="13" t="str">
        <x:v>No</x:v>
      </x:c>
      <x:c r="M413" s="13" t="str"/>
    </x:row>
    <x:row r="414" ht="58" customHeight="1">
      <x:c r="A414" s="10" t="str">
        <x:v>T25.01</x:v>
      </x:c>
      <x:c r="B414" s="10" t="str">
        <x:v>D25</x:v>
      </x:c>
      <x:c r="C414" s="10" t="str">
        <x:v>Market, credit, liquidity, and operational risk</x:v>
      </x:c>
      <x:c r="D414" s="10" t="str">
        <x:v>Advanced</x:v>
      </x:c>
      <x:c r="E414" s="10" t="str">
        <x:v>T02.08</x:v>
      </x:c>
      <x:c r="F414" s="10" t="str">
        <x:v>T25.09</x:v>
      </x:c>
      <x:c r="G414" s="11" t="n">
        <x:v>8</x:v>
      </x:c>
      <x:c r="H414" s="11" t="n">
        <x:v>3</x:v>
      </x:c>
      <x:c r="I414" s="10" t="str">
        <x:v>Compare scenarios</x:v>
      </x:c>
      <x:c r="J414" s="10" t="str">
        <x:v>Which exposure is missing from the headline risk number? Apply the question to market, credit, liquidity, and operational risk.</x:v>
      </x:c>
      <x:c r="K414" s="13" t="str">
        <x:v>Not authored</x:v>
      </x:c>
      <x:c r="L414" s="13" t="str">
        <x:v>No</x:v>
      </x:c>
      <x:c r="M414" s="13" t="str"/>
    </x:row>
    <x:row r="415" ht="58" customHeight="1">
      <x:c r="A415" s="9" t="str">
        <x:v>T25.02</x:v>
      </x:c>
      <x:c r="B415" s="9" t="str">
        <x:v>D25</x:v>
      </x:c>
      <x:c r="C415" s="9" t="str">
        <x:v>Business, strategic, and reputational risk</x:v>
      </x:c>
      <x:c r="D415" s="9" t="str">
        <x:v>Advanced</x:v>
      </x:c>
      <x:c r="E415" s="9" t="str">
        <x:v>T02.08</x:v>
      </x:c>
      <x:c r="F415" s="9" t="str">
        <x:v>T25.14</x:v>
      </x:c>
      <x:c r="G415" s="12" t="n">
        <x:v>3</x:v>
      </x:c>
      <x:c r="H415" s="12" t="n">
        <x:v>0</x:v>
      </x:c>
      <x:c r="I415" s="9" t="str">
        <x:v>Compare scenarios</x:v>
      </x:c>
      <x:c r="J415" s="9" t="str">
        <x:v>Which exposure is missing from the headline risk number? Apply the question to business, strategic, and reputational risk.</x:v>
      </x:c>
      <x:c r="K415" s="13" t="str">
        <x:v>Not authored</x:v>
      </x:c>
      <x:c r="L415" s="13" t="str">
        <x:v>No</x:v>
      </x:c>
      <x:c r="M415" s="13" t="str"/>
    </x:row>
    <x:row r="416" ht="58" customHeight="1">
      <x:c r="A416" s="10" t="str">
        <x:v>T25.03</x:v>
      </x:c>
      <x:c r="B416" s="10" t="str">
        <x:v>D25</x:v>
      </x:c>
      <x:c r="C416" s="10" t="str">
        <x:v>Counterparty and settlement risk</x:v>
      </x:c>
      <x:c r="D416" s="10" t="str">
        <x:v>Advanced</x:v>
      </x:c>
      <x:c r="E416" s="10" t="str">
        <x:v>T02.08</x:v>
      </x:c>
      <x:c r="F416" s="10" t="str">
        <x:v>T25.01</x:v>
      </x:c>
      <x:c r="G416" s="11" t="n">
        <x:v>4</x:v>
      </x:c>
      <x:c r="H416" s="11" t="n">
        <x:v>1</x:v>
      </x:c>
      <x:c r="I416" s="10" t="str">
        <x:v>Compare scenarios</x:v>
      </x:c>
      <x:c r="J416" s="10" t="str">
        <x:v>Which exposure is missing from the headline risk number? Apply the question to counterparty and settlement risk.</x:v>
      </x:c>
      <x:c r="K416" s="13" t="str">
        <x:v>Not authored</x:v>
      </x:c>
      <x:c r="L416" s="13" t="str">
        <x:v>No</x:v>
      </x:c>
      <x:c r="M416" s="13" t="str"/>
    </x:row>
    <x:row r="417" ht="58" customHeight="1">
      <x:c r="A417" s="9" t="str">
        <x:v>T25.04</x:v>
      </x:c>
      <x:c r="B417" s="9" t="str">
        <x:v>D25</x:v>
      </x:c>
      <x:c r="C417" s="9" t="str">
        <x:v>Concentration and contagion risk</x:v>
      </x:c>
      <x:c r="D417" s="9" t="str">
        <x:v>Advanced</x:v>
      </x:c>
      <x:c r="E417" s="9" t="str">
        <x:v>T02.08</x:v>
      </x:c>
      <x:c r="F417" s="9" t="str">
        <x:v>T25.16</x:v>
      </x:c>
      <x:c r="G417" s="12" t="n">
        <x:v>6</x:v>
      </x:c>
      <x:c r="H417" s="12" t="n">
        <x:v>1</x:v>
      </x:c>
      <x:c r="I417" s="9" t="str">
        <x:v>Compare scenarios</x:v>
      </x:c>
      <x:c r="J417" s="9" t="str">
        <x:v>Which exposure is missing from the headline risk number? Apply the question to concentration and contagion risk.</x:v>
      </x:c>
      <x:c r="K417" s="13" t="str">
        <x:v>Not authored</x:v>
      </x:c>
      <x:c r="L417" s="13" t="str">
        <x:v>No</x:v>
      </x:c>
      <x:c r="M417" s="13" t="str"/>
    </x:row>
    <x:row r="418" ht="58" customHeight="1">
      <x:c r="A418" s="10" t="str">
        <x:v>T25.05</x:v>
      </x:c>
      <x:c r="B418" s="10" t="str">
        <x:v>D25</x:v>
      </x:c>
      <x:c r="C418" s="10" t="str">
        <x:v>Value at Risk and expected shortfall</x:v>
      </x:c>
      <x:c r="D418" s="10" t="str">
        <x:v>Advanced</x:v>
      </x:c>
      <x:c r="E418" s="10" t="str">
        <x:v>T02.08, T02.10</x:v>
      </x:c>
      <x:c r="F418" s="10" t="str">
        <x:v>T25.06</x:v>
      </x:c>
      <x:c r="G418" s="11" t="n">
        <x:v>6</x:v>
      </x:c>
      <x:c r="H418" s="11" t="n">
        <x:v>1</x:v>
      </x:c>
      <x:c r="I418" s="10" t="str">
        <x:v>Compare scenarios</x:v>
      </x:c>
      <x:c r="J418" s="10" t="str">
        <x:v>Which exposure is missing from the headline risk number? Apply the question to value at risk and expected shortfall.</x:v>
      </x:c>
      <x:c r="K418" s="13" t="str">
        <x:v>Not authored</x:v>
      </x:c>
      <x:c r="L418" s="13" t="str">
        <x:v>No</x:v>
      </x:c>
      <x:c r="M418" s="13" t="str"/>
    </x:row>
    <x:row r="419" ht="58" customHeight="1">
      <x:c r="A419" s="9" t="str">
        <x:v>T25.06</x:v>
      </x:c>
      <x:c r="B419" s="9" t="str">
        <x:v>D25</x:v>
      </x:c>
      <x:c r="C419" s="9" t="str">
        <x:v>Historical, parametric, and Monte Carlo methods</x:v>
      </x:c>
      <x:c r="D419" s="9" t="str">
        <x:v>Advanced</x:v>
      </x:c>
      <x:c r="E419" s="9" t="str">
        <x:v>T02.08, T02.15</x:v>
      </x:c>
      <x:c r="F419" s="9" t="str">
        <x:v>T25.05</x:v>
      </x:c>
      <x:c r="G419" s="12" t="n">
        <x:v>6</x:v>
      </x:c>
      <x:c r="H419" s="12" t="n">
        <x:v>1</x:v>
      </x:c>
      <x:c r="I419" s="9" t="str">
        <x:v>Compare scenarios</x:v>
      </x:c>
      <x:c r="J419" s="9" t="str">
        <x:v>Which exposure is missing from the headline risk number? Apply the question to historical, parametric, and monte carlo methods.</x:v>
      </x:c>
      <x:c r="K419" s="13" t="str">
        <x:v>Not authored</x:v>
      </x:c>
      <x:c r="L419" s="13" t="str">
        <x:v>No</x:v>
      </x:c>
      <x:c r="M419" s="13" t="str"/>
    </x:row>
    <x:row r="420" ht="58" customHeight="1">
      <x:c r="A420" s="10" t="str">
        <x:v>T25.07</x:v>
      </x:c>
      <x:c r="B420" s="10" t="str">
        <x:v>D25</x:v>
      </x:c>
      <x:c r="C420" s="10" t="str">
        <x:v>Stress testing and reverse stress testing</x:v>
      </x:c>
      <x:c r="D420" s="10" t="str">
        <x:v>Advanced</x:v>
      </x:c>
      <x:c r="E420" s="10" t="str">
        <x:v>T02.08</x:v>
      </x:c>
      <x:c r="F420" s="10" t="str">
        <x:v>T25.08</x:v>
      </x:c>
      <x:c r="G420" s="11" t="n">
        <x:v>9</x:v>
      </x:c>
      <x:c r="H420" s="11" t="n">
        <x:v>5</x:v>
      </x:c>
      <x:c r="I420" s="10" t="str">
        <x:v>Compare scenarios</x:v>
      </x:c>
      <x:c r="J420" s="10" t="str">
        <x:v>Which exposure is missing from the headline risk number? Apply the question to stress testing and reverse stress testing.</x:v>
      </x:c>
      <x:c r="K420" s="13" t="str">
        <x:v>Not authored</x:v>
      </x:c>
      <x:c r="L420" s="13" t="str">
        <x:v>No</x:v>
      </x:c>
      <x:c r="M420" s="13" t="str"/>
    </x:row>
    <x:row r="421" ht="58" customHeight="1">
      <x:c r="A421" s="9" t="str">
        <x:v>T25.08</x:v>
      </x:c>
      <x:c r="B421" s="9" t="str">
        <x:v>D25</x:v>
      </x:c>
      <x:c r="C421" s="9" t="str">
        <x:v>Scenario design</x:v>
      </x:c>
      <x:c r="D421" s="9" t="str">
        <x:v>Advanced</x:v>
      </x:c>
      <x:c r="E421" s="9" t="str">
        <x:v>T02.08</x:v>
      </x:c>
      <x:c r="F421" s="9" t="str">
        <x:v>T25.07</x:v>
      </x:c>
      <x:c r="G421" s="12" t="n">
        <x:v>5</x:v>
      </x:c>
      <x:c r="H421" s="12" t="n">
        <x:v>0</x:v>
      </x:c>
      <x:c r="I421" s="9" t="str">
        <x:v>Compare scenarios</x:v>
      </x:c>
      <x:c r="J421" s="9" t="str">
        <x:v>Which exposure is missing from the headline risk number? Apply the question to scenario design.</x:v>
      </x:c>
      <x:c r="K421" s="13" t="str">
        <x:v>Not authored</x:v>
      </x:c>
      <x:c r="L421" s="13" t="str">
        <x:v>No</x:v>
      </x:c>
      <x:c r="M421" s="13" t="str"/>
    </x:row>
    <x:row r="422" ht="58" customHeight="1">
      <x:c r="A422" s="10" t="str">
        <x:v>T25.09</x:v>
      </x:c>
      <x:c r="B422" s="10" t="str">
        <x:v>D25</x:v>
      </x:c>
      <x:c r="C422" s="10" t="str">
        <x:v>Risk limits, risk appetite, and risk governance</x:v>
      </x:c>
      <x:c r="D422" s="10" t="str">
        <x:v>Advanced</x:v>
      </x:c>
      <x:c r="E422" s="10" t="str">
        <x:v>T02.08</x:v>
      </x:c>
      <x:c r="F422" s="10" t="str">
        <x:v>T25.14</x:v>
      </x:c>
      <x:c r="G422" s="11" t="n">
        <x:v>5</x:v>
      </x:c>
      <x:c r="H422" s="11" t="n">
        <x:v>1</x:v>
      </x:c>
      <x:c r="I422" s="10" t="str">
        <x:v>Compare scenarios</x:v>
      </x:c>
      <x:c r="J422" s="10" t="str">
        <x:v>Which exposure is missing from the headline risk number? Apply the question to risk limits, risk appetite, and risk governance.</x:v>
      </x:c>
      <x:c r="K422" s="13" t="str">
        <x:v>Not authored</x:v>
      </x:c>
      <x:c r="L422" s="13" t="str">
        <x:v>No</x:v>
      </x:c>
      <x:c r="M422" s="13" t="str"/>
    </x:row>
    <x:row r="423" ht="58" customHeight="1">
      <x:c r="A423" s="9" t="str">
        <x:v>T25.10</x:v>
      </x:c>
      <x:c r="B423" s="9" t="str">
        <x:v>D25</x:v>
      </x:c>
      <x:c r="C423" s="9" t="str">
        <x:v>Credit portfolio risk</x:v>
      </x:c>
      <x:c r="D423" s="9" t="str">
        <x:v>Advanced</x:v>
      </x:c>
      <x:c r="E423" s="9" t="str">
        <x:v>T02.08</x:v>
      </x:c>
      <x:c r="F423" s="9" t="str">
        <x:v>T25.04</x:v>
      </x:c>
      <x:c r="G423" s="12" t="n">
        <x:v>3</x:v>
      </x:c>
      <x:c r="H423" s="12" t="n">
        <x:v>0</x:v>
      </x:c>
      <x:c r="I423" s="9" t="str">
        <x:v>Compare scenarios</x:v>
      </x:c>
      <x:c r="J423" s="9" t="str">
        <x:v>Which exposure is missing from the headline risk number? Apply the question to credit portfolio risk.</x:v>
      </x:c>
      <x:c r="K423" s="13" t="str">
        <x:v>Not authored</x:v>
      </x:c>
      <x:c r="L423" s="13" t="str">
        <x:v>No</x:v>
      </x:c>
      <x:c r="M423" s="13" t="str"/>
    </x:row>
    <x:row r="424" ht="58" customHeight="1">
      <x:c r="A424" s="10" t="str">
        <x:v>T25.11</x:v>
      </x:c>
      <x:c r="B424" s="10" t="str">
        <x:v>D25</x:v>
      </x:c>
      <x:c r="C424" s="10" t="str">
        <x:v>Asset-liability mismatches</x:v>
      </x:c>
      <x:c r="D424" s="10" t="str">
        <x:v>Advanced</x:v>
      </x:c>
      <x:c r="E424" s="10" t="str">
        <x:v>T02.08</x:v>
      </x:c>
      <x:c r="F424" s="10" t="str">
        <x:v>T25.01</x:v>
      </x:c>
      <x:c r="G424" s="11" t="n">
        <x:v>5</x:v>
      </x:c>
      <x:c r="H424" s="11" t="n">
        <x:v>2</x:v>
      </x:c>
      <x:c r="I424" s="10" t="str">
        <x:v>Compare scenarios</x:v>
      </x:c>
      <x:c r="J424" s="10" t="str">
        <x:v>Which exposure is missing from the headline risk number? Apply the question to asset-liability mismatches.</x:v>
      </x:c>
      <x:c r="K424" s="13" t="str">
        <x:v>Not authored</x:v>
      </x:c>
      <x:c r="L424" s="13" t="str">
        <x:v>No</x:v>
      </x:c>
      <x:c r="M424" s="13" t="str"/>
    </x:row>
    <x:row r="425" ht="58" customHeight="1">
      <x:c r="A425" s="9" t="str">
        <x:v>T25.12</x:v>
      </x:c>
      <x:c r="B425" s="9" t="str">
        <x:v>D25</x:v>
      </x:c>
      <x:c r="C425" s="9" t="str">
        <x:v>Model risk and validation</x:v>
      </x:c>
      <x:c r="D425" s="9" t="str">
        <x:v>Advanced</x:v>
      </x:c>
      <x:c r="E425" s="9" t="str">
        <x:v>T02.08</x:v>
      </x:c>
      <x:c r="F425" s="9" t="str">
        <x:v>T25.08</x:v>
      </x:c>
      <x:c r="G425" s="12" t="n">
        <x:v>4</x:v>
      </x:c>
      <x:c r="H425" s="12" t="n">
        <x:v>1</x:v>
      </x:c>
      <x:c r="I425" s="9" t="str">
        <x:v>Compare scenarios</x:v>
      </x:c>
      <x:c r="J425" s="9" t="str">
        <x:v>Which exposure is missing from the headline risk number? Apply the question to model risk and validation.</x:v>
      </x:c>
      <x:c r="K425" s="13" t="str">
        <x:v>Not authored</x:v>
      </x:c>
      <x:c r="L425" s="13" t="str">
        <x:v>No</x:v>
      </x:c>
      <x:c r="M425" s="13" t="str"/>
    </x:row>
    <x:row r="426" ht="58" customHeight="1">
      <x:c r="A426" s="10" t="str">
        <x:v>T25.13</x:v>
      </x:c>
      <x:c r="B426" s="10" t="str">
        <x:v>D25</x:v>
      </x:c>
      <x:c r="C426" s="10" t="str">
        <x:v>Operational losses, cyber risk, and fraud risk</x:v>
      </x:c>
      <x:c r="D426" s="10" t="str">
        <x:v>Advanced</x:v>
      </x:c>
      <x:c r="E426" s="10" t="str">
        <x:v>T02.08</x:v>
      </x:c>
      <x:c r="F426" s="10" t="str">
        <x:v>T25.14</x:v>
      </x:c>
      <x:c r="G426" s="11" t="n">
        <x:v>5</x:v>
      </x:c>
      <x:c r="H426" s="11" t="n">
        <x:v>2</x:v>
      </x:c>
      <x:c r="I426" s="10" t="str">
        <x:v>Compare scenarios</x:v>
      </x:c>
      <x:c r="J426" s="10" t="str">
        <x:v>Which exposure is missing from the headline risk number? Apply the question to operational losses, cyber risk, and fraud risk.</x:v>
      </x:c>
      <x:c r="K426" s="13" t="str">
        <x:v>Not authored</x:v>
      </x:c>
      <x:c r="L426" s="13" t="str">
        <x:v>No</x:v>
      </x:c>
      <x:c r="M426" s="13" t="str"/>
    </x:row>
    <x:row r="427" ht="58" customHeight="1">
      <x:c r="A427" s="9" t="str">
        <x:v>T25.14</x:v>
      </x:c>
      <x:c r="B427" s="9" t="str">
        <x:v>D25</x:v>
      </x:c>
      <x:c r="C427" s="9" t="str">
        <x:v>Enterprise risk management</x:v>
      </x:c>
      <x:c r="D427" s="9" t="str">
        <x:v>Advanced</x:v>
      </x:c>
      <x:c r="E427" s="9" t="str">
        <x:v>T02.08</x:v>
      </x:c>
      <x:c r="F427" s="9" t="str">
        <x:v>T25.15</x:v>
      </x:c>
      <x:c r="G427" s="12" t="n">
        <x:v>7</x:v>
      </x:c>
      <x:c r="H427" s="12" t="n">
        <x:v>0</x:v>
      </x:c>
      <x:c r="I427" s="9" t="str">
        <x:v>Compare scenarios</x:v>
      </x:c>
      <x:c r="J427" s="9" t="str">
        <x:v>Which exposure is missing from the headline risk number? Apply the question to enterprise risk management.</x:v>
      </x:c>
      <x:c r="K427" s="13" t="str">
        <x:v>Not authored</x:v>
      </x:c>
      <x:c r="L427" s="13" t="str">
        <x:v>No</x:v>
      </x:c>
      <x:c r="M427" s="13" t="str"/>
    </x:row>
    <x:row r="428" ht="58" customHeight="1">
      <x:c r="A428" s="10" t="str">
        <x:v>T25.15</x:v>
      </x:c>
      <x:c r="B428" s="10" t="str">
        <x:v>D25</x:v>
      </x:c>
      <x:c r="C428" s="10" t="str">
        <x:v>Economic capital and risk-adjusted performance</x:v>
      </x:c>
      <x:c r="D428" s="10" t="str">
        <x:v>Advanced</x:v>
      </x:c>
      <x:c r="E428" s="10" t="str">
        <x:v>T02.08</x:v>
      </x:c>
      <x:c r="F428" s="10" t="str">
        <x:v>T25.14</x:v>
      </x:c>
      <x:c r="G428" s="11" t="n">
        <x:v>6</x:v>
      </x:c>
      <x:c r="H428" s="11" t="n">
        <x:v>2</x:v>
      </x:c>
      <x:c r="I428" s="10" t="str">
        <x:v>Compare scenarios</x:v>
      </x:c>
      <x:c r="J428" s="10" t="str">
        <x:v>Which exposure is missing from the headline risk number? Apply the question to economic capital and risk-adjusted performance.</x:v>
      </x:c>
      <x:c r="K428" s="13" t="str">
        <x:v>Not authored</x:v>
      </x:c>
      <x:c r="L428" s="13" t="str">
        <x:v>No</x:v>
      </x:c>
      <x:c r="M428" s="13" t="str"/>
    </x:row>
    <x:row r="429" ht="58" customHeight="1">
      <x:c r="A429" s="9" t="str">
        <x:v>T25.16</x:v>
      </x:c>
      <x:c r="B429" s="9" t="str">
        <x:v>D25</x:v>
      </x:c>
      <x:c r="C429" s="9" t="str">
        <x:v>Systemic risk and financial crises</x:v>
      </x:c>
      <x:c r="D429" s="9" t="str">
        <x:v>Advanced</x:v>
      </x:c>
      <x:c r="E429" s="9" t="str">
        <x:v>T02.08</x:v>
      </x:c>
      <x:c r="F429" s="9" t="str">
        <x:v>T25.04</x:v>
      </x:c>
      <x:c r="G429" s="12" t="n">
        <x:v>6</x:v>
      </x:c>
      <x:c r="H429" s="12" t="n">
        <x:v>2</x:v>
      </x:c>
      <x:c r="I429" s="9" t="str">
        <x:v>Compare scenarios</x:v>
      </x:c>
      <x:c r="J429" s="9" t="str">
        <x:v>Which exposure is missing from the headline risk number? Apply the question to systemic risk and financial crises.</x:v>
      </x:c>
      <x:c r="K429" s="13" t="str">
        <x:v>Not authored</x:v>
      </x:c>
      <x:c r="L429" s="13" t="str">
        <x:v>No</x:v>
      </x:c>
      <x:c r="M429" s="13" t="str"/>
    </x:row>
    <x:row r="430" ht="58" customHeight="1">
      <x:c r="A430" s="10" t="str">
        <x:v>T26.01</x:v>
      </x:c>
      <x:c r="B430" s="10" t="str">
        <x:v>D26</x:v>
      </x:c>
      <x:c r="C430" s="10" t="str">
        <x:v>Strategic rationale for acquisitions</x:v>
      </x:c>
      <x:c r="D430" s="10" t="str">
        <x:v>Specialist</x:v>
      </x:c>
      <x:c r="E430" s="10" t="str">
        <x:v>T17.03</x:v>
      </x:c>
      <x:c r="F430" s="10" t="str">
        <x:v>T26.04</x:v>
      </x:c>
      <x:c r="G430" s="11" t="n">
        <x:v>8</x:v>
      </x:c>
      <x:c r="H430" s="11" t="n">
        <x:v>1</x:v>
      </x:c>
      <x:c r="I430" s="10" t="str">
        <x:v>Investigate a case</x:v>
      </x:c>
      <x:c r="J430" s="10" t="str">
        <x:v>Is the proposed value coming from the business, synergies or financing? Apply the question to strategic rationale for acquisitions.</x:v>
      </x:c>
      <x:c r="K430" s="13" t="str">
        <x:v>Not authored</x:v>
      </x:c>
      <x:c r="L430" s="13" t="str">
        <x:v>No</x:v>
      </x:c>
      <x:c r="M430" s="13" t="str"/>
    </x:row>
    <x:row r="431" ht="58" customHeight="1">
      <x:c r="A431" s="9" t="str">
        <x:v>T26.02</x:v>
      </x:c>
      <x:c r="B431" s="9" t="str">
        <x:v>D26</x:v>
      </x:c>
      <x:c r="C431" s="9" t="str">
        <x:v>Horizontal, vertical, and conglomerate transactions</x:v>
      </x:c>
      <x:c r="D431" s="9" t="str">
        <x:v>Specialist</x:v>
      </x:c>
      <x:c r="E431" s="9" t="str">
        <x:v>T17.03</x:v>
      </x:c>
      <x:c r="F431" s="9" t="str">
        <x:v>T26.01</x:v>
      </x:c>
      <x:c r="G431" s="12" t="n">
        <x:v>3</x:v>
      </x:c>
      <x:c r="H431" s="12" t="n">
        <x:v>0</x:v>
      </x:c>
      <x:c r="I431" s="9" t="str">
        <x:v>Investigate a case</x:v>
      </x:c>
      <x:c r="J431" s="9" t="str">
        <x:v>Is the proposed value coming from the business, synergies or financing? Apply the question to horizontal, vertical, and conglomerate transactions.</x:v>
      </x:c>
      <x:c r="K431" s="13" t="str">
        <x:v>Not authored</x:v>
      </x:c>
      <x:c r="L431" s="13" t="str">
        <x:v>No</x:v>
      </x:c>
      <x:c r="M431" s="13" t="str"/>
    </x:row>
    <x:row r="432" ht="58" customHeight="1">
      <x:c r="A432" s="10" t="str">
        <x:v>T26.03</x:v>
      </x:c>
      <x:c r="B432" s="10" t="str">
        <x:v>D26</x:v>
      </x:c>
      <x:c r="C432" s="10" t="str">
        <x:v>Buy-side and sell-side processes</x:v>
      </x:c>
      <x:c r="D432" s="10" t="str">
        <x:v>Specialist</x:v>
      </x:c>
      <x:c r="E432" s="10" t="str">
        <x:v>T17.03</x:v>
      </x:c>
      <x:c r="F432" s="10" t="str">
        <x:v>T26.05</x:v>
      </x:c>
      <x:c r="G432" s="11" t="n">
        <x:v>3</x:v>
      </x:c>
      <x:c r="H432" s="11" t="n">
        <x:v>0</x:v>
      </x:c>
      <x:c r="I432" s="10" t="str">
        <x:v>Investigate a case</x:v>
      </x:c>
      <x:c r="J432" s="10" t="str">
        <x:v>Is the proposed value coming from the business, synergies or financing? Apply the question to buy-side and sell-side processes.</x:v>
      </x:c>
      <x:c r="K432" s="13" t="str">
        <x:v>Not authored</x:v>
      </x:c>
      <x:c r="L432" s="13" t="str">
        <x:v>No</x:v>
      </x:c>
      <x:c r="M432" s="13" t="str"/>
    </x:row>
    <x:row r="433" ht="58" customHeight="1">
      <x:c r="A433" s="9" t="str">
        <x:v>T26.04</x:v>
      </x:c>
      <x:c r="B433" s="9" t="str">
        <x:v>D26</x:v>
      </x:c>
      <x:c r="C433" s="9" t="str">
        <x:v>Target screening</x:v>
      </x:c>
      <x:c r="D433" s="9" t="str">
        <x:v>Specialist</x:v>
      </x:c>
      <x:c r="E433" s="9" t="str">
        <x:v>T17.03</x:v>
      </x:c>
      <x:c r="F433" s="9" t="str">
        <x:v>T26.01</x:v>
      </x:c>
      <x:c r="G433" s="12" t="n">
        <x:v>4</x:v>
      </x:c>
      <x:c r="H433" s="12" t="n">
        <x:v>0</x:v>
      </x:c>
      <x:c r="I433" s="9" t="str">
        <x:v>Investigate a case</x:v>
      </x:c>
      <x:c r="J433" s="9" t="str">
        <x:v>Is the proposed value coming from the business, synergies or financing? Apply the question to target screening.</x:v>
      </x:c>
      <x:c r="K433" s="13" t="str">
        <x:v>Not authored</x:v>
      </x:c>
      <x:c r="L433" s="13" t="str">
        <x:v>No</x:v>
      </x:c>
      <x:c r="M433" s="13" t="str"/>
    </x:row>
    <x:row r="434" ht="58" customHeight="1">
      <x:c r="A434" s="10" t="str">
        <x:v>T26.05</x:v>
      </x:c>
      <x:c r="B434" s="10" t="str">
        <x:v>D26</x:v>
      </x:c>
      <x:c r="C434" s="10" t="str">
        <x:v>Financial, commercial, tax, and legal due diligence</x:v>
      </x:c>
      <x:c r="D434" s="10" t="str">
        <x:v>Specialist</x:v>
      </x:c>
      <x:c r="E434" s="10" t="str">
        <x:v>T17.03</x:v>
      </x:c>
      <x:c r="F434" s="10" t="str">
        <x:v>T26.06</x:v>
      </x:c>
      <x:c r="G434" s="11" t="n">
        <x:v>6</x:v>
      </x:c>
      <x:c r="H434" s="11" t="n">
        <x:v>2</x:v>
      </x:c>
      <x:c r="I434" s="10" t="str">
        <x:v>Investigate a case</x:v>
      </x:c>
      <x:c r="J434" s="10" t="str">
        <x:v>Is the proposed value coming from the business, synergies or financing? Apply the question to financial, commercial, tax, and legal due diligence.</x:v>
      </x:c>
      <x:c r="K434" s="13" t="str">
        <x:v>Not authored</x:v>
      </x:c>
      <x:c r="L434" s="13" t="str">
        <x:v>No</x:v>
      </x:c>
      <x:c r="M434" s="13" t="str"/>
    </x:row>
    <x:row r="435" ht="58" customHeight="1">
      <x:c r="A435" s="9" t="str">
        <x:v>T26.06</x:v>
      </x:c>
      <x:c r="B435" s="9" t="str">
        <x:v>D26</x:v>
      </x:c>
      <x:c r="C435" s="9" t="str">
        <x:v>Transaction valuation</x:v>
      </x:c>
      <x:c r="D435" s="9" t="str">
        <x:v>Specialist</x:v>
      </x:c>
      <x:c r="E435" s="9" t="str">
        <x:v>T17.03</x:v>
      </x:c>
      <x:c r="F435" s="9" t="str">
        <x:v>T26.07</x:v>
      </x:c>
      <x:c r="G435" s="12" t="n">
        <x:v>6</x:v>
      </x:c>
      <x:c r="H435" s="12" t="n">
        <x:v>1</x:v>
      </x:c>
      <x:c r="I435" s="9" t="str">
        <x:v>Investigate a case</x:v>
      </x:c>
      <x:c r="J435" s="9" t="str">
        <x:v>Is the proposed value coming from the business, synergies or financing? Apply the question to transaction valuation.</x:v>
      </x:c>
      <x:c r="K435" s="13" t="str">
        <x:v>Not authored</x:v>
      </x:c>
      <x:c r="L435" s="13" t="str">
        <x:v>No</x:v>
      </x:c>
      <x:c r="M435" s="13" t="str"/>
    </x:row>
    <x:row r="436" ht="58" customHeight="1">
      <x:c r="A436" s="10" t="str">
        <x:v>T26.07</x:v>
      </x:c>
      <x:c r="B436" s="10" t="str">
        <x:v>D26</x:v>
      </x:c>
      <x:c r="C436" s="10" t="str">
        <x:v>Synergies, dis-synergies, and integration costs</x:v>
      </x:c>
      <x:c r="D436" s="10" t="str">
        <x:v>Specialist</x:v>
      </x:c>
      <x:c r="E436" s="10" t="str">
        <x:v>T17.03</x:v>
      </x:c>
      <x:c r="F436" s="10" t="str">
        <x:v>T26.19</x:v>
      </x:c>
      <x:c r="G436" s="11" t="n">
        <x:v>6</x:v>
      </x:c>
      <x:c r="H436" s="11" t="n">
        <x:v>1</x:v>
      </x:c>
      <x:c r="I436" s="10" t="str">
        <x:v>Investigate a case</x:v>
      </x:c>
      <x:c r="J436" s="10" t="str">
        <x:v>Is the proposed value coming from the business, synergies or financing? Apply the question to synergies, dis-synergies, and integration costs.</x:v>
      </x:c>
      <x:c r="K436" s="13" t="str">
        <x:v>Not authored</x:v>
      </x:c>
      <x:c r="L436" s="13" t="str">
        <x:v>No</x:v>
      </x:c>
      <x:c r="M436" s="13" t="str"/>
    </x:row>
    <x:row r="437" ht="58" customHeight="1">
      <x:c r="A437" s="9" t="str">
        <x:v>T26.08</x:v>
      </x:c>
      <x:c r="B437" s="9" t="str">
        <x:v>D26</x:v>
      </x:c>
      <x:c r="C437" s="9" t="str">
        <x:v>Cash, stock, and mixed consideration</x:v>
      </x:c>
      <x:c r="D437" s="9" t="str">
        <x:v>Specialist</x:v>
      </x:c>
      <x:c r="E437" s="9" t="str">
        <x:v>T17.03</x:v>
      </x:c>
      <x:c r="F437" s="9" t="str">
        <x:v>T26.09</x:v>
      </x:c>
      <x:c r="G437" s="12" t="n">
        <x:v>7</x:v>
      </x:c>
      <x:c r="H437" s="12" t="n">
        <x:v>2</x:v>
      </x:c>
      <x:c r="I437" s="9" t="str">
        <x:v>Investigate a case</x:v>
      </x:c>
      <x:c r="J437" s="9" t="str">
        <x:v>Is the proposed value coming from the business, synergies or financing? Apply the question to cash, stock, and mixed consideration.</x:v>
      </x:c>
      <x:c r="K437" s="13" t="str">
        <x:v>Not authored</x:v>
      </x:c>
      <x:c r="L437" s="13" t="str">
        <x:v>No</x:v>
      </x:c>
      <x:c r="M437" s="13" t="str"/>
    </x:row>
    <x:row r="438" ht="58" customHeight="1">
      <x:c r="A438" s="10" t="str">
        <x:v>T26.09</x:v>
      </x:c>
      <x:c r="B438" s="10" t="str">
        <x:v>D26</x:v>
      </x:c>
      <x:c r="C438" s="10" t="str">
        <x:v>Acquisition financing</x:v>
      </x:c>
      <x:c r="D438" s="10" t="str">
        <x:v>Specialist</x:v>
      </x:c>
      <x:c r="E438" s="10" t="str">
        <x:v>T17.03</x:v>
      </x:c>
      <x:c r="F438" s="10" t="str">
        <x:v>T26.08</x:v>
      </x:c>
      <x:c r="G438" s="11" t="n">
        <x:v>6</x:v>
      </x:c>
      <x:c r="H438" s="11" t="n">
        <x:v>1</x:v>
      </x:c>
      <x:c r="I438" s="10" t="str">
        <x:v>Investigate a case</x:v>
      </x:c>
      <x:c r="J438" s="10" t="str">
        <x:v>Is the proposed value coming from the business, synergies or financing? Apply the question to acquisition financing.</x:v>
      </x:c>
      <x:c r="K438" s="13" t="str">
        <x:v>Not authored</x:v>
      </x:c>
      <x:c r="L438" s="13" t="str">
        <x:v>No</x:v>
      </x:c>
      <x:c r="M438" s="13" t="str"/>
    </x:row>
    <x:row r="439" ht="58" customHeight="1">
      <x:c r="A439" s="9" t="str">
        <x:v>T26.10</x:v>
      </x:c>
      <x:c r="B439" s="9" t="str">
        <x:v>D26</x:v>
      </x:c>
      <x:c r="C439" s="9" t="str">
        <x:v>Accretion and dilution</x:v>
      </x:c>
      <x:c r="D439" s="9" t="str">
        <x:v>Specialist</x:v>
      </x:c>
      <x:c r="E439" s="9" t="str">
        <x:v>T17.03, T05.18</x:v>
      </x:c>
      <x:c r="F439" s="9" t="str">
        <x:v>T26.11</x:v>
      </x:c>
      <x:c r="G439" s="12" t="n">
        <x:v>6</x:v>
      </x:c>
      <x:c r="H439" s="12" t="n">
        <x:v>1</x:v>
      </x:c>
      <x:c r="I439" s="9" t="str">
        <x:v>Investigate a case</x:v>
      </x:c>
      <x:c r="J439" s="9" t="str">
        <x:v>Is the proposed value coming from the business, synergies or financing? Apply the question to accretion and dilution.</x:v>
      </x:c>
      <x:c r="K439" s="13" t="str">
        <x:v>Not authored</x:v>
      </x:c>
      <x:c r="L439" s="13" t="str">
        <x:v>No</x:v>
      </x:c>
      <x:c r="M439" s="13" t="str"/>
    </x:row>
    <x:row r="440" ht="58" customHeight="1">
      <x:c r="A440" s="10" t="str">
        <x:v>T26.11</x:v>
      </x:c>
      <x:c r="B440" s="10" t="str">
        <x:v>D26</x:v>
      </x:c>
      <x:c r="C440" s="10" t="str">
        <x:v>Merger models</x:v>
      </x:c>
      <x:c r="D440" s="10" t="str">
        <x:v>Specialist</x:v>
      </x:c>
      <x:c r="E440" s="10" t="str">
        <x:v>T17.03, T16.03</x:v>
      </x:c>
      <x:c r="F440" s="10" t="str">
        <x:v>T26.10</x:v>
      </x:c>
      <x:c r="G440" s="11" t="n">
        <x:v>8</x:v>
      </x:c>
      <x:c r="H440" s="11" t="n">
        <x:v>3</x:v>
      </x:c>
      <x:c r="I440" s="10" t="str">
        <x:v>Investigate a case</x:v>
      </x:c>
      <x:c r="J440" s="10" t="str">
        <x:v>Is the proposed value coming from the business, synergies or financing? Apply the question to merger models.</x:v>
      </x:c>
      <x:c r="K440" s="13" t="str">
        <x:v>Not authored</x:v>
      </x:c>
      <x:c r="L440" s="13" t="str">
        <x:v>No</x:v>
      </x:c>
      <x:c r="M440" s="13" t="str"/>
    </x:row>
    <x:row r="441" ht="58" customHeight="1">
      <x:c r="A441" s="9" t="str">
        <x:v>T26.12</x:v>
      </x:c>
      <x:c r="B441" s="9" t="str">
        <x:v>D26</x:v>
      </x:c>
      <x:c r="C441" s="9" t="str">
        <x:v>Purchase-price adjustments and working-capital mechanisms</x:v>
      </x:c>
      <x:c r="D441" s="9" t="str">
        <x:v>Specialist</x:v>
      </x:c>
      <x:c r="E441" s="9" t="str">
        <x:v>T17.03</x:v>
      </x:c>
      <x:c r="F441" s="9" t="str">
        <x:v>T26.06</x:v>
      </x:c>
      <x:c r="G441" s="12" t="n">
        <x:v>4</x:v>
      </x:c>
      <x:c r="H441" s="12" t="n">
        <x:v>1</x:v>
      </x:c>
      <x:c r="I441" s="9" t="str">
        <x:v>Investigate a case</x:v>
      </x:c>
      <x:c r="J441" s="9" t="str">
        <x:v>Is the proposed value coming from the business, synergies or financing? Apply the question to purchase-price adjustments and working-capital mechanisms.</x:v>
      </x:c>
      <x:c r="K441" s="13" t="str">
        <x:v>Not authored</x:v>
      </x:c>
      <x:c r="L441" s="13" t="str">
        <x:v>No</x:v>
      </x:c>
      <x:c r="M441" s="13" t="str"/>
    </x:row>
    <x:row r="442" ht="58" customHeight="1">
      <x:c r="A442" s="10" t="str">
        <x:v>T26.13</x:v>
      </x:c>
      <x:c r="B442" s="10" t="str">
        <x:v>D26</x:v>
      </x:c>
      <x:c r="C442" s="10" t="str">
        <x:v>Earn-outs and contingent consideration</x:v>
      </x:c>
      <x:c r="D442" s="10" t="str">
        <x:v>Specialist</x:v>
      </x:c>
      <x:c r="E442" s="10" t="str">
        <x:v>T17.03</x:v>
      </x:c>
      <x:c r="F442" s="10" t="str">
        <x:v>T26.08</x:v>
      </x:c>
      <x:c r="G442" s="11" t="n">
        <x:v>4</x:v>
      </x:c>
      <x:c r="H442" s="11" t="n">
        <x:v>1</x:v>
      </x:c>
      <x:c r="I442" s="10" t="str">
        <x:v>Investigate a case</x:v>
      </x:c>
      <x:c r="J442" s="10" t="str">
        <x:v>Is the proposed value coming from the business, synergies or financing? Apply the question to earn-outs and contingent consideration.</x:v>
      </x:c>
      <x:c r="K442" s="13" t="str">
        <x:v>Not authored</x:v>
      </x:c>
      <x:c r="L442" s="13" t="str">
        <x:v>No</x:v>
      </x:c>
      <x:c r="M442" s="13" t="str"/>
    </x:row>
    <x:row r="443" ht="58" customHeight="1">
      <x:c r="A443" s="9" t="str">
        <x:v>T26.14</x:v>
      </x:c>
      <x:c r="B443" s="9" t="str">
        <x:v>D26</x:v>
      </x:c>
      <x:c r="C443" s="9" t="str">
        <x:v>Leveraged and management buyouts</x:v>
      </x:c>
      <x:c r="D443" s="9" t="str">
        <x:v>Specialist</x:v>
      </x:c>
      <x:c r="E443" s="9" t="str">
        <x:v>T17.03</x:v>
      </x:c>
      <x:c r="F443" s="9" t="str">
        <x:v>T26.09</x:v>
      </x:c>
      <x:c r="G443" s="12" t="n">
        <x:v>6</x:v>
      </x:c>
      <x:c r="H443" s="12" t="n">
        <x:v>3</x:v>
      </x:c>
      <x:c r="I443" s="9" t="str">
        <x:v>Investigate a case</x:v>
      </x:c>
      <x:c r="J443" s="9" t="str">
        <x:v>Is the proposed value coming from the business, synergies or financing? Apply the question to leveraged and management buyouts.</x:v>
      </x:c>
      <x:c r="K443" s="13" t="str">
        <x:v>Not authored</x:v>
      </x:c>
      <x:c r="L443" s="13" t="str">
        <x:v>No</x:v>
      </x:c>
      <x:c r="M443" s="13" t="str"/>
    </x:row>
    <x:row r="444" ht="58" customHeight="1">
      <x:c r="A444" s="10" t="str">
        <x:v>T26.15</x:v>
      </x:c>
      <x:c r="B444" s="10" t="str">
        <x:v>D26</x:v>
      </x:c>
      <x:c r="C444" s="10" t="str">
        <x:v>Divestitures, carve-outs, spin-offs, and split-offs</x:v>
      </x:c>
      <x:c r="D444" s="10" t="str">
        <x:v>Specialist</x:v>
      </x:c>
      <x:c r="E444" s="10" t="str">
        <x:v>T17.03</x:v>
      </x:c>
      <x:c r="F444" s="10" t="str">
        <x:v>T26.01</x:v>
      </x:c>
      <x:c r="G444" s="11" t="n">
        <x:v>3</x:v>
      </x:c>
      <x:c r="H444" s="11" t="n">
        <x:v>0</x:v>
      </x:c>
      <x:c r="I444" s="10" t="str">
        <x:v>Investigate a case</x:v>
      </x:c>
      <x:c r="J444" s="10" t="str">
        <x:v>Is the proposed value coming from the business, synergies or financing? Apply the question to divestitures, carve-outs, spin-offs, and split-offs.</x:v>
      </x:c>
      <x:c r="K444" s="13" t="str">
        <x:v>Not authored</x:v>
      </x:c>
      <x:c r="L444" s="13" t="str">
        <x:v>No</x:v>
      </x:c>
      <x:c r="M444" s="13" t="str"/>
    </x:row>
    <x:row r="445" ht="58" customHeight="1">
      <x:c r="A445" s="9" t="str">
        <x:v>T26.16</x:v>
      </x:c>
      <x:c r="B445" s="9" t="str">
        <x:v>D26</x:v>
      </x:c>
      <x:c r="C445" s="9" t="str">
        <x:v>Takeover defences and shareholder activism</x:v>
      </x:c>
      <x:c r="D445" s="9" t="str">
        <x:v>Specialist</x:v>
      </x:c>
      <x:c r="E445" s="9" t="str">
        <x:v>T17.03</x:v>
      </x:c>
      <x:c r="F445" s="9" t="str">
        <x:v>T26.01</x:v>
      </x:c>
      <x:c r="G445" s="12" t="n">
        <x:v>3</x:v>
      </x:c>
      <x:c r="H445" s="12" t="n">
        <x:v>0</x:v>
      </x:c>
      <x:c r="I445" s="9" t="str">
        <x:v>Investigate a case</x:v>
      </x:c>
      <x:c r="J445" s="9" t="str">
        <x:v>Is the proposed value coming from the business, synergies or financing? Apply the question to takeover defences and shareholder activism.</x:v>
      </x:c>
      <x:c r="K445" s="13" t="str">
        <x:v>Not authored</x:v>
      </x:c>
      <x:c r="L445" s="13" t="str">
        <x:v>No</x:v>
      </x:c>
      <x:c r="M445" s="13" t="str"/>
    </x:row>
    <x:row r="446" ht="58" customHeight="1">
      <x:c r="A446" s="10" t="str">
        <x:v>T26.17</x:v>
      </x:c>
      <x:c r="B446" s="10" t="str">
        <x:v>D26</x:v>
      </x:c>
      <x:c r="C446" s="10" t="str">
        <x:v>Financial restructuring and debt exchanges</x:v>
      </x:c>
      <x:c r="D446" s="10" t="str">
        <x:v>Specialist</x:v>
      </x:c>
      <x:c r="E446" s="10" t="str">
        <x:v>T17.03</x:v>
      </x:c>
      <x:c r="F446" s="10" t="str">
        <x:v>T26.18</x:v>
      </x:c>
      <x:c r="G446" s="11" t="n">
        <x:v>5</x:v>
      </x:c>
      <x:c r="H446" s="11" t="n">
        <x:v>1</x:v>
      </x:c>
      <x:c r="I446" s="10" t="str">
        <x:v>Investigate a case</x:v>
      </x:c>
      <x:c r="J446" s="10" t="str">
        <x:v>Is the proposed value coming from the business, synergies or financing? Apply the question to financial restructuring and debt exchanges.</x:v>
      </x:c>
      <x:c r="K446" s="13" t="str">
        <x:v>Not authored</x:v>
      </x:c>
      <x:c r="L446" s="13" t="str">
        <x:v>No</x:v>
      </x:c>
      <x:c r="M446" s="13" t="str"/>
    </x:row>
    <x:row r="447" ht="58" customHeight="1">
      <x:c r="A447" s="9" t="str">
        <x:v>T26.18</x:v>
      </x:c>
      <x:c r="B447" s="9" t="str">
        <x:v>D26</x:v>
      </x:c>
      <x:c r="C447" s="9" t="str">
        <x:v>Bankruptcy, insolvency, and recovery waterfalls</x:v>
      </x:c>
      <x:c r="D447" s="9" t="str">
        <x:v>Specialist</x:v>
      </x:c>
      <x:c r="E447" s="9" t="str">
        <x:v>T17.03</x:v>
      </x:c>
      <x:c r="F447" s="9" t="str">
        <x:v>T26.17</x:v>
      </x:c>
      <x:c r="G447" s="12" t="n">
        <x:v>7</x:v>
      </x:c>
      <x:c r="H447" s="12" t="n">
        <x:v>3</x:v>
      </x:c>
      <x:c r="I447" s="9" t="str">
        <x:v>Investigate a case</x:v>
      </x:c>
      <x:c r="J447" s="9" t="str">
        <x:v>Is the proposed value coming from the business, synergies or financing? Apply the question to bankruptcy, insolvency, and recovery waterfalls.</x:v>
      </x:c>
      <x:c r="K447" s="13" t="str">
        <x:v>Not authored</x:v>
      </x:c>
      <x:c r="L447" s="13" t="str">
        <x:v>No</x:v>
      </x:c>
      <x:c r="M447" s="13" t="str"/>
    </x:row>
    <x:row r="448" ht="58" customHeight="1">
      <x:c r="A448" s="10" t="str">
        <x:v>T26.19</x:v>
      </x:c>
      <x:c r="B448" s="10" t="str">
        <x:v>D26</x:v>
      </x:c>
      <x:c r="C448" s="10" t="str">
        <x:v>Post-merger integration and value tracking</x:v>
      </x:c>
      <x:c r="D448" s="10" t="str">
        <x:v>Specialist</x:v>
      </x:c>
      <x:c r="E448" s="10" t="str">
        <x:v>T17.03</x:v>
      </x:c>
      <x:c r="F448" s="10" t="str">
        <x:v>T26.07</x:v>
      </x:c>
      <x:c r="G448" s="11" t="n">
        <x:v>5</x:v>
      </x:c>
      <x:c r="H448" s="11" t="n">
        <x:v>1</x:v>
      </x:c>
      <x:c r="I448" s="10" t="str">
        <x:v>Investigate a case</x:v>
      </x:c>
      <x:c r="J448" s="10" t="str">
        <x:v>Is the proposed value coming from the business, synergies or financing? Apply the question to post-merger integration and value tracking.</x:v>
      </x:c>
      <x:c r="K448" s="13" t="str">
        <x:v>Not authored</x:v>
      </x:c>
      <x:c r="L448" s="13" t="str">
        <x:v>No</x:v>
      </x:c>
      <x:c r="M448" s="13" t="str"/>
    </x:row>
    <x:row r="449" ht="58" customHeight="1">
      <x:c r="A449" s="9" t="str">
        <x:v>T27.01</x:v>
      </x:c>
      <x:c r="B449" s="9" t="str">
        <x:v>D27</x:v>
      </x:c>
      <x:c r="C449" s="9" t="str">
        <x:v>Bootstrapping and startup cash management</x:v>
      </x:c>
      <x:c r="D449" s="9" t="str">
        <x:v>Specialist</x:v>
      </x:c>
      <x:c r="E449" s="9" t="str">
        <x:v>T11.01</x:v>
      </x:c>
      <x:c r="F449" s="9" t="str">
        <x:v>T27.03</x:v>
      </x:c>
      <x:c r="G449" s="12" t="n">
        <x:v>4</x:v>
      </x:c>
      <x:c r="H449" s="12" t="n">
        <x:v>0</x:v>
      </x:c>
      <x:c r="I449" s="9" t="str">
        <x:v>Compare scenarios</x:v>
      </x:c>
      <x:c r="J449" s="9" t="str">
        <x:v>How long can this startup operate and who owns it after the next round? Apply the question to bootstrapping and startup cash management.</x:v>
      </x:c>
      <x:c r="K449" s="13" t="str">
        <x:v>Not authored</x:v>
      </x:c>
      <x:c r="L449" s="13" t="str">
        <x:v>No</x:v>
      </x:c>
      <x:c r="M449" s="13" t="str"/>
    </x:row>
    <x:row r="450" ht="58" customHeight="1">
      <x:c r="A450" s="10" t="str">
        <x:v>T27.02</x:v>
      </x:c>
      <x:c r="B450" s="10" t="str">
        <x:v>D27</x:v>
      </x:c>
      <x:c r="C450" s="10" t="str">
        <x:v>Business models and startup financial plans</x:v>
      </x:c>
      <x:c r="D450" s="10" t="str">
        <x:v>Specialist</x:v>
      </x:c>
      <x:c r="E450" s="10" t="str">
        <x:v>T11.01</x:v>
      </x:c>
      <x:c r="F450" s="10" t="str">
        <x:v>T27.15</x:v>
      </x:c>
      <x:c r="G450" s="11" t="n">
        <x:v>4</x:v>
      </x:c>
      <x:c r="H450" s="11" t="n">
        <x:v>0</x:v>
      </x:c>
      <x:c r="I450" s="10" t="str">
        <x:v>Compare scenarios</x:v>
      </x:c>
      <x:c r="J450" s="10" t="str">
        <x:v>How long can this startup operate and who owns it after the next round? Apply the question to business models and startup financial plans.</x:v>
      </x:c>
      <x:c r="K450" s="13" t="str">
        <x:v>Not authored</x:v>
      </x:c>
      <x:c r="L450" s="13" t="str">
        <x:v>No</x:v>
      </x:c>
      <x:c r="M450" s="13" t="str"/>
    </x:row>
    <x:row r="451" ht="58" customHeight="1">
      <x:c r="A451" s="9" t="str">
        <x:v>T27.03</x:v>
      </x:c>
      <x:c r="B451" s="9" t="str">
        <x:v>D27</x:v>
      </x:c>
      <x:c r="C451" s="9" t="str">
        <x:v>Burn rate, net burn, and runway</x:v>
      </x:c>
      <x:c r="D451" s="9" t="str">
        <x:v>Specialist</x:v>
      </x:c>
      <x:c r="E451" s="9" t="str">
        <x:v>T11.01</x:v>
      </x:c>
      <x:c r="F451" s="9" t="str">
        <x:v>T27.01</x:v>
      </x:c>
      <x:c r="G451" s="12" t="n">
        <x:v>6</x:v>
      </x:c>
      <x:c r="H451" s="12" t="n">
        <x:v>1</x:v>
      </x:c>
      <x:c r="I451" s="9" t="str">
        <x:v>Compare scenarios</x:v>
      </x:c>
      <x:c r="J451" s="9" t="str">
        <x:v>How long can this startup operate and who owns it after the next round? Apply the question to burn rate, net burn, and runway.</x:v>
      </x:c>
      <x:c r="K451" s="13" t="str">
        <x:v>Not authored</x:v>
      </x:c>
      <x:c r="L451" s="13" t="str">
        <x:v>No</x:v>
      </x:c>
      <x:c r="M451" s="13" t="str"/>
    </x:row>
    <x:row r="452" ht="58" customHeight="1">
      <x:c r="A452" s="10" t="str">
        <x:v>T27.04</x:v>
      </x:c>
      <x:c r="B452" s="10" t="str">
        <x:v>D27</x:v>
      </x:c>
      <x:c r="C452" s="10" t="str">
        <x:v>Product-market fit and financing milestones</x:v>
      </x:c>
      <x:c r="D452" s="10" t="str">
        <x:v>Specialist</x:v>
      </x:c>
      <x:c r="E452" s="10" t="str">
        <x:v>T11.01</x:v>
      </x:c>
      <x:c r="F452" s="10" t="str">
        <x:v>T27.05</x:v>
      </x:c>
      <x:c r="G452" s="11" t="n">
        <x:v>3</x:v>
      </x:c>
      <x:c r="H452" s="11" t="n">
        <x:v>0</x:v>
      </x:c>
      <x:c r="I452" s="10" t="str">
        <x:v>Compare scenarios</x:v>
      </x:c>
      <x:c r="J452" s="10" t="str">
        <x:v>How long can this startup operate and who owns it after the next round? Apply the question to product-market fit and financing milestones.</x:v>
      </x:c>
      <x:c r="K452" s="13" t="str">
        <x:v>Not authored</x:v>
      </x:c>
      <x:c r="L452" s="13" t="str">
        <x:v>No</x:v>
      </x:c>
      <x:c r="M452" s="13" t="str"/>
    </x:row>
    <x:row r="453" ht="58" customHeight="1">
      <x:c r="A453" s="9" t="str">
        <x:v>T27.05</x:v>
      </x:c>
      <x:c r="B453" s="9" t="str">
        <x:v>D27</x:v>
      </x:c>
      <x:c r="C453" s="9" t="str">
        <x:v>Angel, seed, venture, and growth funding</x:v>
      </x:c>
      <x:c r="D453" s="9" t="str">
        <x:v>Specialist</x:v>
      </x:c>
      <x:c r="E453" s="9" t="str">
        <x:v>T11.01</x:v>
      </x:c>
      <x:c r="F453" s="9" t="str">
        <x:v>T27.09</x:v>
      </x:c>
      <x:c r="G453" s="12" t="n">
        <x:v>6</x:v>
      </x:c>
      <x:c r="H453" s="12" t="n">
        <x:v>1</x:v>
      </x:c>
      <x:c r="I453" s="9" t="str">
        <x:v>Compare scenarios</x:v>
      </x:c>
      <x:c r="J453" s="9" t="str">
        <x:v>How long can this startup operate and who owns it after the next round? Apply the question to angel, seed, venture, and growth funding.</x:v>
      </x:c>
      <x:c r="K453" s="13" t="str">
        <x:v>Not authored</x:v>
      </x:c>
      <x:c r="L453" s="13" t="str">
        <x:v>No</x:v>
      </x:c>
      <x:c r="M453" s="13" t="str"/>
    </x:row>
    <x:row r="454" ht="58" customHeight="1">
      <x:c r="A454" s="10" t="str">
        <x:v>T27.06</x:v>
      </x:c>
      <x:c r="B454" s="10" t="str">
        <x:v>D27</x:v>
      </x:c>
      <x:c r="C454" s="10" t="str">
        <x:v>Cap tables and dilution</x:v>
      </x:c>
      <x:c r="D454" s="10" t="str">
        <x:v>Specialist</x:v>
      </x:c>
      <x:c r="E454" s="10" t="str">
        <x:v>T11.01</x:v>
      </x:c>
      <x:c r="F454" s="10" t="str">
        <x:v>T27.07</x:v>
      </x:c>
      <x:c r="G454" s="11" t="n">
        <x:v>12</x:v>
      </x:c>
      <x:c r="H454" s="11" t="n">
        <x:v>4</x:v>
      </x:c>
      <x:c r="I454" s="10" t="str">
        <x:v>Compare scenarios</x:v>
      </x:c>
      <x:c r="J454" s="10" t="str">
        <x:v>How long can this startup operate and who owns it after the next round? Apply the question to cap tables and dilution.</x:v>
      </x:c>
      <x:c r="K454" s="13" t="str">
        <x:v>Not authored</x:v>
      </x:c>
      <x:c r="L454" s="13" t="str">
        <x:v>No</x:v>
      </x:c>
      <x:c r="M454" s="13" t="str"/>
    </x:row>
    <x:row r="455" ht="58" customHeight="1">
      <x:c r="A455" s="9" t="str">
        <x:v>T27.07</x:v>
      </x:c>
      <x:c r="B455" s="9" t="str">
        <x:v>D27</x:v>
      </x:c>
      <x:c r="C455" s="9" t="str">
        <x:v>Pre-money and post-money valuation</x:v>
      </x:c>
      <x:c r="D455" s="9" t="str">
        <x:v>Specialist</x:v>
      </x:c>
      <x:c r="E455" s="9" t="str">
        <x:v>T11.01, T27.06</x:v>
      </x:c>
      <x:c r="F455" s="9" t="str">
        <x:v>T27.06</x:v>
      </x:c>
      <x:c r="G455" s="12" t="n">
        <x:v>7</x:v>
      </x:c>
      <x:c r="H455" s="12" t="n">
        <x:v>1</x:v>
      </x:c>
      <x:c r="I455" s="9" t="str">
        <x:v>Compare scenarios</x:v>
      </x:c>
      <x:c r="J455" s="9" t="str">
        <x:v>How long can this startup operate and who owns it after the next round? Apply the question to pre-money and post-money valuation.</x:v>
      </x:c>
      <x:c r="K455" s="13" t="str">
        <x:v>Not authored</x:v>
      </x:c>
      <x:c r="L455" s="13" t="str">
        <x:v>No</x:v>
      </x:c>
      <x:c r="M455" s="13" t="str"/>
    </x:row>
    <x:row r="456" ht="58" customHeight="1">
      <x:c r="A456" s="10" t="str">
        <x:v>T27.08</x:v>
      </x:c>
      <x:c r="B456" s="10" t="str">
        <x:v>D27</x:v>
      </x:c>
      <x:c r="C456" s="10" t="str">
        <x:v>Convertible notes and SAFE-type instruments</x:v>
      </x:c>
      <x:c r="D456" s="10" t="str">
        <x:v>Specialist</x:v>
      </x:c>
      <x:c r="E456" s="10" t="str">
        <x:v>T11.01</x:v>
      </x:c>
      <x:c r="F456" s="10" t="str">
        <x:v>T27.09</x:v>
      </x:c>
      <x:c r="G456" s="11" t="n">
        <x:v>4</x:v>
      </x:c>
      <x:c r="H456" s="11" t="n">
        <x:v>1</x:v>
      </x:c>
      <x:c r="I456" s="10" t="str">
        <x:v>Compare scenarios</x:v>
      </x:c>
      <x:c r="J456" s="10" t="str">
        <x:v>How long can this startup operate and who owns it after the next round? Apply the question to convertible notes and safe-type instruments.</x:v>
      </x:c>
      <x:c r="K456" s="13" t="str">
        <x:v>Not authored</x:v>
      </x:c>
      <x:c r="L456" s="13" t="str">
        <x:v>No</x:v>
      </x:c>
      <x:c r="M456" s="13" t="str"/>
    </x:row>
    <x:row r="457" ht="58" customHeight="1">
      <x:c r="A457" s="9" t="str">
        <x:v>T27.09</x:v>
      </x:c>
      <x:c r="B457" s="9" t="str">
        <x:v>D27</x:v>
      </x:c>
      <x:c r="C457" s="9" t="str">
        <x:v>Term sheets</x:v>
      </x:c>
      <x:c r="D457" s="9" t="str">
        <x:v>Specialist</x:v>
      </x:c>
      <x:c r="E457" s="9" t="str">
        <x:v>T11.01</x:v>
      </x:c>
      <x:c r="F457" s="9" t="str">
        <x:v>T27.10</x:v>
      </x:c>
      <x:c r="G457" s="12" t="n">
        <x:v>7</x:v>
      </x:c>
      <x:c r="H457" s="12" t="n">
        <x:v>1</x:v>
      </x:c>
      <x:c r="I457" s="9" t="str">
        <x:v>Compare scenarios</x:v>
      </x:c>
      <x:c r="J457" s="9" t="str">
        <x:v>How long can this startup operate and who owns it after the next round? Apply the question to term sheets.</x:v>
      </x:c>
      <x:c r="K457" s="13" t="str">
        <x:v>Not authored</x:v>
      </x:c>
      <x:c r="L457" s="13" t="str">
        <x:v>No</x:v>
      </x:c>
      <x:c r="M457" s="13" t="str"/>
    </x:row>
    <x:row r="458" ht="58" customHeight="1">
      <x:c r="A458" s="10" t="str">
        <x:v>T27.10</x:v>
      </x:c>
      <x:c r="B458" s="10" t="str">
        <x:v>D27</x:v>
      </x:c>
      <x:c r="C458" s="10" t="str">
        <x:v>Liquidation preferences and participation rights</x:v>
      </x:c>
      <x:c r="D458" s="10" t="str">
        <x:v>Specialist</x:v>
      </x:c>
      <x:c r="E458" s="10" t="str">
        <x:v>T11.01, T27.09</x:v>
      </x:c>
      <x:c r="F458" s="10" t="str">
        <x:v>T27.17</x:v>
      </x:c>
      <x:c r="G458" s="11" t="n">
        <x:v>7</x:v>
      </x:c>
      <x:c r="H458" s="11" t="n">
        <x:v>1</x:v>
      </x:c>
      <x:c r="I458" s="10" t="str">
        <x:v>Compare scenarios</x:v>
      </x:c>
      <x:c r="J458" s="10" t="str">
        <x:v>How long can this startup operate and who owns it after the next round? Apply the question to liquidation preferences and participation rights.</x:v>
      </x:c>
      <x:c r="K458" s="13" t="str">
        <x:v>Not authored</x:v>
      </x:c>
      <x:c r="L458" s="13" t="str">
        <x:v>No</x:v>
      </x:c>
      <x:c r="M458" s="13" t="str"/>
    </x:row>
    <x:row r="459" ht="58" customHeight="1">
      <x:c r="A459" s="9" t="str">
        <x:v>T27.11</x:v>
      </x:c>
      <x:c r="B459" s="9" t="str">
        <x:v>D27</x:v>
      </x:c>
      <x:c r="C459" s="9" t="str">
        <x:v>Anti-dilution provisions</x:v>
      </x:c>
      <x:c r="D459" s="9" t="str">
        <x:v>Specialist</x:v>
      </x:c>
      <x:c r="E459" s="9" t="str">
        <x:v>T11.01, T27.06</x:v>
      </x:c>
      <x:c r="F459" s="9" t="str">
        <x:v>T27.06</x:v>
      </x:c>
      <x:c r="G459" s="12" t="n">
        <x:v>5</x:v>
      </x:c>
      <x:c r="H459" s="12" t="n">
        <x:v>1</x:v>
      </x:c>
      <x:c r="I459" s="9" t="str">
        <x:v>Compare scenarios</x:v>
      </x:c>
      <x:c r="J459" s="9" t="str">
        <x:v>How long can this startup operate and who owns it after the next round? Apply the question to anti-dilution provisions.</x:v>
      </x:c>
      <x:c r="K459" s="13" t="str">
        <x:v>Not authored</x:v>
      </x:c>
      <x:c r="L459" s="13" t="str">
        <x:v>No</x:v>
      </x:c>
      <x:c r="M459" s="13" t="str"/>
    </x:row>
    <x:row r="460" ht="58" customHeight="1">
      <x:c r="A460" s="10" t="str">
        <x:v>T27.12</x:v>
      </x:c>
      <x:c r="B460" s="10" t="str">
        <x:v>D27</x:v>
      </x:c>
      <x:c r="C460" s="10" t="str">
        <x:v>Founder vesting and employee stock options</x:v>
      </x:c>
      <x:c r="D460" s="10" t="str">
        <x:v>Specialist</x:v>
      </x:c>
      <x:c r="E460" s="10" t="str">
        <x:v>T11.01</x:v>
      </x:c>
      <x:c r="F460" s="10" t="str">
        <x:v>T27.06</x:v>
      </x:c>
      <x:c r="G460" s="11" t="n">
        <x:v>5</x:v>
      </x:c>
      <x:c r="H460" s="11" t="n">
        <x:v>2</x:v>
      </x:c>
      <x:c r="I460" s="10" t="str">
        <x:v>Compare scenarios</x:v>
      </x:c>
      <x:c r="J460" s="10" t="str">
        <x:v>How long can this startup operate and who owns it after the next round? Apply the question to founder vesting and employee stock options.</x:v>
      </x:c>
      <x:c r="K460" s="13" t="str">
        <x:v>Not authored</x:v>
      </x:c>
      <x:c r="L460" s="13" t="str">
        <x:v>No</x:v>
      </x:c>
      <x:c r="M460" s="13" t="str"/>
    </x:row>
    <x:row r="461" ht="58" customHeight="1">
      <x:c r="A461" s="9" t="str">
        <x:v>T27.13</x:v>
      </x:c>
      <x:c r="B461" s="9" t="str">
        <x:v>D27</x:v>
      </x:c>
      <x:c r="C461" s="9" t="str">
        <x:v>Venture debt</x:v>
      </x:c>
      <x:c r="D461" s="9" t="str">
        <x:v>Specialist</x:v>
      </x:c>
      <x:c r="E461" s="9" t="str">
        <x:v>T11.01</x:v>
      </x:c>
      <x:c r="F461" s="9" t="str">
        <x:v>T27.03</x:v>
      </x:c>
      <x:c r="G461" s="12" t="n">
        <x:v>4</x:v>
      </x:c>
      <x:c r="H461" s="12" t="n">
        <x:v>1</x:v>
      </x:c>
      <x:c r="I461" s="9" t="str">
        <x:v>Compare scenarios</x:v>
      </x:c>
      <x:c r="J461" s="9" t="str">
        <x:v>How long can this startup operate and who owns it after the next round? Apply the question to venture debt.</x:v>
      </x:c>
      <x:c r="K461" s="13" t="str">
        <x:v>Not authored</x:v>
      </x:c>
      <x:c r="L461" s="13" t="str">
        <x:v>No</x:v>
      </x:c>
      <x:c r="M461" s="13" t="str"/>
    </x:row>
    <x:row r="462" ht="58" customHeight="1">
      <x:c r="A462" s="10" t="str">
        <x:v>T27.14</x:v>
      </x:c>
      <x:c r="B462" s="10" t="str">
        <x:v>D27</x:v>
      </x:c>
      <x:c r="C462" s="10" t="str">
        <x:v>Fundraising strategy and investor communication</x:v>
      </x:c>
      <x:c r="D462" s="10" t="str">
        <x:v>Specialist</x:v>
      </x:c>
      <x:c r="E462" s="10" t="str">
        <x:v>T11.01</x:v>
      </x:c>
      <x:c r="F462" s="10" t="str">
        <x:v>T27.05</x:v>
      </x:c>
      <x:c r="G462" s="11" t="n">
        <x:v>3</x:v>
      </x:c>
      <x:c r="H462" s="11" t="n">
        <x:v>0</x:v>
      </x:c>
      <x:c r="I462" s="10" t="str">
        <x:v>Compare scenarios</x:v>
      </x:c>
      <x:c r="J462" s="10" t="str">
        <x:v>How long can this startup operate and who owns it after the next round? Apply the question to fundraising strategy and investor communication.</x:v>
      </x:c>
      <x:c r="K462" s="13" t="str">
        <x:v>Not authored</x:v>
      </x:c>
      <x:c r="L462" s="13" t="str">
        <x:v>No</x:v>
      </x:c>
      <x:c r="M462" s="13" t="str"/>
    </x:row>
    <x:row r="463" ht="58" customHeight="1">
      <x:c r="A463" s="9" t="str">
        <x:v>T27.15</x:v>
      </x:c>
      <x:c r="B463" s="9" t="str">
        <x:v>D27</x:v>
      </x:c>
      <x:c r="C463" s="9" t="str">
        <x:v>SaaS, marketplace, consumer, and fintech economics</x:v>
      </x:c>
      <x:c r="D463" s="9" t="str">
        <x:v>Specialist</x:v>
      </x:c>
      <x:c r="E463" s="9" t="str">
        <x:v>T11.01</x:v>
      </x:c>
      <x:c r="F463" s="9" t="str">
        <x:v>T27.02</x:v>
      </x:c>
      <x:c r="G463" s="12" t="n">
        <x:v>6</x:v>
      </x:c>
      <x:c r="H463" s="12" t="n">
        <x:v>2</x:v>
      </x:c>
      <x:c r="I463" s="9" t="str">
        <x:v>Compare scenarios</x:v>
      </x:c>
      <x:c r="J463" s="9" t="str">
        <x:v>How long can this startup operate and who owns it after the next round? Apply the question to saas, marketplace, consumer, and fintech economics.</x:v>
      </x:c>
      <x:c r="K463" s="13" t="str">
        <x:v>Not authored</x:v>
      </x:c>
      <x:c r="L463" s="13" t="str">
        <x:v>No</x:v>
      </x:c>
      <x:c r="M463" s="13" t="str"/>
    </x:row>
    <x:row r="464" ht="58" customHeight="1">
      <x:c r="A464" s="10" t="str">
        <x:v>T27.16</x:v>
      </x:c>
      <x:c r="B464" s="10" t="str">
        <x:v>D27</x:v>
      </x:c>
      <x:c r="C464" s="10" t="str">
        <x:v>Down rounds, bridge rounds, and recapitalisation</x:v>
      </x:c>
      <x:c r="D464" s="10" t="str">
        <x:v>Specialist</x:v>
      </x:c>
      <x:c r="E464" s="10" t="str">
        <x:v>T11.01</x:v>
      </x:c>
      <x:c r="F464" s="10" t="str">
        <x:v>T27.07</x:v>
      </x:c>
      <x:c r="G464" s="11" t="n">
        <x:v>4</x:v>
      </x:c>
      <x:c r="H464" s="11" t="n">
        <x:v>1</x:v>
      </x:c>
      <x:c r="I464" s="10" t="str">
        <x:v>Compare scenarios</x:v>
      </x:c>
      <x:c r="J464" s="10" t="str">
        <x:v>How long can this startup operate and who owns it after the next round? Apply the question to down rounds, bridge rounds, and recapitalisation.</x:v>
      </x:c>
      <x:c r="K464" s="13" t="str">
        <x:v>Not authored</x:v>
      </x:c>
      <x:c r="L464" s="13" t="str">
        <x:v>No</x:v>
      </x:c>
      <x:c r="M464" s="13" t="str"/>
    </x:row>
    <x:row r="465" ht="58" customHeight="1">
      <x:c r="A465" s="9" t="str">
        <x:v>T27.17</x:v>
      </x:c>
      <x:c r="B465" s="9" t="str">
        <x:v>D27</x:v>
      </x:c>
      <x:c r="C465" s="9" t="str">
        <x:v>Exit routes and exit waterfalls</x:v>
      </x:c>
      <x:c r="D465" s="9" t="str">
        <x:v>Specialist</x:v>
      </x:c>
      <x:c r="E465" s="9" t="str">
        <x:v>T11.01</x:v>
      </x:c>
      <x:c r="F465" s="9" t="str">
        <x:v>T27.10</x:v>
      </x:c>
      <x:c r="G465" s="12" t="n">
        <x:v>7</x:v>
      </x:c>
      <x:c r="H465" s="12" t="n">
        <x:v>3</x:v>
      </x:c>
      <x:c r="I465" s="9" t="str">
        <x:v>Compare scenarios</x:v>
      </x:c>
      <x:c r="J465" s="9" t="str">
        <x:v>How long can this startup operate and who owns it after the next round? Apply the question to exit routes and exit waterfalls.</x:v>
      </x:c>
      <x:c r="K465" s="13" t="str">
        <x:v>Not authored</x:v>
      </x:c>
      <x:c r="L465" s="13" t="str">
        <x:v>No</x:v>
      </x:c>
      <x:c r="M465" s="13" t="str"/>
    </x:row>
    <x:row r="466" ht="58" customHeight="1">
      <x:c r="A466" s="10" t="str">
        <x:v>T28.01</x:v>
      </x:c>
      <x:c r="B466" s="10" t="str">
        <x:v>D28</x:v>
      </x:c>
      <x:c r="C466" s="10" t="str">
        <x:v>Property types and real estate investment models</x:v>
      </x:c>
      <x:c r="D466" s="10" t="str">
        <x:v>Specialist</x:v>
      </x:c>
      <x:c r="E466" s="10" t="str">
        <x:v>T03.01</x:v>
      </x:c>
      <x:c r="F466" s="10" t="str">
        <x:v>T28.04</x:v>
      </x:c>
      <x:c r="G466" s="11" t="n">
        <x:v>3</x:v>
      </x:c>
      <x:c r="H466" s="11" t="n">
        <x:v>0</x:v>
      </x:c>
      <x:c r="I466" s="10" t="str">
        <x:v>Inspect a calculation</x:v>
      </x:c>
      <x:c r="J466" s="10" t="str">
        <x:v>Does this asset generate enough cash when the debt payments fall due? Apply the question to property types and real estate investment models.</x:v>
      </x:c>
      <x:c r="K466" s="13" t="str">
        <x:v>Not authored</x:v>
      </x:c>
      <x:c r="L466" s="13" t="str">
        <x:v>No</x:v>
      </x:c>
      <x:c r="M466" s="13" t="str"/>
    </x:row>
    <x:row r="467" ht="58" customHeight="1">
      <x:c r="A467" s="9" t="str">
        <x:v>T28.02</x:v>
      </x:c>
      <x:c r="B467" s="9" t="str">
        <x:v>D28</x:v>
      </x:c>
      <x:c r="C467" s="9" t="str">
        <x:v>Rental income, vacancy, and operating expenses</x:v>
      </x:c>
      <x:c r="D467" s="9" t="str">
        <x:v>Specialist</x:v>
      </x:c>
      <x:c r="E467" s="9" t="str">
        <x:v>T03.01</x:v>
      </x:c>
      <x:c r="F467" s="9" t="str">
        <x:v>T28.03</x:v>
      </x:c>
      <x:c r="G467" s="12" t="n">
        <x:v>5</x:v>
      </x:c>
      <x:c r="H467" s="12" t="n">
        <x:v>1</x:v>
      </x:c>
      <x:c r="I467" s="9" t="str">
        <x:v>Inspect a calculation</x:v>
      </x:c>
      <x:c r="J467" s="9" t="str">
        <x:v>Does this asset generate enough cash when the debt payments fall due? Apply the question to rental income, vacancy, and operating expenses.</x:v>
      </x:c>
      <x:c r="K467" s="13" t="str">
        <x:v>Not authored</x:v>
      </x:c>
      <x:c r="L467" s="13" t="str">
        <x:v>No</x:v>
      </x:c>
      <x:c r="M467" s="13" t="str"/>
    </x:row>
    <x:row r="468" ht="58" customHeight="1">
      <x:c r="A468" s="10" t="str">
        <x:v>T28.03</x:v>
      </x:c>
      <x:c r="B468" s="10" t="str">
        <x:v>D28</x:v>
      </x:c>
      <x:c r="C468" s="10" t="str">
        <x:v>Net operating income and capitalisation rates</x:v>
      </x:c>
      <x:c r="D468" s="10" t="str">
        <x:v>Specialist</x:v>
      </x:c>
      <x:c r="E468" s="10" t="str">
        <x:v>T03.01, T28.02</x:v>
      </x:c>
      <x:c r="F468" s="10" t="str">
        <x:v>T28.04</x:v>
      </x:c>
      <x:c r="G468" s="11" t="n">
        <x:v>9</x:v>
      </x:c>
      <x:c r="H468" s="11" t="n">
        <x:v>2</x:v>
      </x:c>
      <x:c r="I468" s="10" t="str">
        <x:v>Inspect a calculation</x:v>
      </x:c>
      <x:c r="J468" s="10" t="str">
        <x:v>Does this asset generate enough cash when the debt payments fall due? Apply the question to net operating income and capitalisation rates.</x:v>
      </x:c>
      <x:c r="K468" s="13" t="str">
        <x:v>Not authored</x:v>
      </x:c>
      <x:c r="L468" s="13" t="str">
        <x:v>No</x:v>
      </x:c>
      <x:c r="M468" s="13" t="str"/>
    </x:row>
    <x:row r="469" ht="58" customHeight="1">
      <x:c r="A469" s="9" t="str">
        <x:v>T28.04</x:v>
      </x:c>
      <x:c r="B469" s="9" t="str">
        <x:v>D28</x:v>
      </x:c>
      <x:c r="C469" s="9" t="str">
        <x:v>Property valuation</x:v>
      </x:c>
      <x:c r="D469" s="9" t="str">
        <x:v>Specialist</x:v>
      </x:c>
      <x:c r="E469" s="9" t="str">
        <x:v>T03.01, T28.03</x:v>
      </x:c>
      <x:c r="F469" s="9" t="str">
        <x:v>T28.03</x:v>
      </x:c>
      <x:c r="G469" s="12" t="n">
        <x:v>11</x:v>
      </x:c>
      <x:c r="H469" s="12" t="n">
        <x:v>4</x:v>
      </x:c>
      <x:c r="I469" s="9" t="str">
        <x:v>Inspect a calculation</x:v>
      </x:c>
      <x:c r="J469" s="9" t="str">
        <x:v>Does this asset generate enough cash when the debt payments fall due? Apply the question to property valuation.</x:v>
      </x:c>
      <x:c r="K469" s="13" t="str">
        <x:v>Not authored</x:v>
      </x:c>
      <x:c r="L469" s="13" t="str">
        <x:v>No</x:v>
      </x:c>
      <x:c r="M469" s="13" t="str"/>
    </x:row>
    <x:row r="470" ht="58" customHeight="1">
      <x:c r="A470" s="10" t="str">
        <x:v>T28.05</x:v>
      </x:c>
      <x:c r="B470" s="10" t="str">
        <x:v>D28</x:v>
      </x:c>
      <x:c r="C470" s="10" t="str">
        <x:v>Development feasibility and construction cash flows</x:v>
      </x:c>
      <x:c r="D470" s="10" t="str">
        <x:v>Specialist</x:v>
      </x:c>
      <x:c r="E470" s="10" t="str">
        <x:v>T03.01</x:v>
      </x:c>
      <x:c r="F470" s="10" t="str">
        <x:v>T28.12</x:v>
      </x:c>
      <x:c r="G470" s="11" t="n">
        <x:v>6</x:v>
      </x:c>
      <x:c r="H470" s="11" t="n">
        <x:v>2</x:v>
      </x:c>
      <x:c r="I470" s="10" t="str">
        <x:v>Inspect a calculation</x:v>
      </x:c>
      <x:c r="J470" s="10" t="str">
        <x:v>Does this asset generate enough cash when the debt payments fall due? Apply the question to development feasibility and construction cash flows.</x:v>
      </x:c>
      <x:c r="K470" s="13" t="str">
        <x:v>Not authored</x:v>
      </x:c>
      <x:c r="L470" s="13" t="str">
        <x:v>No</x:v>
      </x:c>
      <x:c r="M470" s="13" t="str"/>
    </x:row>
    <x:row r="471" ht="58" customHeight="1">
      <x:c r="A471" s="9" t="str">
        <x:v>T28.06</x:v>
      </x:c>
      <x:c r="B471" s="9" t="str">
        <x:v>D28</x:v>
      </x:c>
      <x:c r="C471" s="9" t="str">
        <x:v>Mortgage structures and amortisation</x:v>
      </x:c>
      <x:c r="D471" s="9" t="str">
        <x:v>Specialist</x:v>
      </x:c>
      <x:c r="E471" s="9" t="str">
        <x:v>T03.01</x:v>
      </x:c>
      <x:c r="F471" s="9" t="str">
        <x:v>T28.07</x:v>
      </x:c>
      <x:c r="G471" s="12" t="n">
        <x:v>4</x:v>
      </x:c>
      <x:c r="H471" s="12" t="n">
        <x:v>1</x:v>
      </x:c>
      <x:c r="I471" s="9" t="str">
        <x:v>Inspect a calculation</x:v>
      </x:c>
      <x:c r="J471" s="9" t="str">
        <x:v>Does this asset generate enough cash when the debt payments fall due? Apply the question to mortgage structures and amortisation.</x:v>
      </x:c>
      <x:c r="K471" s="13" t="str">
        <x:v>Not authored</x:v>
      </x:c>
      <x:c r="L471" s="13" t="str">
        <x:v>No</x:v>
      </x:c>
      <x:c r="M471" s="13" t="str"/>
    </x:row>
    <x:row r="472" ht="58" customHeight="1">
      <x:c r="A472" s="10" t="str">
        <x:v>T28.07</x:v>
      </x:c>
      <x:c r="B472" s="10" t="str">
        <x:v>D28</x:v>
      </x:c>
      <x:c r="C472" s="10" t="str">
        <x:v>Loan-to-value, debt yield, and debt service coverage</x:v>
      </x:c>
      <x:c r="D472" s="10" t="str">
        <x:v>Specialist</x:v>
      </x:c>
      <x:c r="E472" s="10" t="str">
        <x:v>T03.01</x:v>
      </x:c>
      <x:c r="F472" s="10" t="str">
        <x:v>T28.15</x:v>
      </x:c>
      <x:c r="G472" s="11" t="n">
        <x:v>5</x:v>
      </x:c>
      <x:c r="H472" s="11" t="n">
        <x:v>1</x:v>
      </x:c>
      <x:c r="I472" s="10" t="str">
        <x:v>Inspect a calculation</x:v>
      </x:c>
      <x:c r="J472" s="10" t="str">
        <x:v>Does this asset generate enough cash when the debt payments fall due? Apply the question to loan-to-value, debt yield, and debt service coverage.</x:v>
      </x:c>
      <x:c r="K472" s="13" t="str">
        <x:v>Not authored</x:v>
      </x:c>
      <x:c r="L472" s="13" t="str">
        <x:v>No</x:v>
      </x:c>
      <x:c r="M472" s="13" t="str"/>
    </x:row>
    <x:row r="473" ht="58" customHeight="1">
      <x:c r="A473" s="9" t="str">
        <x:v>T28.08</x:v>
      </x:c>
      <x:c r="B473" s="9" t="str">
        <x:v>D28</x:v>
      </x:c>
      <x:c r="C473" s="9" t="str">
        <x:v>Levered and unlevered property returns</x:v>
      </x:c>
      <x:c r="D473" s="9" t="str">
        <x:v>Specialist</x:v>
      </x:c>
      <x:c r="E473" s="9" t="str">
        <x:v>T03.01</x:v>
      </x:c>
      <x:c r="F473" s="9" t="str">
        <x:v>T28.04</x:v>
      </x:c>
      <x:c r="G473" s="12" t="n">
        <x:v>5</x:v>
      </x:c>
      <x:c r="H473" s="12" t="n">
        <x:v>1</x:v>
      </x:c>
      <x:c r="I473" s="9" t="str">
        <x:v>Inspect a calculation</x:v>
      </x:c>
      <x:c r="J473" s="9" t="str">
        <x:v>Does this asset generate enough cash when the debt payments fall due? Apply the question to levered and unlevered property returns.</x:v>
      </x:c>
      <x:c r="K473" s="13" t="str">
        <x:v>Not authored</x:v>
      </x:c>
      <x:c r="L473" s="13" t="str">
        <x:v>No</x:v>
      </x:c>
      <x:c r="M473" s="13" t="str"/>
    </x:row>
    <x:row r="474" ht="58" customHeight="1">
      <x:c r="A474" s="10" t="str">
        <x:v>T28.09</x:v>
      </x:c>
      <x:c r="B474" s="10" t="str">
        <x:v>D28</x:v>
      </x:c>
      <x:c r="C474" s="10" t="str">
        <x:v>Real estate investment waterfalls</x:v>
      </x:c>
      <x:c r="D474" s="10" t="str">
        <x:v>Specialist</x:v>
      </x:c>
      <x:c r="E474" s="10" t="str">
        <x:v>T03.01</x:v>
      </x:c>
      <x:c r="F474" s="10" t="str">
        <x:v>T28.17</x:v>
      </x:c>
      <x:c r="G474" s="11" t="n">
        <x:v>4</x:v>
      </x:c>
      <x:c r="H474" s="11" t="n">
        <x:v>1</x:v>
      </x:c>
      <x:c r="I474" s="10" t="str">
        <x:v>Inspect a calculation</x:v>
      </x:c>
      <x:c r="J474" s="10" t="str">
        <x:v>Does this asset generate enough cash when the debt payments fall due? Apply the question to real estate investment waterfalls.</x:v>
      </x:c>
      <x:c r="K474" s="13" t="str">
        <x:v>Not authored</x:v>
      </x:c>
      <x:c r="L474" s="13" t="str">
        <x:v>No</x:v>
      </x:c>
      <x:c r="M474" s="13" t="str"/>
    </x:row>
    <x:row r="475" ht="58" customHeight="1">
      <x:c r="A475" s="9" t="str">
        <x:v>T28.10</x:v>
      </x:c>
      <x:c r="B475" s="9" t="str">
        <x:v>D28</x:v>
      </x:c>
      <x:c r="C475" s="9" t="str">
        <x:v>Project finance versus corporate finance</x:v>
      </x:c>
      <x:c r="D475" s="9" t="str">
        <x:v>Specialist</x:v>
      </x:c>
      <x:c r="E475" s="9" t="str">
        <x:v>T03.01</x:v>
      </x:c>
      <x:c r="F475" s="9" t="str">
        <x:v>T28.11</x:v>
      </x:c>
      <x:c r="G475" s="12" t="n">
        <x:v>6</x:v>
      </x:c>
      <x:c r="H475" s="12" t="n">
        <x:v>1</x:v>
      </x:c>
      <x:c r="I475" s="9" t="str">
        <x:v>Inspect a calculation</x:v>
      </x:c>
      <x:c r="J475" s="9" t="str">
        <x:v>Does this asset generate enough cash when the debt payments fall due? Apply the question to project finance versus corporate finance.</x:v>
      </x:c>
      <x:c r="K475" s="13" t="str">
        <x:v>Not authored</x:v>
      </x:c>
      <x:c r="L475" s="13" t="str">
        <x:v>No</x:v>
      </x:c>
      <x:c r="M475" s="13" t="str"/>
    </x:row>
    <x:row r="476" ht="58" customHeight="1">
      <x:c r="A476" s="10" t="str">
        <x:v>T28.11</x:v>
      </x:c>
      <x:c r="B476" s="10" t="str">
        <x:v>D28</x:v>
      </x:c>
      <x:c r="C476" s="10" t="str">
        <x:v>Special-purpose vehicles and limited-recourse structures</x:v>
      </x:c>
      <x:c r="D476" s="10" t="str">
        <x:v>Specialist</x:v>
      </x:c>
      <x:c r="E476" s="10" t="str">
        <x:v>T03.01</x:v>
      </x:c>
      <x:c r="F476" s="10" t="str">
        <x:v>T28.10</x:v>
      </x:c>
      <x:c r="G476" s="11" t="n">
        <x:v>5</x:v>
      </x:c>
      <x:c r="H476" s="11" t="n">
        <x:v>1</x:v>
      </x:c>
      <x:c r="I476" s="10" t="str">
        <x:v>Inspect a calculation</x:v>
      </x:c>
      <x:c r="J476" s="10" t="str">
        <x:v>Does this asset generate enough cash when the debt payments fall due? Apply the question to special-purpose vehicles and limited-recourse structures.</x:v>
      </x:c>
      <x:c r="K476" s="13" t="str">
        <x:v>Not authored</x:v>
      </x:c>
      <x:c r="L476" s="13" t="str">
        <x:v>No</x:v>
      </x:c>
      <x:c r="M476" s="13" t="str"/>
    </x:row>
    <x:row r="477" ht="58" customHeight="1">
      <x:c r="A477" s="9" t="str">
        <x:v>T28.12</x:v>
      </x:c>
      <x:c r="B477" s="9" t="str">
        <x:v>D28</x:v>
      </x:c>
      <x:c r="C477" s="9" t="str">
        <x:v>Construction risk and operating risk</x:v>
      </x:c>
      <x:c r="D477" s="9" t="str">
        <x:v>Specialist</x:v>
      </x:c>
      <x:c r="E477" s="9" t="str">
        <x:v>T03.01</x:v>
      </x:c>
      <x:c r="F477" s="9" t="str">
        <x:v>T28.05</x:v>
      </x:c>
      <x:c r="G477" s="12" t="n">
        <x:v>5</x:v>
      </x:c>
      <x:c r="H477" s="12" t="n">
        <x:v>1</x:v>
      </x:c>
      <x:c r="I477" s="9" t="str">
        <x:v>Inspect a calculation</x:v>
      </x:c>
      <x:c r="J477" s="9" t="str">
        <x:v>Does this asset generate enough cash when the debt payments fall due? Apply the question to construction risk and operating risk.</x:v>
      </x:c>
      <x:c r="K477" s="13" t="str">
        <x:v>Not authored</x:v>
      </x:c>
      <x:c r="L477" s="13" t="str">
        <x:v>No</x:v>
      </x:c>
      <x:c r="M477" s="13" t="str"/>
    </x:row>
    <x:row r="478" ht="58" customHeight="1">
      <x:c r="A478" s="10" t="str">
        <x:v>T28.13</x:v>
      </x:c>
      <x:c r="B478" s="10" t="str">
        <x:v>D28</x:v>
      </x:c>
      <x:c r="C478" s="10" t="str">
        <x:v>Concessions, offtake agreements, and public-private partnerships</x:v>
      </x:c>
      <x:c r="D478" s="10" t="str">
        <x:v>Specialist</x:v>
      </x:c>
      <x:c r="E478" s="10" t="str">
        <x:v>T03.01</x:v>
      </x:c>
      <x:c r="F478" s="10" t="str">
        <x:v>T28.10</x:v>
      </x:c>
      <x:c r="G478" s="11" t="n">
        <x:v>7</x:v>
      </x:c>
      <x:c r="H478" s="11" t="n">
        <x:v>3</x:v>
      </x:c>
      <x:c r="I478" s="10" t="str">
        <x:v>Inspect a calculation</x:v>
      </x:c>
      <x:c r="J478" s="10" t="str">
        <x:v>Does this asset generate enough cash when the debt payments fall due? Apply the question to concessions, offtake agreements, and public-private partnerships.</x:v>
      </x:c>
      <x:c r="K478" s="13" t="str">
        <x:v>Not authored</x:v>
      </x:c>
      <x:c r="L478" s="13" t="str">
        <x:v>No</x:v>
      </x:c>
      <x:c r="M478" s="13" t="str"/>
    </x:row>
    <x:row r="479" ht="58" customHeight="1">
      <x:c r="A479" s="9" t="str">
        <x:v>T28.14</x:v>
      </x:c>
      <x:c r="B479" s="9" t="str">
        <x:v>D28</x:v>
      </x:c>
      <x:c r="C479" s="9" t="str">
        <x:v>Debt sizing and debt sculpting</x:v>
      </x:c>
      <x:c r="D479" s="9" t="str">
        <x:v>Specialist</x:v>
      </x:c>
      <x:c r="E479" s="9" t="str">
        <x:v>T03.01, T28.15</x:v>
      </x:c>
      <x:c r="F479" s="9" t="str">
        <x:v>T28.15</x:v>
      </x:c>
      <x:c r="G479" s="12" t="n">
        <x:v>9</x:v>
      </x:c>
      <x:c r="H479" s="12" t="n">
        <x:v>3</x:v>
      </x:c>
      <x:c r="I479" s="9" t="str">
        <x:v>Inspect a calculation</x:v>
      </x:c>
      <x:c r="J479" s="9" t="str">
        <x:v>Does this asset generate enough cash when the debt payments fall due? Apply the question to debt sizing and debt sculpting.</x:v>
      </x:c>
      <x:c r="K479" s="13" t="str">
        <x:v>Not authored</x:v>
      </x:c>
      <x:c r="L479" s="13" t="str">
        <x:v>No</x:v>
      </x:c>
      <x:c r="M479" s="13" t="str"/>
    </x:row>
    <x:row r="480" ht="58" customHeight="1">
      <x:c r="A480" s="10" t="str">
        <x:v>T28.15</x:v>
      </x:c>
      <x:c r="B480" s="10" t="str">
        <x:v>D28</x:v>
      </x:c>
      <x:c r="C480" s="10" t="str">
        <x:v>DSCR, LLCR, and PLCR</x:v>
      </x:c>
      <x:c r="D480" s="10" t="str">
        <x:v>Specialist</x:v>
      </x:c>
      <x:c r="E480" s="10" t="str">
        <x:v>T03.01</x:v>
      </x:c>
      <x:c r="F480" s="10" t="str">
        <x:v>T28.14</x:v>
      </x:c>
      <x:c r="G480" s="11" t="n">
        <x:v>7</x:v>
      </x:c>
      <x:c r="H480" s="11" t="n">
        <x:v>1</x:v>
      </x:c>
      <x:c r="I480" s="10" t="str">
        <x:v>Inspect a calculation</x:v>
      </x:c>
      <x:c r="J480" s="10" t="str">
        <x:v>Does this asset generate enough cash when the debt payments fall due? Apply the question to dscr, llcr, and plcr.</x:v>
      </x:c>
      <x:c r="K480" s="13" t="str">
        <x:v>Not authored</x:v>
      </x:c>
      <x:c r="L480" s="13" t="str">
        <x:v>No</x:v>
      </x:c>
      <x:c r="M480" s="13" t="str"/>
    </x:row>
    <x:row r="481" ht="58" customHeight="1">
      <x:c r="A481" s="9" t="str">
        <x:v>T28.16</x:v>
      </x:c>
      <x:c r="B481" s="9" t="str">
        <x:v>D28</x:v>
      </x:c>
      <x:c r="C481" s="9" t="str">
        <x:v>Reserve accounts and cash waterfalls</x:v>
      </x:c>
      <x:c r="D481" s="9" t="str">
        <x:v>Specialist</x:v>
      </x:c>
      <x:c r="E481" s="9" t="str">
        <x:v>T03.01</x:v>
      </x:c>
      <x:c r="F481" s="9" t="str">
        <x:v>T28.14</x:v>
      </x:c>
      <x:c r="G481" s="12" t="n">
        <x:v>4</x:v>
      </x:c>
      <x:c r="H481" s="12" t="n">
        <x:v>1</x:v>
      </x:c>
      <x:c r="I481" s="9" t="str">
        <x:v>Inspect a calculation</x:v>
      </x:c>
      <x:c r="J481" s="9" t="str">
        <x:v>Does this asset generate enough cash when the debt payments fall due? Apply the question to reserve accounts and cash waterfalls.</x:v>
      </x:c>
      <x:c r="K481" s="13" t="str">
        <x:v>Not authored</x:v>
      </x:c>
      <x:c r="L481" s="13" t="str">
        <x:v>No</x:v>
      </x:c>
      <x:c r="M481" s="13" t="str"/>
    </x:row>
    <x:row r="482" ht="58" customHeight="1">
      <x:c r="A482" s="10" t="str">
        <x:v>T28.17</x:v>
      </x:c>
      <x:c r="B482" s="10" t="str">
        <x:v>D28</x:v>
      </x:c>
      <x:c r="C482" s="10" t="str">
        <x:v>Refinancing and project equity returns</x:v>
      </x:c>
      <x:c r="D482" s="10" t="str">
        <x:v>Specialist</x:v>
      </x:c>
      <x:c r="E482" s="10" t="str">
        <x:v>T03.01</x:v>
      </x:c>
      <x:c r="F482" s="10" t="str">
        <x:v>T28.08</x:v>
      </x:c>
      <x:c r="G482" s="11" t="n">
        <x:v>5</x:v>
      </x:c>
      <x:c r="H482" s="11" t="n">
        <x:v>1</x:v>
      </x:c>
      <x:c r="I482" s="10" t="str">
        <x:v>Inspect a calculation</x:v>
      </x:c>
      <x:c r="J482" s="10" t="str">
        <x:v>Does this asset generate enough cash when the debt payments fall due? Apply the question to refinancing and project equity returns.</x:v>
      </x:c>
      <x:c r="K482" s="13" t="str">
        <x:v>Not authored</x:v>
      </x:c>
      <x:c r="L482" s="13" t="str">
        <x:v>No</x:v>
      </x:c>
      <x:c r="M482" s="13" t="str"/>
    </x:row>
    <x:row r="483" ht="58" customHeight="1">
      <x:c r="A483" s="9" t="str">
        <x:v>T28.18</x:v>
      </x:c>
      <x:c r="B483" s="9" t="str">
        <x:v>D28</x:v>
      </x:c>
      <x:c r="C483" s="9" t="str">
        <x:v>Energy, transport, utilities, and social infrastructure finance</x:v>
      </x:c>
      <x:c r="D483" s="9" t="str">
        <x:v>Specialist</x:v>
      </x:c>
      <x:c r="E483" s="9" t="str">
        <x:v>T03.01</x:v>
      </x:c>
      <x:c r="F483" s="9" t="str">
        <x:v>T28.13</x:v>
      </x:c>
      <x:c r="G483" s="12" t="n">
        <x:v>4</x:v>
      </x:c>
      <x:c r="H483" s="12" t="n">
        <x:v>1</x:v>
      </x:c>
      <x:c r="I483" s="9" t="str">
        <x:v>Inspect a calculation</x:v>
      </x:c>
      <x:c r="J483" s="9" t="str">
        <x:v>Does this asset generate enough cash when the debt payments fall due? Apply the question to energy, transport, utilities, and social infrastructure finance.</x:v>
      </x:c>
      <x:c r="K483" s="13" t="str">
        <x:v>Not authored</x:v>
      </x:c>
      <x:c r="L483" s="13" t="str">
        <x:v>No</x:v>
      </x:c>
      <x:c r="M483" s="13" t="str"/>
    </x:row>
    <x:row r="484" ht="58" customHeight="1">
      <x:c r="A484" s="10" t="str">
        <x:v>T29.01</x:v>
      </x:c>
      <x:c r="B484" s="10" t="str">
        <x:v>D29</x:v>
      </x:c>
      <x:c r="C484" s="10" t="str">
        <x:v>Risk pooling and the economics of insurance</x:v>
      </x:c>
      <x:c r="D484" s="10" t="str">
        <x:v>Specialist</x:v>
      </x:c>
      <x:c r="E484" s="10" t="str">
        <x:v>T02.07</x:v>
      </x:c>
      <x:c r="F484" s="10" t="str">
        <x:v>T29.05</x:v>
      </x:c>
      <x:c r="G484" s="11" t="n">
        <x:v>5</x:v>
      </x:c>
      <x:c r="H484" s="11" t="n">
        <x:v>1</x:v>
      </x:c>
      <x:c r="I484" s="10" t="str">
        <x:v>Compare scenarios</x:v>
      </x:c>
      <x:c r="J484" s="10" t="str">
        <x:v>What happens if claims arrive sooner or cost more than expected? Apply the question to risk pooling and the economics of insurance.</x:v>
      </x:c>
      <x:c r="K484" s="13" t="str">
        <x:v>Not authored</x:v>
      </x:c>
      <x:c r="L484" s="13" t="str">
        <x:v>No</x:v>
      </x:c>
      <x:c r="M484" s="13" t="str"/>
    </x:row>
    <x:row r="485" ht="58" customHeight="1">
      <x:c r="A485" s="9" t="str">
        <x:v>T29.02</x:v>
      </x:c>
      <x:c r="B485" s="9" t="str">
        <x:v>D29</x:v>
      </x:c>
      <x:c r="C485" s="9" t="str">
        <x:v>Life, health, general, and liability insurance</x:v>
      </x:c>
      <x:c r="D485" s="9" t="str">
        <x:v>Specialist</x:v>
      </x:c>
      <x:c r="E485" s="9" t="str">
        <x:v>T02.07</x:v>
      </x:c>
      <x:c r="F485" s="9" t="str">
        <x:v>T29.04</x:v>
      </x:c>
      <x:c r="G485" s="12" t="n">
        <x:v>4</x:v>
      </x:c>
      <x:c r="H485" s="12" t="n">
        <x:v>0</x:v>
      </x:c>
      <x:c r="I485" s="9" t="str">
        <x:v>Compare scenarios</x:v>
      </x:c>
      <x:c r="J485" s="9" t="str">
        <x:v>What happens if claims arrive sooner or cost more than expected? Apply the question to life, health, general, and liability insurance.</x:v>
      </x:c>
      <x:c r="K485" s="13" t="str">
        <x:v>Not authored</x:v>
      </x:c>
      <x:c r="L485" s="13" t="str">
        <x:v>No</x:v>
      </x:c>
      <x:c r="M485" s="13" t="str"/>
    </x:row>
    <x:row r="486" ht="58" customHeight="1">
      <x:c r="A486" s="10" t="str">
        <x:v>T29.03</x:v>
      </x:c>
      <x:c r="B486" s="10" t="str">
        <x:v>D29</x:v>
      </x:c>
      <x:c r="C486" s="10" t="str">
        <x:v>Term versus savings-linked insurance products</x:v>
      </x:c>
      <x:c r="D486" s="10" t="str">
        <x:v>Specialist</x:v>
      </x:c>
      <x:c r="E486" s="10" t="str">
        <x:v>T02.07</x:v>
      </x:c>
      <x:c r="F486" s="10" t="str">
        <x:v>T29.02</x:v>
      </x:c>
      <x:c r="G486" s="11" t="n">
        <x:v>3</x:v>
      </x:c>
      <x:c r="H486" s="11" t="n">
        <x:v>0</x:v>
      </x:c>
      <x:c r="I486" s="10" t="str">
        <x:v>Compare scenarios</x:v>
      </x:c>
      <x:c r="J486" s="10" t="str">
        <x:v>What happens if claims arrive sooner or cost more than expected? Apply the question to term versus savings-linked insurance products.</x:v>
      </x:c>
      <x:c r="K486" s="13" t="str">
        <x:v>Not authored</x:v>
      </x:c>
      <x:c r="L486" s="13" t="str">
        <x:v>No</x:v>
      </x:c>
      <x:c r="M486" s="13" t="str"/>
    </x:row>
    <x:row r="487" ht="58" customHeight="1">
      <x:c r="A487" s="9" t="str">
        <x:v>T29.04</x:v>
      </x:c>
      <x:c r="B487" s="9" t="str">
        <x:v>D29</x:v>
      </x:c>
      <x:c r="C487" s="9" t="str">
        <x:v>Premiums, deductibles, exclusions, and claims</x:v>
      </x:c>
      <x:c r="D487" s="9" t="str">
        <x:v>Specialist</x:v>
      </x:c>
      <x:c r="E487" s="9" t="str">
        <x:v>T02.07</x:v>
      </x:c>
      <x:c r="F487" s="9" t="str">
        <x:v>T29.05</x:v>
      </x:c>
      <x:c r="G487" s="12" t="n">
        <x:v>5</x:v>
      </x:c>
      <x:c r="H487" s="12" t="n">
        <x:v>1</x:v>
      </x:c>
      <x:c r="I487" s="9" t="str">
        <x:v>Compare scenarios</x:v>
      </x:c>
      <x:c r="J487" s="9" t="str">
        <x:v>What happens if claims arrive sooner or cost more than expected? Apply the question to premiums, deductibles, exclusions, and claims.</x:v>
      </x:c>
      <x:c r="K487" s="13" t="str">
        <x:v>Not authored</x:v>
      </x:c>
      <x:c r="L487" s="13" t="str">
        <x:v>No</x:v>
      </x:c>
      <x:c r="M487" s="13" t="str"/>
    </x:row>
    <x:row r="488" ht="58" customHeight="1">
      <x:c r="A488" s="10" t="str">
        <x:v>T29.05</x:v>
      </x:c>
      <x:c r="B488" s="10" t="str">
        <x:v>D29</x:v>
      </x:c>
      <x:c r="C488" s="10" t="str">
        <x:v>Underwriting and adverse selection</x:v>
      </x:c>
      <x:c r="D488" s="10" t="str">
        <x:v>Specialist</x:v>
      </x:c>
      <x:c r="E488" s="10" t="str">
        <x:v>T02.07</x:v>
      </x:c>
      <x:c r="F488" s="10" t="str">
        <x:v>T29.01</x:v>
      </x:c>
      <x:c r="G488" s="11" t="n">
        <x:v>8</x:v>
      </x:c>
      <x:c r="H488" s="11" t="n">
        <x:v>2</x:v>
      </x:c>
      <x:c r="I488" s="10" t="str">
        <x:v>Compare scenarios</x:v>
      </x:c>
      <x:c r="J488" s="10" t="str">
        <x:v>What happens if claims arrive sooner or cost more than expected? Apply the question to underwriting and adverse selection.</x:v>
      </x:c>
      <x:c r="K488" s="13" t="str">
        <x:v>Not authored</x:v>
      </x:c>
      <x:c r="L488" s="13" t="str">
        <x:v>No</x:v>
      </x:c>
      <x:c r="M488" s="13" t="str"/>
    </x:row>
    <x:row r="489" ht="58" customHeight="1">
      <x:c r="A489" s="9" t="str">
        <x:v>T29.06</x:v>
      </x:c>
      <x:c r="B489" s="9" t="str">
        <x:v>D29</x:v>
      </x:c>
      <x:c r="C489" s="9" t="str">
        <x:v>Reinsurance</x:v>
      </x:c>
      <x:c r="D489" s="9" t="str">
        <x:v>Specialist</x:v>
      </x:c>
      <x:c r="E489" s="9" t="str">
        <x:v>T02.07</x:v>
      </x:c>
      <x:c r="F489" s="9" t="str">
        <x:v>T29.16</x:v>
      </x:c>
      <x:c r="G489" s="12" t="n">
        <x:v>5</x:v>
      </x:c>
      <x:c r="H489" s="12" t="n">
        <x:v>1</x:v>
      </x:c>
      <x:c r="I489" s="9" t="str">
        <x:v>Compare scenarios</x:v>
      </x:c>
      <x:c r="J489" s="9" t="str">
        <x:v>What happens if claims arrive sooner or cost more than expected? Apply the question to reinsurance.</x:v>
      </x:c>
      <x:c r="K489" s="13" t="str">
        <x:v>Not authored</x:v>
      </x:c>
      <x:c r="L489" s="13" t="str">
        <x:v>No</x:v>
      </x:c>
      <x:c r="M489" s="13" t="str"/>
    </x:row>
    <x:row r="490" ht="58" customHeight="1">
      <x:c r="A490" s="10" t="str">
        <x:v>T29.07</x:v>
      </x:c>
      <x:c r="B490" s="10" t="str">
        <x:v>D29</x:v>
      </x:c>
      <x:c r="C490" s="10" t="str">
        <x:v>Claims reserves and technical provisions</x:v>
      </x:c>
      <x:c r="D490" s="10" t="str">
        <x:v>Specialist</x:v>
      </x:c>
      <x:c r="E490" s="10" t="str">
        <x:v>T02.07</x:v>
      </x:c>
      <x:c r="F490" s="10" t="str">
        <x:v>T29.09</x:v>
      </x:c>
      <x:c r="G490" s="11" t="n">
        <x:v>5</x:v>
      </x:c>
      <x:c r="H490" s="11" t="n">
        <x:v>1</x:v>
      </x:c>
      <x:c r="I490" s="10" t="str">
        <x:v>Compare scenarios</x:v>
      </x:c>
      <x:c r="J490" s="10" t="str">
        <x:v>What happens if claims arrive sooner or cost more than expected? Apply the question to claims reserves and technical provisions.</x:v>
      </x:c>
      <x:c r="K490" s="13" t="str">
        <x:v>Not authored</x:v>
      </x:c>
      <x:c r="L490" s="13" t="str">
        <x:v>No</x:v>
      </x:c>
      <x:c r="M490" s="13" t="str"/>
    </x:row>
    <x:row r="491" ht="58" customHeight="1">
      <x:c r="A491" s="9" t="str">
        <x:v>T29.08</x:v>
      </x:c>
      <x:c r="B491" s="9" t="str">
        <x:v>D29</x:v>
      </x:c>
      <x:c r="C491" s="9" t="str">
        <x:v>Mortality, morbidity, frequency, and severity</x:v>
      </x:c>
      <x:c r="D491" s="9" t="str">
        <x:v>Specialist</x:v>
      </x:c>
      <x:c r="E491" s="9" t="str">
        <x:v>T02.07</x:v>
      </x:c>
      <x:c r="F491" s="9" t="str">
        <x:v>T29.07</x:v>
      </x:c>
      <x:c r="G491" s="12" t="n">
        <x:v>4</x:v>
      </x:c>
      <x:c r="H491" s="12" t="n">
        <x:v>1</x:v>
      </x:c>
      <x:c r="I491" s="9" t="str">
        <x:v>Compare scenarios</x:v>
      </x:c>
      <x:c r="J491" s="9" t="str">
        <x:v>What happens if claims arrive sooner or cost more than expected? Apply the question to mortality, morbidity, frequency, and severity.</x:v>
      </x:c>
      <x:c r="K491" s="13" t="str">
        <x:v>Not authored</x:v>
      </x:c>
      <x:c r="L491" s="13" t="str">
        <x:v>No</x:v>
      </x:c>
      <x:c r="M491" s="13" t="str"/>
    </x:row>
    <x:row r="492" ht="58" customHeight="1">
      <x:c r="A492" s="10" t="str">
        <x:v>T29.09</x:v>
      </x:c>
      <x:c r="B492" s="10" t="str">
        <x:v>D29</x:v>
      </x:c>
      <x:c r="C492" s="10" t="str">
        <x:v>Present value of insurance liabilities</x:v>
      </x:c>
      <x:c r="D492" s="10" t="str">
        <x:v>Specialist</x:v>
      </x:c>
      <x:c r="E492" s="10" t="str">
        <x:v>T02.07, T03.01</x:v>
      </x:c>
      <x:c r="F492" s="10" t="str">
        <x:v>T29.13</x:v>
      </x:c>
      <x:c r="G492" s="11" t="n">
        <x:v>9</x:v>
      </x:c>
      <x:c r="H492" s="11" t="n">
        <x:v>1</x:v>
      </x:c>
      <x:c r="I492" s="10" t="str">
        <x:v>Compare scenarios</x:v>
      </x:c>
      <x:c r="J492" s="10" t="str">
        <x:v>What happens if claims arrive sooner or cost more than expected? Apply the question to present value of insurance liabilities.</x:v>
      </x:c>
      <x:c r="K492" s="13" t="str">
        <x:v>Not authored</x:v>
      </x:c>
      <x:c r="L492" s="13" t="str">
        <x:v>No</x:v>
      </x:c>
      <x:c r="M492" s="13" t="str"/>
    </x:row>
    <x:row r="493" ht="58" customHeight="1">
      <x:c r="A493" s="9" t="str">
        <x:v>T29.10</x:v>
      </x:c>
      <x:c r="B493" s="9" t="str">
        <x:v>D29</x:v>
      </x:c>
      <x:c r="C493" s="9" t="str">
        <x:v>Loss ratios, expense ratios, and combined ratios</x:v>
      </x:c>
      <x:c r="D493" s="9" t="str">
        <x:v>Specialist</x:v>
      </x:c>
      <x:c r="E493" s="9" t="str">
        <x:v>T02.07</x:v>
      </x:c>
      <x:c r="F493" s="9" t="str">
        <x:v>T29.05</x:v>
      </x:c>
      <x:c r="G493" s="12" t="n">
        <x:v>4</x:v>
      </x:c>
      <x:c r="H493" s="12" t="n">
        <x:v>1</x:v>
      </x:c>
      <x:c r="I493" s="9" t="str">
        <x:v>Compare scenarios</x:v>
      </x:c>
      <x:c r="J493" s="9" t="str">
        <x:v>What happens if claims arrive sooner or cost more than expected? Apply the question to loss ratios, expense ratios, and combined ratios.</x:v>
      </x:c>
      <x:c r="K493" s="13" t="str">
        <x:v>Not authored</x:v>
      </x:c>
      <x:c r="L493" s="13" t="str">
        <x:v>No</x:v>
      </x:c>
      <x:c r="M493" s="13" t="str"/>
    </x:row>
    <x:row r="494" ht="58" customHeight="1">
      <x:c r="A494" s="10" t="str">
        <x:v>T29.11</x:v>
      </x:c>
      <x:c r="B494" s="10" t="str">
        <x:v>D29</x:v>
      </x:c>
      <x:c r="C494" s="10" t="str">
        <x:v>Embedded value and value of new business</x:v>
      </x:c>
      <x:c r="D494" s="10" t="str">
        <x:v>Specialist</x:v>
      </x:c>
      <x:c r="E494" s="10" t="str">
        <x:v>T02.07</x:v>
      </x:c>
      <x:c r="F494" s="10" t="str">
        <x:v>T29.09</x:v>
      </x:c>
      <x:c r="G494" s="11" t="n">
        <x:v>5</x:v>
      </x:c>
      <x:c r="H494" s="11" t="n">
        <x:v>2</x:v>
      </x:c>
      <x:c r="I494" s="10" t="str">
        <x:v>Compare scenarios</x:v>
      </x:c>
      <x:c r="J494" s="10" t="str">
        <x:v>What happens if claims arrive sooner or cost more than expected? Apply the question to embedded value and value of new business.</x:v>
      </x:c>
      <x:c r="K494" s="13" t="str">
        <x:v>Not authored</x:v>
      </x:c>
      <x:c r="L494" s="13" t="str">
        <x:v>No</x:v>
      </x:c>
      <x:c r="M494" s="13" t="str"/>
    </x:row>
    <x:row r="495" ht="58" customHeight="1">
      <x:c r="A495" s="9" t="str">
        <x:v>T29.12</x:v>
      </x:c>
      <x:c r="B495" s="9" t="str">
        <x:v>D29</x:v>
      </x:c>
      <x:c r="C495" s="9" t="str">
        <x:v>Insurance investment portfolios</x:v>
      </x:c>
      <x:c r="D495" s="9" t="str">
        <x:v>Specialist</x:v>
      </x:c>
      <x:c r="E495" s="9" t="str">
        <x:v>T02.07</x:v>
      </x:c>
      <x:c r="F495" s="9" t="str">
        <x:v>T29.13</x:v>
      </x:c>
      <x:c r="G495" s="12" t="n">
        <x:v>3</x:v>
      </x:c>
      <x:c r="H495" s="12" t="n">
        <x:v>0</x:v>
      </x:c>
      <x:c r="I495" s="9" t="str">
        <x:v>Compare scenarios</x:v>
      </x:c>
      <x:c r="J495" s="9" t="str">
        <x:v>What happens if claims arrive sooner or cost more than expected? Apply the question to insurance investment portfolios.</x:v>
      </x:c>
      <x:c r="K495" s="13" t="str">
        <x:v>Not authored</x:v>
      </x:c>
      <x:c r="L495" s="13" t="str">
        <x:v>No</x:v>
      </x:c>
      <x:c r="M495" s="13" t="str"/>
    </x:row>
    <x:row r="496" ht="58" customHeight="1">
      <x:c r="A496" s="10" t="str">
        <x:v>T29.13</x:v>
      </x:c>
      <x:c r="B496" s="10" t="str">
        <x:v>D29</x:v>
      </x:c>
      <x:c r="C496" s="10" t="str">
        <x:v>Asset-liability matching</x:v>
      </x:c>
      <x:c r="D496" s="10" t="str">
        <x:v>Specialist</x:v>
      </x:c>
      <x:c r="E496" s="10" t="str">
        <x:v>T02.07</x:v>
      </x:c>
      <x:c r="F496" s="10" t="str">
        <x:v>T29.09</x:v>
      </x:c>
      <x:c r="G496" s="11" t="n">
        <x:v>6</x:v>
      </x:c>
      <x:c r="H496" s="11" t="n">
        <x:v>1</x:v>
      </x:c>
      <x:c r="I496" s="10" t="str">
        <x:v>Compare scenarios</x:v>
      </x:c>
      <x:c r="J496" s="10" t="str">
        <x:v>What happens if claims arrive sooner or cost more than expected? Apply the question to asset-liability matching.</x:v>
      </x:c>
      <x:c r="K496" s="13" t="str">
        <x:v>Not authored</x:v>
      </x:c>
      <x:c r="L496" s="13" t="str">
        <x:v>No</x:v>
      </x:c>
      <x:c r="M496" s="13" t="str"/>
    </x:row>
    <x:row r="497" ht="58" customHeight="1">
      <x:c r="A497" s="9" t="str">
        <x:v>T29.14</x:v>
      </x:c>
      <x:c r="B497" s="9" t="str">
        <x:v>D29</x:v>
      </x:c>
      <x:c r="C497" s="9" t="str">
        <x:v>Solvency and regulatory capital</x:v>
      </x:c>
      <x:c r="D497" s="9" t="str">
        <x:v>Specialist</x:v>
      </x:c>
      <x:c r="E497" s="9" t="str">
        <x:v>T02.07</x:v>
      </x:c>
      <x:c r="F497" s="9" t="str"/>
      <x:c r="G497" s="12" t="n">
        <x:v>3</x:v>
      </x:c>
      <x:c r="H497" s="12" t="n">
        <x:v>1</x:v>
      </x:c>
      <x:c r="I497" s="9" t="str">
        <x:v>Compare scenarios</x:v>
      </x:c>
      <x:c r="J497" s="9" t="str">
        <x:v>What happens if claims arrive sooner or cost more than expected? Apply the question to solvency and regulatory capital.</x:v>
      </x:c>
      <x:c r="K497" s="13" t="str">
        <x:v>Not authored</x:v>
      </x:c>
      <x:c r="L497" s="13" t="str">
        <x:v>No</x:v>
      </x:c>
      <x:c r="M497" s="13" t="str"/>
    </x:row>
    <x:row r="498" ht="58" customHeight="1">
      <x:c r="A498" s="10" t="str">
        <x:v>T29.15</x:v>
      </x:c>
      <x:c r="B498" s="10" t="str">
        <x:v>D29</x:v>
      </x:c>
      <x:c r="C498" s="10" t="str">
        <x:v>Pension and annuity products</x:v>
      </x:c>
      <x:c r="D498" s="10" t="str">
        <x:v>Specialist</x:v>
      </x:c>
      <x:c r="E498" s="10" t="str">
        <x:v>T02.07</x:v>
      </x:c>
      <x:c r="F498" s="10" t="str">
        <x:v>T29.09</x:v>
      </x:c>
      <x:c r="G498" s="11" t="n">
        <x:v>4</x:v>
      </x:c>
      <x:c r="H498" s="11" t="n">
        <x:v>1</x:v>
      </x:c>
      <x:c r="I498" s="10" t="str">
        <x:v>Compare scenarios</x:v>
      </x:c>
      <x:c r="J498" s="10" t="str">
        <x:v>What happens if claims arrive sooner or cost more than expected? Apply the question to pension and annuity products.</x:v>
      </x:c>
      <x:c r="K498" s="13" t="str">
        <x:v>Not authored</x:v>
      </x:c>
      <x:c r="L498" s="13" t="str">
        <x:v>No</x:v>
      </x:c>
      <x:c r="M498" s="13" t="str"/>
    </x:row>
    <x:row r="499" ht="58" customHeight="1">
      <x:c r="A499" s="9" t="str">
        <x:v>T29.16</x:v>
      </x:c>
      <x:c r="B499" s="9" t="str">
        <x:v>D29</x:v>
      </x:c>
      <x:c r="C499" s="9" t="str">
        <x:v>Catastrophe risk and insurance-linked securities</x:v>
      </x:c>
      <x:c r="D499" s="9" t="str">
        <x:v>Specialist</x:v>
      </x:c>
      <x:c r="E499" s="9" t="str">
        <x:v>T02.07</x:v>
      </x:c>
      <x:c r="F499" s="9" t="str">
        <x:v>T29.06</x:v>
      </x:c>
      <x:c r="G499" s="12" t="n">
        <x:v>5</x:v>
      </x:c>
      <x:c r="H499" s="12" t="n">
        <x:v>1</x:v>
      </x:c>
      <x:c r="I499" s="9" t="str">
        <x:v>Compare scenarios</x:v>
      </x:c>
      <x:c r="J499" s="9" t="str">
        <x:v>What happens if claims arrive sooner or cost more than expected? Apply the question to catastrophe risk and insurance-linked securities.</x:v>
      </x:c>
      <x:c r="K499" s="13" t="str">
        <x:v>Not authored</x:v>
      </x:c>
      <x:c r="L499" s="13" t="str">
        <x:v>No</x:v>
      </x:c>
      <x:c r="M499" s="13" t="str"/>
    </x:row>
    <x:row r="500" ht="58" customHeight="1">
      <x:c r="A500" s="10" t="str">
        <x:v>T30.01</x:v>
      </x:c>
      <x:c r="B500" s="10" t="str">
        <x:v>D30</x:v>
      </x:c>
      <x:c r="C500" s="10" t="str">
        <x:v>Personal financial statements and net worth</x:v>
      </x:c>
      <x:c r="D500" s="10" t="str">
        <x:v>Core</x:v>
      </x:c>
      <x:c r="E500" s="10" t="str">
        <x:v>T01.05</x:v>
      </x:c>
      <x:c r="F500" s="10" t="str">
        <x:v>T30.02</x:v>
      </x:c>
      <x:c r="G500" s="11" t="n">
        <x:v>5</x:v>
      </x:c>
      <x:c r="H500" s="11" t="n">
        <x:v>1</x:v>
      </x:c>
      <x:c r="I500" s="10" t="str">
        <x:v>Investigate a case</x:v>
      </x:c>
      <x:c r="J500" s="10" t="str">
        <x:v>Does this choice move you closer to your goal without weakening protection? Apply the question to personal financial statements and net worth.</x:v>
      </x:c>
      <x:c r="K500" s="13" t="str">
        <x:v>Not authored</x:v>
      </x:c>
      <x:c r="L500" s="13" t="str">
        <x:v>No</x:v>
      </x:c>
      <x:c r="M500" s="13" t="str"/>
    </x:row>
    <x:row r="501" ht="58" customHeight="1">
      <x:c r="A501" s="9" t="str">
        <x:v>T30.02</x:v>
      </x:c>
      <x:c r="B501" s="9" t="str">
        <x:v>D30</x:v>
      </x:c>
      <x:c r="C501" s="9" t="str">
        <x:v>Budgeting and expense tracking</x:v>
      </x:c>
      <x:c r="D501" s="9" t="str">
        <x:v>Core</x:v>
      </x:c>
      <x:c r="E501" s="9" t="str">
        <x:v>T01.05</x:v>
      </x:c>
      <x:c r="F501" s="9" t="str">
        <x:v>T30.01</x:v>
      </x:c>
      <x:c r="G501" s="12" t="n">
        <x:v>6</x:v>
      </x:c>
      <x:c r="H501" s="12" t="n">
        <x:v>2</x:v>
      </x:c>
      <x:c r="I501" s="9" t="str">
        <x:v>Investigate a case</x:v>
      </x:c>
      <x:c r="J501" s="9" t="str">
        <x:v>Does this choice move you closer to your goal without weakening protection? Apply the question to budgeting and expense tracking.</x:v>
      </x:c>
      <x:c r="K501" s="13" t="str">
        <x:v>Not authored</x:v>
      </x:c>
      <x:c r="L501" s="13" t="str">
        <x:v>No</x:v>
      </x:c>
      <x:c r="M501" s="13" t="str"/>
    </x:row>
    <x:row r="502" ht="58" customHeight="1">
      <x:c r="A502" s="10" t="str">
        <x:v>T30.03</x:v>
      </x:c>
      <x:c r="B502" s="10" t="str">
        <x:v>D30</x:v>
      </x:c>
      <x:c r="C502" s="10" t="str">
        <x:v>Emergency funds</x:v>
      </x:c>
      <x:c r="D502" s="10" t="str">
        <x:v>Core</x:v>
      </x:c>
      <x:c r="E502" s="10" t="str">
        <x:v>T01.05</x:v>
      </x:c>
      <x:c r="F502" s="10" t="str">
        <x:v>T30.04</x:v>
      </x:c>
      <x:c r="G502" s="11" t="n">
        <x:v>4</x:v>
      </x:c>
      <x:c r="H502" s="11" t="n">
        <x:v>1</x:v>
      </x:c>
      <x:c r="I502" s="10" t="str">
        <x:v>Investigate a case</x:v>
      </x:c>
      <x:c r="J502" s="10" t="str">
        <x:v>Does this choice move you closer to your goal without weakening protection? Apply the question to emergency funds.</x:v>
      </x:c>
      <x:c r="K502" s="13" t="str">
        <x:v>Not authored</x:v>
      </x:c>
      <x:c r="L502" s="13" t="str">
        <x:v>No</x:v>
      </x:c>
      <x:c r="M502" s="13" t="str"/>
    </x:row>
    <x:row r="503" ht="58" customHeight="1">
      <x:c r="A503" s="9" t="str">
        <x:v>T30.04</x:v>
      </x:c>
      <x:c r="B503" s="9" t="str">
        <x:v>D30</x:v>
      </x:c>
      <x:c r="C503" s="9" t="str">
        <x:v>Debt management and credit scores</x:v>
      </x:c>
      <x:c r="D503" s="9" t="str">
        <x:v>Core</x:v>
      </x:c>
      <x:c r="E503" s="9" t="str">
        <x:v>T01.05</x:v>
      </x:c>
      <x:c r="F503" s="9" t="str">
        <x:v>T30.05</x:v>
      </x:c>
      <x:c r="G503" s="12" t="n">
        <x:v>6</x:v>
      </x:c>
      <x:c r="H503" s="12" t="n">
        <x:v>1</x:v>
      </x:c>
      <x:c r="I503" s="9" t="str">
        <x:v>Investigate a case</x:v>
      </x:c>
      <x:c r="J503" s="9" t="str">
        <x:v>Does this choice move you closer to your goal without weakening protection? Apply the question to debt management and credit scores.</x:v>
      </x:c>
      <x:c r="K503" s="13" t="str">
        <x:v>Not authored</x:v>
      </x:c>
      <x:c r="L503" s="13" t="str">
        <x:v>No</x:v>
      </x:c>
      <x:c r="M503" s="13" t="str"/>
    </x:row>
    <x:row r="504" ht="58" customHeight="1">
      <x:c r="A504" s="10" t="str">
        <x:v>T30.05</x:v>
      </x:c>
      <x:c r="B504" s="10" t="str">
        <x:v>D30</x:v>
      </x:c>
      <x:c r="C504" s="10" t="str">
        <x:v>Education, vehicle, and home loans</x:v>
      </x:c>
      <x:c r="D504" s="10" t="str">
        <x:v>Core</x:v>
      </x:c>
      <x:c r="E504" s="10" t="str">
        <x:v>T01.05</x:v>
      </x:c>
      <x:c r="F504" s="10" t="str">
        <x:v>T30.04</x:v>
      </x:c>
      <x:c r="G504" s="11" t="n">
        <x:v>6</x:v>
      </x:c>
      <x:c r="H504" s="11" t="n">
        <x:v>1</x:v>
      </x:c>
      <x:c r="I504" s="10" t="str">
        <x:v>Investigate a case</x:v>
      </x:c>
      <x:c r="J504" s="10" t="str">
        <x:v>Does this choice move you closer to your goal without weakening protection? Apply the question to education, vehicle, and home loans.</x:v>
      </x:c>
      <x:c r="K504" s="13" t="str">
        <x:v>Not authored</x:v>
      </x:c>
      <x:c r="L504" s="13" t="str">
        <x:v>No</x:v>
      </x:c>
      <x:c r="M504" s="13" t="str"/>
    </x:row>
    <x:row r="505" ht="58" customHeight="1">
      <x:c r="A505" s="9" t="str">
        <x:v>T30.06</x:v>
      </x:c>
      <x:c r="B505" s="9" t="str">
        <x:v>D30</x:v>
      </x:c>
      <x:c r="C505" s="9" t="str">
        <x:v>Financial goals and savings plans</x:v>
      </x:c>
      <x:c r="D505" s="9" t="str">
        <x:v>Core</x:v>
      </x:c>
      <x:c r="E505" s="9" t="str">
        <x:v>T01.05</x:v>
      </x:c>
      <x:c r="F505" s="9" t="str">
        <x:v>T30.10</x:v>
      </x:c>
      <x:c r="G505" s="12" t="n">
        <x:v>7</x:v>
      </x:c>
      <x:c r="H505" s="12" t="n">
        <x:v>3</x:v>
      </x:c>
      <x:c r="I505" s="9" t="str">
        <x:v>Investigate a case</x:v>
      </x:c>
      <x:c r="J505" s="9" t="str">
        <x:v>Does this choice move you closer to your goal without weakening protection? Apply the question to financial goals and savings plans.</x:v>
      </x:c>
      <x:c r="K505" s="13" t="str">
        <x:v>Not authored</x:v>
      </x:c>
      <x:c r="L505" s="13" t="str">
        <x:v>No</x:v>
      </x:c>
      <x:c r="M505" s="13" t="str"/>
    </x:row>
    <x:row r="506" ht="58" customHeight="1">
      <x:c r="A506" s="10" t="str">
        <x:v>T30.07</x:v>
      </x:c>
      <x:c r="B506" s="10" t="str">
        <x:v>D30</x:v>
      </x:c>
      <x:c r="C506" s="10" t="str">
        <x:v>Insurance needs analysis</x:v>
      </x:c>
      <x:c r="D506" s="10" t="str">
        <x:v>Core</x:v>
      </x:c>
      <x:c r="E506" s="10" t="str">
        <x:v>T01.05</x:v>
      </x:c>
      <x:c r="F506" s="10" t="str">
        <x:v>T30.11</x:v>
      </x:c>
      <x:c r="G506" s="11" t="n">
        <x:v>4</x:v>
      </x:c>
      <x:c r="H506" s="11" t="n">
        <x:v>1</x:v>
      </x:c>
      <x:c r="I506" s="10" t="str">
        <x:v>Investigate a case</x:v>
      </x:c>
      <x:c r="J506" s="10" t="str">
        <x:v>Does this choice move you closer to your goal without weakening protection? Apply the question to insurance needs analysis.</x:v>
      </x:c>
      <x:c r="K506" s="13" t="str">
        <x:v>Not authored</x:v>
      </x:c>
      <x:c r="L506" s="13" t="str">
        <x:v>No</x:v>
      </x:c>
      <x:c r="M506" s="13" t="str"/>
    </x:row>
    <x:row r="507" ht="58" customHeight="1">
      <x:c r="A507" s="9" t="str">
        <x:v>T30.08</x:v>
      </x:c>
      <x:c r="B507" s="9" t="str">
        <x:v>D30</x:v>
      </x:c>
      <x:c r="C507" s="9" t="str">
        <x:v>Investment selection and asset allocation</x:v>
      </x:c>
      <x:c r="D507" s="9" t="str">
        <x:v>Core</x:v>
      </x:c>
      <x:c r="E507" s="9" t="str">
        <x:v>T01.05</x:v>
      </x:c>
      <x:c r="F507" s="9" t="str">
        <x:v>T30.06</x:v>
      </x:c>
      <x:c r="G507" s="12" t="n">
        <x:v>8</x:v>
      </x:c>
      <x:c r="H507" s="12" t="n">
        <x:v>2</x:v>
      </x:c>
      <x:c r="I507" s="9" t="str">
        <x:v>Investigate a case</x:v>
      </x:c>
      <x:c r="J507" s="9" t="str">
        <x:v>Does this choice move you closer to your goal without weakening protection? Apply the question to investment selection and asset allocation.</x:v>
      </x:c>
      <x:c r="K507" s="13" t="str">
        <x:v>Not authored</x:v>
      </x:c>
      <x:c r="L507" s="13" t="str">
        <x:v>No</x:v>
      </x:c>
      <x:c r="M507" s="13" t="str"/>
    </x:row>
    <x:row r="508" ht="58" customHeight="1">
      <x:c r="A508" s="10" t="str">
        <x:v>T30.09</x:v>
      </x:c>
      <x:c r="B508" s="10" t="str">
        <x:v>D30</x:v>
      </x:c>
      <x:c r="C508" s="10" t="str">
        <x:v>Tax-efficient investing</x:v>
      </x:c>
      <x:c r="D508" s="10" t="str">
        <x:v>Core</x:v>
      </x:c>
      <x:c r="E508" s="10" t="str">
        <x:v>T01.05</x:v>
      </x:c>
      <x:c r="F508" s="10" t="str">
        <x:v>T30.08</x:v>
      </x:c>
      <x:c r="G508" s="11" t="n">
        <x:v>4</x:v>
      </x:c>
      <x:c r="H508" s="11" t="n">
        <x:v>1</x:v>
      </x:c>
      <x:c r="I508" s="10" t="str">
        <x:v>Investigate a case</x:v>
      </x:c>
      <x:c r="J508" s="10" t="str">
        <x:v>Does this choice move you closer to your goal without weakening protection? Apply the question to tax-efficient investing.</x:v>
      </x:c>
      <x:c r="K508" s="13" t="str">
        <x:v>Not authored</x:v>
      </x:c>
      <x:c r="L508" s="13" t="str">
        <x:v>No</x:v>
      </x:c>
      <x:c r="M508" s="13" t="str"/>
    </x:row>
    <x:row r="509" ht="58" customHeight="1">
      <x:c r="A509" s="9" t="str">
        <x:v>T30.10</x:v>
      </x:c>
      <x:c r="B509" s="9" t="str">
        <x:v>D30</x:v>
      </x:c>
      <x:c r="C509" s="9" t="str">
        <x:v>Retirement planning and withdrawal strategies</x:v>
      </x:c>
      <x:c r="D509" s="9" t="str">
        <x:v>Core</x:v>
      </x:c>
      <x:c r="E509" s="9" t="str">
        <x:v>T01.05</x:v>
      </x:c>
      <x:c r="F509" s="9" t="str">
        <x:v>T30.11</x:v>
      </x:c>
      <x:c r="G509" s="12" t="n">
        <x:v>8</x:v>
      </x:c>
      <x:c r="H509" s="12" t="n">
        <x:v>3</x:v>
      </x:c>
      <x:c r="I509" s="9" t="str">
        <x:v>Investigate a case</x:v>
      </x:c>
      <x:c r="J509" s="9" t="str">
        <x:v>Does this choice move you closer to your goal without weakening protection? Apply the question to retirement planning and withdrawal strategies.</x:v>
      </x:c>
      <x:c r="K509" s="13" t="str">
        <x:v>Not authored</x:v>
      </x:c>
      <x:c r="L509" s="13" t="str">
        <x:v>No</x:v>
      </x:c>
      <x:c r="M509" s="13" t="str"/>
    </x:row>
    <x:row r="510" ht="58" customHeight="1">
      <x:c r="A510" s="10" t="str">
        <x:v>T30.11</x:v>
      </x:c>
      <x:c r="B510" s="10" t="str">
        <x:v>D30</x:v>
      </x:c>
      <x:c r="C510" s="10" t="str">
        <x:v>Inflation and longevity risk</x:v>
      </x:c>
      <x:c r="D510" s="10" t="str">
        <x:v>Core</x:v>
      </x:c>
      <x:c r="E510" s="10" t="str">
        <x:v>T01.05</x:v>
      </x:c>
      <x:c r="F510" s="10" t="str">
        <x:v>T30.10</x:v>
      </x:c>
      <x:c r="G510" s="11" t="n">
        <x:v>6</x:v>
      </x:c>
      <x:c r="H510" s="11" t="n">
        <x:v>1</x:v>
      </x:c>
      <x:c r="I510" s="10" t="str">
        <x:v>Investigate a case</x:v>
      </x:c>
      <x:c r="J510" s="10" t="str">
        <x:v>Does this choice move you closer to your goal without weakening protection? Apply the question to inflation and longevity risk.</x:v>
      </x:c>
      <x:c r="K510" s="13" t="str">
        <x:v>Not authored</x:v>
      </x:c>
      <x:c r="L510" s="13" t="str">
        <x:v>No</x:v>
      </x:c>
      <x:c r="M510" s="13" t="str"/>
    </x:row>
    <x:row r="511" ht="58" customHeight="1">
      <x:c r="A511" s="9" t="str">
        <x:v>T30.12</x:v>
      </x:c>
      <x:c r="B511" s="9" t="str">
        <x:v>D30</x:v>
      </x:c>
      <x:c r="C511" s="9" t="str">
        <x:v>Employee compensation and stock benefits</x:v>
      </x:c>
      <x:c r="D511" s="9" t="str">
        <x:v>Core</x:v>
      </x:c>
      <x:c r="E511" s="9" t="str">
        <x:v>T01.05</x:v>
      </x:c>
      <x:c r="F511" s="9" t="str">
        <x:v>T30.08</x:v>
      </x:c>
      <x:c r="G511" s="12" t="n">
        <x:v>4</x:v>
      </x:c>
      <x:c r="H511" s="12" t="n">
        <x:v>1</x:v>
      </x:c>
      <x:c r="I511" s="9" t="str">
        <x:v>Investigate a case</x:v>
      </x:c>
      <x:c r="J511" s="9" t="str">
        <x:v>Does this choice move you closer to your goal without weakening protection? Apply the question to employee compensation and stock benefits.</x:v>
      </x:c>
      <x:c r="K511" s="13" t="str">
        <x:v>Not authored</x:v>
      </x:c>
      <x:c r="L511" s="13" t="str">
        <x:v>No</x:v>
      </x:c>
      <x:c r="M511" s="13" t="str"/>
    </x:row>
    <x:row r="512" ht="58" customHeight="1">
      <x:c r="A512" s="10" t="str">
        <x:v>T30.13</x:v>
      </x:c>
      <x:c r="B512" s="10" t="str">
        <x:v>D30</x:v>
      </x:c>
      <x:c r="C512" s="10" t="str">
        <x:v>Property ownership versus renting</x:v>
      </x:c>
      <x:c r="D512" s="10" t="str">
        <x:v>Core</x:v>
      </x:c>
      <x:c r="E512" s="10" t="str">
        <x:v>T01.05</x:v>
      </x:c>
      <x:c r="F512" s="10" t="str">
        <x:v>T30.05</x:v>
      </x:c>
      <x:c r="G512" s="11" t="n">
        <x:v>4</x:v>
      </x:c>
      <x:c r="H512" s="11" t="n">
        <x:v>1</x:v>
      </x:c>
      <x:c r="I512" s="10" t="str">
        <x:v>Investigate a case</x:v>
      </x:c>
      <x:c r="J512" s="10" t="str">
        <x:v>Does this choice move you closer to your goal without weakening protection? Apply the question to property ownership versus renting.</x:v>
      </x:c>
      <x:c r="K512" s="13" t="str">
        <x:v>Not authored</x:v>
      </x:c>
      <x:c r="L512" s="13" t="str">
        <x:v>No</x:v>
      </x:c>
      <x:c r="M512" s="13" t="str"/>
    </x:row>
    <x:row r="513" ht="58" customHeight="1">
      <x:c r="A513" s="9" t="str">
        <x:v>T30.14</x:v>
      </x:c>
      <x:c r="B513" s="9" t="str">
        <x:v>D30</x:v>
      </x:c>
      <x:c r="C513" s="9" t="str">
        <x:v>Family financial planning</x:v>
      </x:c>
      <x:c r="D513" s="9" t="str">
        <x:v>Core</x:v>
      </x:c>
      <x:c r="E513" s="9" t="str">
        <x:v>T01.05</x:v>
      </x:c>
      <x:c r="F513" s="9" t="str">
        <x:v>T30.15</x:v>
      </x:c>
      <x:c r="G513" s="12" t="n">
        <x:v>3</x:v>
      </x:c>
      <x:c r="H513" s="12" t="n">
        <x:v>0</x:v>
      </x:c>
      <x:c r="I513" s="9" t="str">
        <x:v>Investigate a case</x:v>
      </x:c>
      <x:c r="J513" s="9" t="str">
        <x:v>Does this choice move you closer to your goal without weakening protection? Apply the question to family financial planning.</x:v>
      </x:c>
      <x:c r="K513" s="13" t="str">
        <x:v>Not authored</x:v>
      </x:c>
      <x:c r="L513" s="13" t="str">
        <x:v>No</x:v>
      </x:c>
      <x:c r="M513" s="13" t="str"/>
    </x:row>
    <x:row r="514" ht="58" customHeight="1">
      <x:c r="A514" s="10" t="str">
        <x:v>T30.15</x:v>
      </x:c>
      <x:c r="B514" s="10" t="str">
        <x:v>D30</x:v>
      </x:c>
      <x:c r="C514" s="10" t="str">
        <x:v>Estate planning, nominations, wills, and trusts</x:v>
      </x:c>
      <x:c r="D514" s="10" t="str">
        <x:v>Core</x:v>
      </x:c>
      <x:c r="E514" s="10" t="str">
        <x:v>T01.05</x:v>
      </x:c>
      <x:c r="F514" s="10" t="str">
        <x:v>T30.16</x:v>
      </x:c>
      <x:c r="G514" s="11" t="n">
        <x:v>6</x:v>
      </x:c>
      <x:c r="H514" s="11" t="n">
        <x:v>1</x:v>
      </x:c>
      <x:c r="I514" s="10" t="str">
        <x:v>Investigate a case</x:v>
      </x:c>
      <x:c r="J514" s="10" t="str">
        <x:v>Does this choice move you closer to your goal without weakening protection? Apply the question to estate planning, nominations, wills, and trusts.</x:v>
      </x:c>
      <x:c r="K514" s="13" t="str">
        <x:v>Not authored</x:v>
      </x:c>
      <x:c r="L514" s="13" t="str">
        <x:v>No</x:v>
      </x:c>
      <x:c r="M514" s="13" t="str"/>
    </x:row>
    <x:row r="515" ht="58" customHeight="1">
      <x:c r="A515" s="9" t="str">
        <x:v>T30.16</x:v>
      </x:c>
      <x:c r="B515" s="9" t="str">
        <x:v>D30</x:v>
      </x:c>
      <x:c r="C515" s="9" t="str">
        <x:v>Wealth preservation and intergenerational transfer</x:v>
      </x:c>
      <x:c r="D515" s="9" t="str">
        <x:v>Core</x:v>
      </x:c>
      <x:c r="E515" s="9" t="str">
        <x:v>T01.05</x:v>
      </x:c>
      <x:c r="F515" s="9" t="str">
        <x:v>T30.15</x:v>
      </x:c>
      <x:c r="G515" s="12" t="n">
        <x:v>5</x:v>
      </x:c>
      <x:c r="H515" s="12" t="n">
        <x:v>1</x:v>
      </x:c>
      <x:c r="I515" s="9" t="str">
        <x:v>Investigate a case</x:v>
      </x:c>
      <x:c r="J515" s="9" t="str">
        <x:v>Does this choice move you closer to your goal without weakening protection? Apply the question to wealth preservation and intergenerational transfer.</x:v>
      </x:c>
      <x:c r="K515" s="13" t="str">
        <x:v>Not authored</x:v>
      </x:c>
      <x:c r="L515" s="13" t="str">
        <x:v>No</x:v>
      </x:c>
      <x:c r="M515" s="13" t="str"/>
    </x:row>
    <x:row r="516" ht="58" customHeight="1">
      <x:c r="A516" s="10" t="str">
        <x:v>T30.17</x:v>
      </x:c>
      <x:c r="B516" s="10" t="str">
        <x:v>D30</x:v>
      </x:c>
      <x:c r="C516" s="10" t="str">
        <x:v>Financial scams and investor protection</x:v>
      </x:c>
      <x:c r="D516" s="10" t="str">
        <x:v>Core</x:v>
      </x:c>
      <x:c r="E516" s="10" t="str">
        <x:v>T01.05</x:v>
      </x:c>
      <x:c r="F516" s="10" t="str">
        <x:v>T30.18</x:v>
      </x:c>
      <x:c r="G516" s="11" t="n">
        <x:v>4</x:v>
      </x:c>
      <x:c r="H516" s="11" t="n">
        <x:v>1</x:v>
      </x:c>
      <x:c r="I516" s="10" t="str">
        <x:v>Investigate a case</x:v>
      </x:c>
      <x:c r="J516" s="10" t="str">
        <x:v>Does this choice move you closer to your goal without weakening protection? Apply the question to financial scams and investor protection.</x:v>
      </x:c>
      <x:c r="K516" s="13" t="str">
        <x:v>Not authored</x:v>
      </x:c>
      <x:c r="L516" s="13" t="str">
        <x:v>No</x:v>
      </x:c>
      <x:c r="M516" s="13" t="str"/>
    </x:row>
    <x:row r="517" ht="58" customHeight="1">
      <x:c r="A517" s="9" t="str">
        <x:v>T30.18</x:v>
      </x:c>
      <x:c r="B517" s="9" t="str">
        <x:v>D30</x:v>
      </x:c>
      <x:c r="C517" s="9" t="str">
        <x:v>Adviser selection, fees, and conflicts of interest</x:v>
      </x:c>
      <x:c r="D517" s="9" t="str">
        <x:v>Core</x:v>
      </x:c>
      <x:c r="E517" s="9" t="str">
        <x:v>T01.05</x:v>
      </x:c>
      <x:c r="F517" s="9" t="str">
        <x:v>T30.08</x:v>
      </x:c>
      <x:c r="G517" s="12" t="n">
        <x:v>5</x:v>
      </x:c>
      <x:c r="H517" s="12" t="n">
        <x:v>1</x:v>
      </x:c>
      <x:c r="I517" s="9" t="str">
        <x:v>Investigate a case</x:v>
      </x:c>
      <x:c r="J517" s="9" t="str">
        <x:v>Does this choice move you closer to your goal without weakening protection? Apply the question to adviser selection, fees, and conflicts of interest.</x:v>
      </x:c>
      <x:c r="K517" s="13" t="str">
        <x:v>Not authored</x:v>
      </x:c>
      <x:c r="L517" s="13" t="str">
        <x:v>No</x:v>
      </x:c>
      <x:c r="M517" s="13" t="str"/>
    </x:row>
    <x:row r="518" ht="58" customHeight="1">
      <x:c r="A518" s="10" t="str">
        <x:v>T31.01</x:v>
      </x:c>
      <x:c r="B518" s="10" t="str">
        <x:v>D31</x:v>
      </x:c>
      <x:c r="C518" s="10" t="str">
        <x:v>Direct versus indirect taxation</x:v>
      </x:c>
      <x:c r="D518" s="10" t="str">
        <x:v>Specialist</x:v>
      </x:c>
      <x:c r="E518" s="10" t="str">
        <x:v>T04.05</x:v>
      </x:c>
      <x:c r="F518" s="10" t="str">
        <x:v>T31.04</x:v>
      </x:c>
      <x:c r="G518" s="11" t="n">
        <x:v>3</x:v>
      </x:c>
      <x:c r="H518" s="11" t="n">
        <x:v>0</x:v>
      </x:c>
      <x:c r="I518" s="10" t="str">
        <x:v>Inspect a calculation</x:v>
      </x:c>
      <x:c r="J518" s="10" t="str">
        <x:v>What changes when you compare after-tax cash rather than accounting profit? Apply the question to direct versus indirect taxation.</x:v>
      </x:c>
      <x:c r="K518" s="13" t="str">
        <x:v>Not authored</x:v>
      </x:c>
      <x:c r="L518" s="13" t="str">
        <x:v>No</x:v>
      </x:c>
      <x:c r="M518" s="13" t="str"/>
    </x:row>
    <x:row r="519" ht="58" customHeight="1">
      <x:c r="A519" s="9" t="str">
        <x:v>T31.02</x:v>
      </x:c>
      <x:c r="B519" s="9" t="str">
        <x:v>D31</x:v>
      </x:c>
      <x:c r="C519" s="9" t="str">
        <x:v>Taxable income versus accounting income</x:v>
      </x:c>
      <x:c r="D519" s="9" t="str">
        <x:v>Specialist</x:v>
      </x:c>
      <x:c r="E519" s="9" t="str">
        <x:v>T04.05</x:v>
      </x:c>
      <x:c r="F519" s="9" t="str">
        <x:v>T31.09</x:v>
      </x:c>
      <x:c r="G519" s="12" t="n">
        <x:v>7</x:v>
      </x:c>
      <x:c r="H519" s="12" t="n">
        <x:v>1</x:v>
      </x:c>
      <x:c r="I519" s="9" t="str">
        <x:v>Inspect a calculation</x:v>
      </x:c>
      <x:c r="J519" s="9" t="str">
        <x:v>What changes when you compare after-tax cash rather than accounting profit? Apply the question to taxable income versus accounting income.</x:v>
      </x:c>
      <x:c r="K519" s="13" t="str">
        <x:v>Not authored</x:v>
      </x:c>
      <x:c r="L519" s="13" t="str">
        <x:v>No</x:v>
      </x:c>
      <x:c r="M519" s="13" t="str"/>
    </x:row>
    <x:row r="520" ht="58" customHeight="1">
      <x:c r="A520" s="10" t="str">
        <x:v>T31.03</x:v>
      </x:c>
      <x:c r="B520" s="10" t="str">
        <x:v>D31</x:v>
      </x:c>
      <x:c r="C520" s="10" t="str">
        <x:v>Marginal versus effective tax rates</x:v>
      </x:c>
      <x:c r="D520" s="10" t="str">
        <x:v>Specialist</x:v>
      </x:c>
      <x:c r="E520" s="10" t="str">
        <x:v>T04.05</x:v>
      </x:c>
      <x:c r="F520" s="10" t="str">
        <x:v>T31.04</x:v>
      </x:c>
      <x:c r="G520" s="11" t="n">
        <x:v>5</x:v>
      </x:c>
      <x:c r="H520" s="11" t="n">
        <x:v>1</x:v>
      </x:c>
      <x:c r="I520" s="10" t="str">
        <x:v>Inspect a calculation</x:v>
      </x:c>
      <x:c r="J520" s="10" t="str">
        <x:v>What changes when you compare after-tax cash rather than accounting profit? Apply the question to marginal versus effective tax rates.</x:v>
      </x:c>
      <x:c r="K520" s="13" t="str">
        <x:v>Not authored</x:v>
      </x:c>
      <x:c r="L520" s="13" t="str">
        <x:v>No</x:v>
      </x:c>
      <x:c r="M520" s="13" t="str"/>
    </x:row>
    <x:row r="521" ht="58" customHeight="1">
      <x:c r="A521" s="9" t="str">
        <x:v>T31.04</x:v>
      </x:c>
      <x:c r="B521" s="9" t="str">
        <x:v>D31</x:v>
      </x:c>
      <x:c r="C521" s="9" t="str">
        <x:v>Individual and corporate taxation</x:v>
      </x:c>
      <x:c r="D521" s="9" t="str">
        <x:v>Specialist</x:v>
      </x:c>
      <x:c r="E521" s="9" t="str">
        <x:v>T04.05</x:v>
      </x:c>
      <x:c r="F521" s="9" t="str">
        <x:v>T31.03</x:v>
      </x:c>
      <x:c r="G521" s="12" t="n">
        <x:v>7</x:v>
      </x:c>
      <x:c r="H521" s="12" t="n">
        <x:v>1</x:v>
      </x:c>
      <x:c r="I521" s="9" t="str">
        <x:v>Inspect a calculation</x:v>
      </x:c>
      <x:c r="J521" s="9" t="str">
        <x:v>What changes when you compare after-tax cash rather than accounting profit? Apply the question to individual and corporate taxation.</x:v>
      </x:c>
      <x:c r="K521" s="13" t="str">
        <x:v>Not authored</x:v>
      </x:c>
      <x:c r="L521" s="13" t="str">
        <x:v>No</x:v>
      </x:c>
      <x:c r="M521" s="13" t="str"/>
    </x:row>
    <x:row r="522" ht="58" customHeight="1">
      <x:c r="A522" s="10" t="str">
        <x:v>T31.05</x:v>
      </x:c>
      <x:c r="B522" s="10" t="str">
        <x:v>D31</x:v>
      </x:c>
      <x:c r="C522" s="10" t="str">
        <x:v>Capital gains, dividends, and interest taxation</x:v>
      </x:c>
      <x:c r="D522" s="10" t="str">
        <x:v>Specialist</x:v>
      </x:c>
      <x:c r="E522" s="10" t="str">
        <x:v>T04.05</x:v>
      </x:c>
      <x:c r="F522" s="10" t="str">
        <x:v>T31.06</x:v>
      </x:c>
      <x:c r="G522" s="11" t="n">
        <x:v>6</x:v>
      </x:c>
      <x:c r="H522" s="11" t="n">
        <x:v>1</x:v>
      </x:c>
      <x:c r="I522" s="10" t="str">
        <x:v>Inspect a calculation</x:v>
      </x:c>
      <x:c r="J522" s="10" t="str">
        <x:v>What changes when you compare after-tax cash rather than accounting profit? Apply the question to capital gains, dividends, and interest taxation.</x:v>
      </x:c>
      <x:c r="K522" s="13" t="str">
        <x:v>Not authored</x:v>
      </x:c>
      <x:c r="L522" s="13" t="str">
        <x:v>No</x:v>
      </x:c>
      <x:c r="M522" s="13" t="str"/>
    </x:row>
    <x:row r="523" ht="58" customHeight="1">
      <x:c r="A523" s="9" t="str">
        <x:v>T31.06</x:v>
      </x:c>
      <x:c r="B523" s="9" t="str">
        <x:v>D31</x:v>
      </x:c>
      <x:c r="C523" s="9" t="str">
        <x:v>Tax treatment of investment products</x:v>
      </x:c>
      <x:c r="D523" s="9" t="str">
        <x:v>Specialist</x:v>
      </x:c>
      <x:c r="E523" s="9" t="str">
        <x:v>T04.05</x:v>
      </x:c>
      <x:c r="F523" s="9" t="str">
        <x:v>T31.05</x:v>
      </x:c>
      <x:c r="G523" s="12" t="n">
        <x:v>5</x:v>
      </x:c>
      <x:c r="H523" s="12" t="n">
        <x:v>1</x:v>
      </x:c>
      <x:c r="I523" s="9" t="str">
        <x:v>Inspect a calculation</x:v>
      </x:c>
      <x:c r="J523" s="9" t="str">
        <x:v>What changes when you compare after-tax cash rather than accounting profit? Apply the question to tax treatment of investment products.</x:v>
      </x:c>
      <x:c r="K523" s="13" t="str">
        <x:v>Not authored</x:v>
      </x:c>
      <x:c r="L523" s="13" t="str">
        <x:v>No</x:v>
      </x:c>
      <x:c r="M523" s="13" t="str"/>
    </x:row>
    <x:row r="524" ht="58" customHeight="1">
      <x:c r="A524" s="10" t="str">
        <x:v>T31.07</x:v>
      </x:c>
      <x:c r="B524" s="10" t="str">
        <x:v>D31</x:v>
      </x:c>
      <x:c r="C524" s="10" t="str">
        <x:v>Tax depreciation and capital allowances</x:v>
      </x:c>
      <x:c r="D524" s="10" t="str">
        <x:v>Specialist</x:v>
      </x:c>
      <x:c r="E524" s="10" t="str">
        <x:v>T04.05</x:v>
      </x:c>
      <x:c r="F524" s="10" t="str">
        <x:v>T31.02</x:v>
      </x:c>
      <x:c r="G524" s="11" t="n">
        <x:v>4</x:v>
      </x:c>
      <x:c r="H524" s="11" t="n">
        <x:v>1</x:v>
      </x:c>
      <x:c r="I524" s="10" t="str">
        <x:v>Inspect a calculation</x:v>
      </x:c>
      <x:c r="J524" s="10" t="str">
        <x:v>What changes when you compare after-tax cash rather than accounting profit? Apply the question to tax depreciation and capital allowances.</x:v>
      </x:c>
      <x:c r="K524" s="13" t="str">
        <x:v>Not authored</x:v>
      </x:c>
      <x:c r="L524" s="13" t="str">
        <x:v>No</x:v>
      </x:c>
      <x:c r="M524" s="13" t="str"/>
    </x:row>
    <x:row r="525" ht="58" customHeight="1">
      <x:c r="A525" s="9" t="str">
        <x:v>T31.08</x:v>
      </x:c>
      <x:c r="B525" s="9" t="str">
        <x:v>D31</x:v>
      </x:c>
      <x:c r="C525" s="9" t="str">
        <x:v>Loss set-offs and carryforwards</x:v>
      </x:c>
      <x:c r="D525" s="9" t="str">
        <x:v>Specialist</x:v>
      </x:c>
      <x:c r="E525" s="9" t="str">
        <x:v>T04.05</x:v>
      </x:c>
      <x:c r="F525" s="9" t="str">
        <x:v>T31.09</x:v>
      </x:c>
      <x:c r="G525" s="12" t="n">
        <x:v>4</x:v>
      </x:c>
      <x:c r="H525" s="12" t="n">
        <x:v>1</x:v>
      </x:c>
      <x:c r="I525" s="9" t="str">
        <x:v>Inspect a calculation</x:v>
      </x:c>
      <x:c r="J525" s="9" t="str">
        <x:v>What changes when you compare after-tax cash rather than accounting profit? Apply the question to loss set-offs and carryforwards.</x:v>
      </x:c>
      <x:c r="K525" s="13" t="str">
        <x:v>Not authored</x:v>
      </x:c>
      <x:c r="L525" s="13" t="str">
        <x:v>No</x:v>
      </x:c>
      <x:c r="M525" s="13" t="str"/>
    </x:row>
    <x:row r="526" ht="58" customHeight="1">
      <x:c r="A526" s="10" t="str">
        <x:v>T31.09</x:v>
      </x:c>
      <x:c r="B526" s="10" t="str">
        <x:v>D31</x:v>
      </x:c>
      <x:c r="C526" s="10" t="str">
        <x:v>Deferred tax</x:v>
      </x:c>
      <x:c r="D526" s="10" t="str">
        <x:v>Specialist</x:v>
      </x:c>
      <x:c r="E526" s="10" t="str">
        <x:v>T04.05, T31.02</x:v>
      </x:c>
      <x:c r="F526" s="10" t="str">
        <x:v>T31.02</x:v>
      </x:c>
      <x:c r="G526" s="11" t="n">
        <x:v>8</x:v>
      </x:c>
      <x:c r="H526" s="11" t="n">
        <x:v>2</x:v>
      </x:c>
      <x:c r="I526" s="10" t="str">
        <x:v>Inspect a calculation</x:v>
      </x:c>
      <x:c r="J526" s="10" t="str">
        <x:v>What changes when you compare after-tax cash rather than accounting profit? Apply the question to deferred tax.</x:v>
      </x:c>
      <x:c r="K526" s="13" t="str">
        <x:v>Not authored</x:v>
      </x:c>
      <x:c r="L526" s="13" t="str">
        <x:v>No</x:v>
      </x:c>
      <x:c r="M526" s="13" t="str"/>
    </x:row>
    <x:row r="527" ht="58" customHeight="1">
      <x:c r="A527" s="9" t="str">
        <x:v>T31.10</x:v>
      </x:c>
      <x:c r="B527" s="9" t="str">
        <x:v>D31</x:v>
      </x:c>
      <x:c r="C527" s="9" t="str">
        <x:v>GST and its working-capital implications</x:v>
      </x:c>
      <x:c r="D527" s="9" t="str">
        <x:v>Specialist</x:v>
      </x:c>
      <x:c r="E527" s="9" t="str">
        <x:v>T04.05</x:v>
      </x:c>
      <x:c r="F527" s="9" t="str">
        <x:v>T31.11</x:v>
      </x:c>
      <x:c r="G527" s="12" t="n">
        <x:v>5</x:v>
      </x:c>
      <x:c r="H527" s="12" t="n">
        <x:v>1</x:v>
      </x:c>
      <x:c r="I527" s="9" t="str">
        <x:v>Inspect a calculation</x:v>
      </x:c>
      <x:c r="J527" s="9" t="str">
        <x:v>What changes when you compare after-tax cash rather than accounting profit? Apply the question to gst and its working-capital implications.</x:v>
      </x:c>
      <x:c r="K527" s="13" t="str">
        <x:v>Not authored</x:v>
      </x:c>
      <x:c r="L527" s="13" t="str">
        <x:v>No</x:v>
      </x:c>
      <x:c r="M527" s="13" t="str"/>
    </x:row>
    <x:row r="528" ht="58" customHeight="1">
      <x:c r="A528" s="10" t="str">
        <x:v>T31.11</x:v>
      </x:c>
      <x:c r="B528" s="10" t="str">
        <x:v>D31</x:v>
      </x:c>
      <x:c r="C528" s="10" t="str">
        <x:v>Withholding taxes and tax deducted at source</x:v>
      </x:c>
      <x:c r="D528" s="10" t="str">
        <x:v>Specialist</x:v>
      </x:c>
      <x:c r="E528" s="10" t="str">
        <x:v>T04.05</x:v>
      </x:c>
      <x:c r="F528" s="10" t="str">
        <x:v>T31.10</x:v>
      </x:c>
      <x:c r="G528" s="11" t="n">
        <x:v>4</x:v>
      </x:c>
      <x:c r="H528" s="11" t="n">
        <x:v>0</x:v>
      </x:c>
      <x:c r="I528" s="10" t="str">
        <x:v>Inspect a calculation</x:v>
      </x:c>
      <x:c r="J528" s="10" t="str">
        <x:v>What changes when you compare after-tax cash rather than accounting profit? Apply the question to withholding taxes and tax deducted at source.</x:v>
      </x:c>
      <x:c r="K528" s="13" t="str">
        <x:v>Not authored</x:v>
      </x:c>
      <x:c r="L528" s="13" t="str">
        <x:v>No</x:v>
      </x:c>
      <x:c r="M528" s="13" t="str"/>
    </x:row>
    <x:row r="529" ht="58" customHeight="1">
      <x:c r="A529" s="9" t="str">
        <x:v>T31.12</x:v>
      </x:c>
      <x:c r="B529" s="9" t="str">
        <x:v>D31</x:v>
      </x:c>
      <x:c r="C529" s="9" t="str">
        <x:v>Cross-border taxation and tax treaties</x:v>
      </x:c>
      <x:c r="D529" s="9" t="str">
        <x:v>Specialist</x:v>
      </x:c>
      <x:c r="E529" s="9" t="str">
        <x:v>T04.05</x:v>
      </x:c>
      <x:c r="F529" s="9" t="str">
        <x:v>T31.13</x:v>
      </x:c>
      <x:c r="G529" s="12" t="n">
        <x:v>5</x:v>
      </x:c>
      <x:c r="H529" s="12" t="n">
        <x:v>1</x:v>
      </x:c>
      <x:c r="I529" s="9" t="str">
        <x:v>Inspect a calculation</x:v>
      </x:c>
      <x:c r="J529" s="9" t="str">
        <x:v>What changes when you compare after-tax cash rather than accounting profit? Apply the question to cross-border taxation and tax treaties.</x:v>
      </x:c>
      <x:c r="K529" s="13" t="str">
        <x:v>Not authored</x:v>
      </x:c>
      <x:c r="L529" s="13" t="str">
        <x:v>No</x:v>
      </x:c>
      <x:c r="M529" s="13" t="str"/>
    </x:row>
    <x:row r="530" ht="58" customHeight="1">
      <x:c r="A530" s="10" t="str">
        <x:v>T31.13</x:v>
      </x:c>
      <x:c r="B530" s="10" t="str">
        <x:v>D31</x:v>
      </x:c>
      <x:c r="C530" s="10" t="str">
        <x:v>Transfer pricing for tax purposes</x:v>
      </x:c>
      <x:c r="D530" s="10" t="str">
        <x:v>Specialist</x:v>
      </x:c>
      <x:c r="E530" s="10" t="str">
        <x:v>T04.05</x:v>
      </x:c>
      <x:c r="F530" s="10" t="str">
        <x:v>T31.12</x:v>
      </x:c>
      <x:c r="G530" s="11" t="n">
        <x:v>5</x:v>
      </x:c>
      <x:c r="H530" s="11" t="n">
        <x:v>1</x:v>
      </x:c>
      <x:c r="I530" s="10" t="str">
        <x:v>Inspect a calculation</x:v>
      </x:c>
      <x:c r="J530" s="10" t="str">
        <x:v>What changes when you compare after-tax cash rather than accounting profit? Apply the question to transfer pricing for tax purposes.</x:v>
      </x:c>
      <x:c r="K530" s="13" t="str">
        <x:v>Not authored</x:v>
      </x:c>
      <x:c r="L530" s="13" t="str">
        <x:v>No</x:v>
      </x:c>
      <x:c r="M530" s="13" t="str"/>
    </x:row>
    <x:row r="531" ht="58" customHeight="1">
      <x:c r="A531" s="9" t="str">
        <x:v>T31.14</x:v>
      </x:c>
      <x:c r="B531" s="9" t="str">
        <x:v>D31</x:v>
      </x:c>
      <x:c r="C531" s="9" t="str">
        <x:v>Transaction and restructuring taxation</x:v>
      </x:c>
      <x:c r="D531" s="9" t="str">
        <x:v>Specialist</x:v>
      </x:c>
      <x:c r="E531" s="9" t="str">
        <x:v>T04.05</x:v>
      </x:c>
      <x:c r="F531" s="9" t="str">
        <x:v>T31.16</x:v>
      </x:c>
      <x:c r="G531" s="12" t="n">
        <x:v>4</x:v>
      </x:c>
      <x:c r="H531" s="12" t="n">
        <x:v>1</x:v>
      </x:c>
      <x:c r="I531" s="9" t="str">
        <x:v>Inspect a calculation</x:v>
      </x:c>
      <x:c r="J531" s="9" t="str">
        <x:v>What changes when you compare after-tax cash rather than accounting profit? Apply the question to transaction and restructuring taxation.</x:v>
      </x:c>
      <x:c r="K531" s="13" t="str">
        <x:v>Not authored</x:v>
      </x:c>
      <x:c r="L531" s="13" t="str">
        <x:v>No</x:v>
      </x:c>
      <x:c r="M531" s="13" t="str"/>
    </x:row>
    <x:row r="532" ht="58" customHeight="1">
      <x:c r="A532" s="10" t="str">
        <x:v>T31.15</x:v>
      </x:c>
      <x:c r="B532" s="10" t="str">
        <x:v>D31</x:v>
      </x:c>
      <x:c r="C532" s="10" t="str">
        <x:v>Tax planning versus tax evasion</x:v>
      </x:c>
      <x:c r="D532" s="10" t="str">
        <x:v>Specialist</x:v>
      </x:c>
      <x:c r="E532" s="10" t="str">
        <x:v>T04.05</x:v>
      </x:c>
      <x:c r="F532" s="10" t="str">
        <x:v>T31.04</x:v>
      </x:c>
      <x:c r="G532" s="11" t="n">
        <x:v>3</x:v>
      </x:c>
      <x:c r="H532" s="11" t="n">
        <x:v>0</x:v>
      </x:c>
      <x:c r="I532" s="10" t="str">
        <x:v>Inspect a calculation</x:v>
      </x:c>
      <x:c r="J532" s="10" t="str">
        <x:v>What changes when you compare after-tax cash rather than accounting profit? Apply the question to tax planning versus tax evasion.</x:v>
      </x:c>
      <x:c r="K532" s="13" t="str">
        <x:v>Not authored</x:v>
      </x:c>
      <x:c r="L532" s="13" t="str">
        <x:v>No</x:v>
      </x:c>
      <x:c r="M532" s="13" t="str"/>
    </x:row>
    <x:row r="533" ht="58" customHeight="1">
      <x:c r="A533" s="9" t="str">
        <x:v>T31.16</x:v>
      </x:c>
      <x:c r="B533" s="9" t="str">
        <x:v>D31</x:v>
      </x:c>
      <x:c r="C533" s="9" t="str">
        <x:v>After-tax returns and tax-aware valuation</x:v>
      </x:c>
      <x:c r="D533" s="9" t="str">
        <x:v>Specialist</x:v>
      </x:c>
      <x:c r="E533" s="9" t="str">
        <x:v>T04.05</x:v>
      </x:c>
      <x:c r="F533" s="9" t="str">
        <x:v>T31.05</x:v>
      </x:c>
      <x:c r="G533" s="12" t="n">
        <x:v>5</x:v>
      </x:c>
      <x:c r="H533" s="12" t="n">
        <x:v>1</x:v>
      </x:c>
      <x:c r="I533" s="9" t="str">
        <x:v>Inspect a calculation</x:v>
      </x:c>
      <x:c r="J533" s="9" t="str">
        <x:v>What changes when you compare after-tax cash rather than accounting profit? Apply the question to after-tax returns and tax-aware valuation.</x:v>
      </x:c>
      <x:c r="K533" s="13" t="str">
        <x:v>Not authored</x:v>
      </x:c>
      <x:c r="L533" s="13" t="str">
        <x:v>No</x:v>
      </x:c>
      <x:c r="M533" s="13" t="str"/>
    </x:row>
    <x:row r="534" ht="58" customHeight="1">
      <x:c r="A534" s="10" t="str">
        <x:v>T32.01</x:v>
      </x:c>
      <x:c r="B534" s="10" t="str">
        <x:v>D32</x:v>
      </x:c>
      <x:c r="C534" s="10" t="str">
        <x:v>GDP, growth, productivity, and business cycles</x:v>
      </x:c>
      <x:c r="D534" s="10" t="str">
        <x:v>Core</x:v>
      </x:c>
      <x:c r="E534" s="10" t="str">
        <x:v>T01.03</x:v>
      </x:c>
      <x:c r="F534" s="10" t="str">
        <x:v>T32.15</x:v>
      </x:c>
      <x:c r="G534" s="11" t="n">
        <x:v>5</x:v>
      </x:c>
      <x:c r="H534" s="11" t="n">
        <x:v>0</x:v>
      </x:c>
      <x:c r="I534" s="10" t="str">
        <x:v>Compare scenarios</x:v>
      </x:c>
      <x:c r="J534" s="10" t="str">
        <x:v>Through which channel would this policy change affect a company or portfolio? Apply the question to gdp, growth, productivity, and business cycles.</x:v>
      </x:c>
      <x:c r="K534" s="13" t="str">
        <x:v>Not authored</x:v>
      </x:c>
      <x:c r="L534" s="13" t="str">
        <x:v>No</x:v>
      </x:c>
      <x:c r="M534" s="13" t="str"/>
    </x:row>
    <x:row r="535" ht="58" customHeight="1">
      <x:c r="A535" s="9" t="str">
        <x:v>T32.02</x:v>
      </x:c>
      <x:c r="B535" s="9" t="str">
        <x:v>D32</x:v>
      </x:c>
      <x:c r="C535" s="9" t="str">
        <x:v>Inflation, disinflation, and deflation</x:v>
      </x:c>
      <x:c r="D535" s="9" t="str">
        <x:v>Core</x:v>
      </x:c>
      <x:c r="E535" s="9" t="str">
        <x:v>T01.03</x:v>
      </x:c>
      <x:c r="F535" s="9" t="str">
        <x:v>T32.05</x:v>
      </x:c>
      <x:c r="G535" s="12" t="n">
        <x:v>4</x:v>
      </x:c>
      <x:c r="H535" s="12" t="n">
        <x:v>1</x:v>
      </x:c>
      <x:c r="I535" s="9" t="str">
        <x:v>Compare scenarios</x:v>
      </x:c>
      <x:c r="J535" s="9" t="str">
        <x:v>Through which channel would this policy change affect a company or portfolio? Apply the question to inflation, disinflation, and deflation.</x:v>
      </x:c>
      <x:c r="K535" s="13" t="str">
        <x:v>Not authored</x:v>
      </x:c>
      <x:c r="L535" s="13" t="str">
        <x:v>No</x:v>
      </x:c>
      <x:c r="M535" s="13" t="str"/>
    </x:row>
    <x:row r="536" ht="58" customHeight="1">
      <x:c r="A536" s="10" t="str">
        <x:v>T32.03</x:v>
      </x:c>
      <x:c r="B536" s="10" t="str">
        <x:v>D32</x:v>
      </x:c>
      <x:c r="C536" s="10" t="str">
        <x:v>Employment, wages, and consumption</x:v>
      </x:c>
      <x:c r="D536" s="10" t="str">
        <x:v>Core</x:v>
      </x:c>
      <x:c r="E536" s="10" t="str">
        <x:v>T01.03</x:v>
      </x:c>
      <x:c r="F536" s="10" t="str">
        <x:v>T32.01</x:v>
      </x:c>
      <x:c r="G536" s="11" t="n">
        <x:v>3</x:v>
      </x:c>
      <x:c r="H536" s="11" t="n">
        <x:v>0</x:v>
      </x:c>
      <x:c r="I536" s="10" t="str">
        <x:v>Compare scenarios</x:v>
      </x:c>
      <x:c r="J536" s="10" t="str">
        <x:v>Through which channel would this policy change affect a company or portfolio? Apply the question to employment, wages, and consumption.</x:v>
      </x:c>
      <x:c r="K536" s="13" t="str">
        <x:v>Not authored</x:v>
      </x:c>
      <x:c r="L536" s="13" t="str">
        <x:v>No</x:v>
      </x:c>
      <x:c r="M536" s="13" t="str"/>
    </x:row>
    <x:row r="537" ht="58" customHeight="1">
      <x:c r="A537" s="9" t="str">
        <x:v>T32.04</x:v>
      </x:c>
      <x:c r="B537" s="9" t="str">
        <x:v>D32</x:v>
      </x:c>
      <x:c r="C537" s="9" t="str">
        <x:v>Money supply, credit, and liquidity</x:v>
      </x:c>
      <x:c r="D537" s="9" t="str">
        <x:v>Core</x:v>
      </x:c>
      <x:c r="E537" s="9" t="str">
        <x:v>T01.03</x:v>
      </x:c>
      <x:c r="F537" s="9" t="str">
        <x:v>T32.05</x:v>
      </x:c>
      <x:c r="G537" s="12" t="n">
        <x:v>4</x:v>
      </x:c>
      <x:c r="H537" s="12" t="n">
        <x:v>1</x:v>
      </x:c>
      <x:c r="I537" s="9" t="str">
        <x:v>Compare scenarios</x:v>
      </x:c>
      <x:c r="J537" s="9" t="str">
        <x:v>Through which channel would this policy change affect a company or portfolio? Apply the question to money supply, credit, and liquidity.</x:v>
      </x:c>
      <x:c r="K537" s="13" t="str">
        <x:v>Not authored</x:v>
      </x:c>
      <x:c r="L537" s="13" t="str">
        <x:v>No</x:v>
      </x:c>
      <x:c r="M537" s="13" t="str"/>
    </x:row>
    <x:row r="538" ht="58" customHeight="1">
      <x:c r="A538" s="10" t="str">
        <x:v>T32.05</x:v>
      </x:c>
      <x:c r="B538" s="10" t="str">
        <x:v>D32</x:v>
      </x:c>
      <x:c r="C538" s="10" t="str">
        <x:v>Central banks and monetary transmission</x:v>
      </x:c>
      <x:c r="D538" s="10" t="str">
        <x:v>Core</x:v>
      </x:c>
      <x:c r="E538" s="10" t="str">
        <x:v>T01.03</x:v>
      </x:c>
      <x:c r="F538" s="10" t="str">
        <x:v>T32.06</x:v>
      </x:c>
      <x:c r="G538" s="11" t="n">
        <x:v>7</x:v>
      </x:c>
      <x:c r="H538" s="11" t="n">
        <x:v>1</x:v>
      </x:c>
      <x:c r="I538" s="10" t="str">
        <x:v>Compare scenarios</x:v>
      </x:c>
      <x:c r="J538" s="10" t="str">
        <x:v>Through which channel would this policy change affect a company or portfolio? Apply the question to central banks and monetary transmission.</x:v>
      </x:c>
      <x:c r="K538" s="13" t="str">
        <x:v>Not authored</x:v>
      </x:c>
      <x:c r="L538" s="13" t="str">
        <x:v>No</x:v>
      </x:c>
      <x:c r="M538" s="13" t="str"/>
    </x:row>
    <x:row r="539" ht="58" customHeight="1">
      <x:c r="A539" s="9" t="str">
        <x:v>T32.06</x:v>
      </x:c>
      <x:c r="B539" s="9" t="str">
        <x:v>D32</x:v>
      </x:c>
      <x:c r="C539" s="9" t="str">
        <x:v>Policy rates, reserve requirements, and open-market operations</x:v>
      </x:c>
      <x:c r="D539" s="9" t="str">
        <x:v>Core</x:v>
      </x:c>
      <x:c r="E539" s="9" t="str">
        <x:v>T01.03</x:v>
      </x:c>
      <x:c r="F539" s="9" t="str">
        <x:v>T32.07</x:v>
      </x:c>
      <x:c r="G539" s="12" t="n">
        <x:v>7</x:v>
      </x:c>
      <x:c r="H539" s="12" t="n">
        <x:v>2</x:v>
      </x:c>
      <x:c r="I539" s="9" t="str">
        <x:v>Compare scenarios</x:v>
      </x:c>
      <x:c r="J539" s="9" t="str">
        <x:v>Through which channel would this policy change affect a company or portfolio? Apply the question to policy rates, reserve requirements, and open-market operations.</x:v>
      </x:c>
      <x:c r="K539" s="13" t="str">
        <x:v>Not authored</x:v>
      </x:c>
      <x:c r="L539" s="13" t="str">
        <x:v>No</x:v>
      </x:c>
      <x:c r="M539" s="13" t="str"/>
    </x:row>
    <x:row r="540" ht="58" customHeight="1">
      <x:c r="A540" s="10" t="str">
        <x:v>T32.07</x:v>
      </x:c>
      <x:c r="B540" s="10" t="str">
        <x:v>D32</x:v>
      </x:c>
      <x:c r="C540" s="10" t="str">
        <x:v>Quantitative easing and tightening</x:v>
      </x:c>
      <x:c r="D540" s="10" t="str">
        <x:v>Core</x:v>
      </x:c>
      <x:c r="E540" s="10" t="str">
        <x:v>T01.03</x:v>
      </x:c>
      <x:c r="F540" s="10" t="str">
        <x:v>T32.06</x:v>
      </x:c>
      <x:c r="G540" s="11" t="n">
        <x:v>4</x:v>
      </x:c>
      <x:c r="H540" s="11" t="n">
        <x:v>0</x:v>
      </x:c>
      <x:c r="I540" s="10" t="str">
        <x:v>Compare scenarios</x:v>
      </x:c>
      <x:c r="J540" s="10" t="str">
        <x:v>Through which channel would this policy change affect a company or portfolio? Apply the question to quantitative easing and tightening.</x:v>
      </x:c>
      <x:c r="K540" s="13" t="str">
        <x:v>Not authored</x:v>
      </x:c>
      <x:c r="L540" s="13" t="str">
        <x:v>No</x:v>
      </x:c>
      <x:c r="M540" s="13" t="str"/>
    </x:row>
    <x:row r="541" ht="58" customHeight="1">
      <x:c r="A541" s="9" t="str">
        <x:v>T32.08</x:v>
      </x:c>
      <x:c r="B541" s="9" t="str">
        <x:v>D32</x:v>
      </x:c>
      <x:c r="C541" s="9" t="str">
        <x:v>Fiscal policy, taxation, and government spending</x:v>
      </x:c>
      <x:c r="D541" s="9" t="str">
        <x:v>Core</x:v>
      </x:c>
      <x:c r="E541" s="9" t="str">
        <x:v>T01.03</x:v>
      </x:c>
      <x:c r="F541" s="9" t="str">
        <x:v>T32.09</x:v>
      </x:c>
      <x:c r="G541" s="12" t="n">
        <x:v>5</x:v>
      </x:c>
      <x:c r="H541" s="12" t="n">
        <x:v>2</x:v>
      </x:c>
      <x:c r="I541" s="9" t="str">
        <x:v>Compare scenarios</x:v>
      </x:c>
      <x:c r="J541" s="9" t="str">
        <x:v>Through which channel would this policy change affect a company or portfolio? Apply the question to fiscal policy, taxation, and government spending.</x:v>
      </x:c>
      <x:c r="K541" s="13" t="str">
        <x:v>Not authored</x:v>
      </x:c>
      <x:c r="L541" s="13" t="str">
        <x:v>No</x:v>
      </x:c>
      <x:c r="M541" s="13" t="str"/>
    </x:row>
    <x:row r="542" ht="58" customHeight="1">
      <x:c r="A542" s="10" t="str">
        <x:v>T32.09</x:v>
      </x:c>
      <x:c r="B542" s="10" t="str">
        <x:v>D32</x:v>
      </x:c>
      <x:c r="C542" s="10" t="str">
        <x:v>Fiscal deficits and public debt</x:v>
      </x:c>
      <x:c r="D542" s="10" t="str">
        <x:v>Core</x:v>
      </x:c>
      <x:c r="E542" s="10" t="str">
        <x:v>T01.03</x:v>
      </x:c>
      <x:c r="F542" s="10" t="str">
        <x:v>T32.10</x:v>
      </x:c>
      <x:c r="G542" s="11" t="n">
        <x:v>6</x:v>
      </x:c>
      <x:c r="H542" s="11" t="n">
        <x:v>1</x:v>
      </x:c>
      <x:c r="I542" s="10" t="str">
        <x:v>Compare scenarios</x:v>
      </x:c>
      <x:c r="J542" s="10" t="str">
        <x:v>Through which channel would this policy change affect a company or portfolio? Apply the question to fiscal deficits and public debt.</x:v>
      </x:c>
      <x:c r="K542" s="13" t="str">
        <x:v>Not authored</x:v>
      </x:c>
      <x:c r="L542" s="13" t="str">
        <x:v>No</x:v>
      </x:c>
      <x:c r="M542" s="13" t="str"/>
    </x:row>
    <x:row r="543" ht="58" customHeight="1">
      <x:c r="A543" s="9" t="str">
        <x:v>T32.10</x:v>
      </x:c>
      <x:c r="B543" s="9" t="str">
        <x:v>D32</x:v>
      </x:c>
      <x:c r="C543" s="9" t="str">
        <x:v>Sovereign borrowing and debt sustainability</x:v>
      </x:c>
      <x:c r="D543" s="9" t="str">
        <x:v>Core</x:v>
      </x:c>
      <x:c r="E543" s="9" t="str">
        <x:v>T01.03</x:v>
      </x:c>
      <x:c r="F543" s="9" t="str">
        <x:v>T32.09</x:v>
      </x:c>
      <x:c r="G543" s="12" t="n">
        <x:v>6</x:v>
      </x:c>
      <x:c r="H543" s="12" t="n">
        <x:v>1</x:v>
      </x:c>
      <x:c r="I543" s="9" t="str">
        <x:v>Compare scenarios</x:v>
      </x:c>
      <x:c r="J543" s="9" t="str">
        <x:v>Through which channel would this policy change affect a company or portfolio? Apply the question to sovereign borrowing and debt sustainability.</x:v>
      </x:c>
      <x:c r="K543" s="13" t="str">
        <x:v>Not authored</x:v>
      </x:c>
      <x:c r="L543" s="13" t="str">
        <x:v>No</x:v>
      </x:c>
      <x:c r="M543" s="13" t="str"/>
    </x:row>
    <x:row r="544" ht="58" customHeight="1">
      <x:c r="A544" s="10" t="str">
        <x:v>T32.11</x:v>
      </x:c>
      <x:c r="B544" s="10" t="str">
        <x:v>D32</x:v>
      </x:c>
      <x:c r="C544" s="10" t="str">
        <x:v>Balance of payments and international capital flows</x:v>
      </x:c>
      <x:c r="D544" s="10" t="str">
        <x:v>Core</x:v>
      </x:c>
      <x:c r="E544" s="10" t="str">
        <x:v>T01.03</x:v>
      </x:c>
      <x:c r="F544" s="10" t="str">
        <x:v>T32.12</x:v>
      </x:c>
      <x:c r="G544" s="11" t="n">
        <x:v>5</x:v>
      </x:c>
      <x:c r="H544" s="11" t="n">
        <x:v>1</x:v>
      </x:c>
      <x:c r="I544" s="10" t="str">
        <x:v>Compare scenarios</x:v>
      </x:c>
      <x:c r="J544" s="10" t="str">
        <x:v>Through which channel would this policy change affect a company or portfolio? Apply the question to balance of payments and international capital flows.</x:v>
      </x:c>
      <x:c r="K544" s="13" t="str">
        <x:v>Not authored</x:v>
      </x:c>
      <x:c r="L544" s="13" t="str">
        <x:v>No</x:v>
      </x:c>
      <x:c r="M544" s="13" t="str"/>
    </x:row>
    <x:row r="545" ht="58" customHeight="1">
      <x:c r="A545" s="9" t="str">
        <x:v>T32.12</x:v>
      </x:c>
      <x:c r="B545" s="9" t="str">
        <x:v>D32</x:v>
      </x:c>
      <x:c r="C545" s="9" t="str">
        <x:v>Exchange-rate regimes</x:v>
      </x:c>
      <x:c r="D545" s="9" t="str">
        <x:v>Core</x:v>
      </x:c>
      <x:c r="E545" s="9" t="str">
        <x:v>T01.03</x:v>
      </x:c>
      <x:c r="F545" s="9" t="str">
        <x:v>T32.11</x:v>
      </x:c>
      <x:c r="G545" s="12" t="n">
        <x:v>5</x:v>
      </x:c>
      <x:c r="H545" s="12" t="n">
        <x:v>0</x:v>
      </x:c>
      <x:c r="I545" s="9" t="str">
        <x:v>Compare scenarios</x:v>
      </x:c>
      <x:c r="J545" s="9" t="str">
        <x:v>Through which channel would this policy change affect a company or portfolio? Apply the question to exchange-rate regimes.</x:v>
      </x:c>
      <x:c r="K545" s="13" t="str">
        <x:v>Not authored</x:v>
      </x:c>
      <x:c r="L545" s="13" t="str">
        <x:v>No</x:v>
      </x:c>
      <x:c r="M545" s="13" t="str"/>
    </x:row>
    <x:row r="546" ht="58" customHeight="1">
      <x:c r="A546" s="10" t="str">
        <x:v>T32.13</x:v>
      </x:c>
      <x:c r="B546" s="10" t="str">
        <x:v>D32</x:v>
      </x:c>
      <x:c r="C546" s="10" t="str">
        <x:v>Sovereign credit risk</x:v>
      </x:c>
      <x:c r="D546" s="10" t="str">
        <x:v>Core</x:v>
      </x:c>
      <x:c r="E546" s="10" t="str">
        <x:v>T01.03</x:v>
      </x:c>
      <x:c r="F546" s="10" t="str">
        <x:v>T32.10</x:v>
      </x:c>
      <x:c r="G546" s="11" t="n">
        <x:v>4</x:v>
      </x:c>
      <x:c r="H546" s="11" t="n">
        <x:v>1</x:v>
      </x:c>
      <x:c r="I546" s="10" t="str">
        <x:v>Compare scenarios</x:v>
      </x:c>
      <x:c r="J546" s="10" t="str">
        <x:v>Through which channel would this policy change affect a company or portfolio? Apply the question to sovereign credit risk.</x:v>
      </x:c>
      <x:c r="K546" s="13" t="str">
        <x:v>Not authored</x:v>
      </x:c>
      <x:c r="L546" s="13" t="str">
        <x:v>No</x:v>
      </x:c>
      <x:c r="M546" s="13" t="str"/>
    </x:row>
    <x:row r="547" ht="58" customHeight="1">
      <x:c r="A547" s="9" t="str">
        <x:v>T32.14</x:v>
      </x:c>
      <x:c r="B547" s="9" t="str">
        <x:v>D32</x:v>
      </x:c>
      <x:c r="C547" s="9" t="str">
        <x:v>Financial repression and capital controls</x:v>
      </x:c>
      <x:c r="D547" s="9" t="str">
        <x:v>Core</x:v>
      </x:c>
      <x:c r="E547" s="9" t="str">
        <x:v>T01.03</x:v>
      </x:c>
      <x:c r="F547" s="9" t="str">
        <x:v>T32.12</x:v>
      </x:c>
      <x:c r="G547" s="12" t="n">
        <x:v>3</x:v>
      </x:c>
      <x:c r="H547" s="12" t="n">
        <x:v>0</x:v>
      </x:c>
      <x:c r="I547" s="9" t="str">
        <x:v>Compare scenarios</x:v>
      </x:c>
      <x:c r="J547" s="9" t="str">
        <x:v>Through which channel would this policy change affect a company or portfolio? Apply the question to financial repression and capital controls.</x:v>
      </x:c>
      <x:c r="K547" s="13" t="str">
        <x:v>Not authored</x:v>
      </x:c>
      <x:c r="L547" s="13" t="str">
        <x:v>No</x:v>
      </x:c>
      <x:c r="M547" s="13" t="str"/>
    </x:row>
    <x:row r="548" ht="58" customHeight="1">
      <x:c r="A548" s="10" t="str">
        <x:v>T32.15</x:v>
      </x:c>
      <x:c r="B548" s="10" t="str">
        <x:v>D32</x:v>
      </x:c>
      <x:c r="C548" s="10" t="str">
        <x:v>Leading indicators and macroeconomic forecasting</x:v>
      </x:c>
      <x:c r="D548" s="10" t="str">
        <x:v>Core</x:v>
      </x:c>
      <x:c r="E548" s="10" t="str">
        <x:v>T01.03</x:v>
      </x:c>
      <x:c r="F548" s="10" t="str">
        <x:v>T32.01</x:v>
      </x:c>
      <x:c r="G548" s="11" t="n">
        <x:v>4</x:v>
      </x:c>
      <x:c r="H548" s="11" t="n">
        <x:v>0</x:v>
      </x:c>
      <x:c r="I548" s="10" t="str">
        <x:v>Compare scenarios</x:v>
      </x:c>
      <x:c r="J548" s="10" t="str">
        <x:v>Through which channel would this policy change affect a company or portfolio? Apply the question to leading indicators and macroeconomic forecasting.</x:v>
      </x:c>
      <x:c r="K548" s="13" t="str">
        <x:v>Not authored</x:v>
      </x:c>
      <x:c r="L548" s="13" t="str">
        <x:v>No</x:v>
      </x:c>
      <x:c r="M548" s="13" t="str"/>
    </x:row>
    <x:row r="549" ht="58" customHeight="1">
      <x:c r="A549" s="9" t="str">
        <x:v>T32.16</x:v>
      </x:c>
      <x:c r="B549" s="9" t="str">
        <x:v>D32</x:v>
      </x:c>
      <x:c r="C549" s="9" t="str">
        <x:v>How macroeconomic changes affect companies, valuations, and portfolios</x:v>
      </x:c>
      <x:c r="D549" s="9" t="str">
        <x:v>Core</x:v>
      </x:c>
      <x:c r="E549" s="9" t="str">
        <x:v>T01.03</x:v>
      </x:c>
      <x:c r="F549" s="9" t="str">
        <x:v>T32.05</x:v>
      </x:c>
      <x:c r="G549" s="12" t="n">
        <x:v>5</x:v>
      </x:c>
      <x:c r="H549" s="12" t="n">
        <x:v>2</x:v>
      </x:c>
      <x:c r="I549" s="9" t="str">
        <x:v>Compare scenarios</x:v>
      </x:c>
      <x:c r="J549" s="9" t="str">
        <x:v>Through which channel would this policy change affect a company or portfolio? Apply the question to how macroeconomic changes affect companies, valuations, and portfolios.</x:v>
      </x:c>
      <x:c r="K549" s="13" t="str">
        <x:v>Not authored</x:v>
      </x:c>
      <x:c r="L549" s="13" t="str">
        <x:v>No</x:v>
      </x:c>
      <x:c r="M549" s="13" t="str"/>
    </x:row>
    <x:row r="550" ht="58" customHeight="1">
      <x:c r="A550" s="10" t="str">
        <x:v>T33.01</x:v>
      </x:c>
      <x:c r="B550" s="10" t="str">
        <x:v>D33</x:v>
      </x:c>
      <x:c r="C550" s="10" t="str">
        <x:v>Currency quotations and cross-rates</x:v>
      </x:c>
      <x:c r="D550" s="10" t="str">
        <x:v>Advanced</x:v>
      </x:c>
      <x:c r="E550" s="10" t="str">
        <x:v>T03.09</x:v>
      </x:c>
      <x:c r="F550" s="10" t="str">
        <x:v>T33.02</x:v>
      </x:c>
      <x:c r="G550" s="11" t="n">
        <x:v>6</x:v>
      </x:c>
      <x:c r="H550" s="11" t="n">
        <x:v>2</x:v>
      </x:c>
      <x:c r="I550" s="10" t="str">
        <x:v>Compare scenarios</x:v>
      </x:c>
      <x:c r="J550" s="10" t="str">
        <x:v>What happens if the currency moves against the cash flow you expect? Apply the question to currency quotations and cross-rates.</x:v>
      </x:c>
      <x:c r="K550" s="13" t="str">
        <x:v>Not authored</x:v>
      </x:c>
      <x:c r="L550" s="13" t="str">
        <x:v>No</x:v>
      </x:c>
      <x:c r="M550" s="13" t="str"/>
    </x:row>
    <x:row r="551" ht="58" customHeight="1">
      <x:c r="A551" s="9" t="str">
        <x:v>T33.02</x:v>
      </x:c>
      <x:c r="B551" s="9" t="str">
        <x:v>D33</x:v>
      </x:c>
      <x:c r="C551" s="9" t="str">
        <x:v>Spot and forward foreign-exchange markets</x:v>
      </x:c>
      <x:c r="D551" s="9" t="str">
        <x:v>Advanced</x:v>
      </x:c>
      <x:c r="E551" s="9" t="str">
        <x:v>T03.09</x:v>
      </x:c>
      <x:c r="F551" s="9" t="str">
        <x:v>T33.05</x:v>
      </x:c>
      <x:c r="G551" s="12" t="n">
        <x:v>5</x:v>
      </x:c>
      <x:c r="H551" s="12" t="n">
        <x:v>0</x:v>
      </x:c>
      <x:c r="I551" s="9" t="str">
        <x:v>Compare scenarios</x:v>
      </x:c>
      <x:c r="J551" s="9" t="str">
        <x:v>What happens if the currency moves against the cash flow you expect? Apply the question to spot and forward foreign-exchange markets.</x:v>
      </x:c>
      <x:c r="K551" s="13" t="str">
        <x:v>Not authored</x:v>
      </x:c>
      <x:c r="L551" s="13" t="str">
        <x:v>No</x:v>
      </x:c>
      <x:c r="M551" s="13" t="str"/>
    </x:row>
    <x:row r="552" ht="58" customHeight="1">
      <x:c r="A552" s="10" t="str">
        <x:v>T33.03</x:v>
      </x:c>
      <x:c r="B552" s="10" t="str">
        <x:v>D33</x:v>
      </x:c>
      <x:c r="C552" s="10" t="str">
        <x:v>Purchasing power parity</x:v>
      </x:c>
      <x:c r="D552" s="10" t="str">
        <x:v>Advanced</x:v>
      </x:c>
      <x:c r="E552" s="10" t="str">
        <x:v>T03.09</x:v>
      </x:c>
      <x:c r="F552" s="10" t="str">
        <x:v>T33.01</x:v>
      </x:c>
      <x:c r="G552" s="11" t="n">
        <x:v>4</x:v>
      </x:c>
      <x:c r="H552" s="11" t="n">
        <x:v>1</x:v>
      </x:c>
      <x:c r="I552" s="10" t="str">
        <x:v>Compare scenarios</x:v>
      </x:c>
      <x:c r="J552" s="10" t="str">
        <x:v>What happens if the currency moves against the cash flow you expect? Apply the question to purchasing power parity.</x:v>
      </x:c>
      <x:c r="K552" s="13" t="str">
        <x:v>Not authored</x:v>
      </x:c>
      <x:c r="L552" s="13" t="str">
        <x:v>No</x:v>
      </x:c>
      <x:c r="M552" s="13" t="str"/>
    </x:row>
    <x:row r="553" ht="58" customHeight="1">
      <x:c r="A553" s="9" t="str">
        <x:v>T33.04</x:v>
      </x:c>
      <x:c r="B553" s="9" t="str">
        <x:v>D33</x:v>
      </x:c>
      <x:c r="C553" s="9" t="str">
        <x:v>Covered and uncovered interest-rate parity</x:v>
      </x:c>
      <x:c r="D553" s="9" t="str">
        <x:v>Advanced</x:v>
      </x:c>
      <x:c r="E553" s="9" t="str">
        <x:v>T03.09, T33.02</x:v>
      </x:c>
      <x:c r="F553" s="9" t="str">
        <x:v>T33.05</x:v>
      </x:c>
      <x:c r="G553" s="12" t="n">
        <x:v>7</x:v>
      </x:c>
      <x:c r="H553" s="12" t="n">
        <x:v>1</x:v>
      </x:c>
      <x:c r="I553" s="9" t="str">
        <x:v>Compare scenarios</x:v>
      </x:c>
      <x:c r="J553" s="9" t="str">
        <x:v>What happens if the currency moves against the cash flow you expect? Apply the question to covered and uncovered interest-rate parity.</x:v>
      </x:c>
      <x:c r="K553" s="13" t="str">
        <x:v>Not authored</x:v>
      </x:c>
      <x:c r="L553" s="13" t="str">
        <x:v>No</x:v>
      </x:c>
      <x:c r="M553" s="13" t="str"/>
    </x:row>
    <x:row r="554" ht="58" customHeight="1">
      <x:c r="A554" s="10" t="str">
        <x:v>T33.05</x:v>
      </x:c>
      <x:c r="B554" s="10" t="str">
        <x:v>D33</x:v>
      </x:c>
      <x:c r="C554" s="10" t="str">
        <x:v>Forward premiums and discounts</x:v>
      </x:c>
      <x:c r="D554" s="10" t="str">
        <x:v>Advanced</x:v>
      </x:c>
      <x:c r="E554" s="10" t="str">
        <x:v>T03.09</x:v>
      </x:c>
      <x:c r="F554" s="10" t="str">
        <x:v>T33.04</x:v>
      </x:c>
      <x:c r="G554" s="11" t="n">
        <x:v>6</x:v>
      </x:c>
      <x:c r="H554" s="11" t="n">
        <x:v>1</x:v>
      </x:c>
      <x:c r="I554" s="10" t="str">
        <x:v>Compare scenarios</x:v>
      </x:c>
      <x:c r="J554" s="10" t="str">
        <x:v>What happens if the currency moves against the cash flow you expect? Apply the question to forward premiums and discounts.</x:v>
      </x:c>
      <x:c r="K554" s="13" t="str">
        <x:v>Not authored</x:v>
      </x:c>
      <x:c r="L554" s="13" t="str">
        <x:v>No</x:v>
      </x:c>
      <x:c r="M554" s="13" t="str"/>
    </x:row>
    <x:row r="555" ht="58" customHeight="1">
      <x:c r="A555" s="9" t="str">
        <x:v>T33.06</x:v>
      </x:c>
      <x:c r="B555" s="9" t="str">
        <x:v>D33</x:v>
      </x:c>
      <x:c r="C555" s="9" t="str">
        <x:v>Carry trades</x:v>
      </x:c>
      <x:c r="D555" s="9" t="str">
        <x:v>Advanced</x:v>
      </x:c>
      <x:c r="E555" s="9" t="str">
        <x:v>T03.09</x:v>
      </x:c>
      <x:c r="F555" s="9" t="str">
        <x:v>T33.04</x:v>
      </x:c>
      <x:c r="G555" s="12" t="n">
        <x:v>4</x:v>
      </x:c>
      <x:c r="H555" s="12" t="n">
        <x:v>1</x:v>
      </x:c>
      <x:c r="I555" s="9" t="str">
        <x:v>Compare scenarios</x:v>
      </x:c>
      <x:c r="J555" s="9" t="str">
        <x:v>What happens if the currency moves against the cash flow you expect? Apply the question to carry trades.</x:v>
      </x:c>
      <x:c r="K555" s="13" t="str">
        <x:v>Not authored</x:v>
      </x:c>
      <x:c r="L555" s="13" t="str">
        <x:v>No</x:v>
      </x:c>
      <x:c r="M555" s="13" t="str"/>
    </x:row>
    <x:row r="556" ht="58" customHeight="1">
      <x:c r="A556" s="10" t="str">
        <x:v>T33.07</x:v>
      </x:c>
      <x:c r="B556" s="10" t="str">
        <x:v>D33</x:v>
      </x:c>
      <x:c r="C556" s="10" t="str">
        <x:v>Transaction, translation, and economic exposure</x:v>
      </x:c>
      <x:c r="D556" s="10" t="str">
        <x:v>Advanced</x:v>
      </x:c>
      <x:c r="E556" s="10" t="str">
        <x:v>T03.09</x:v>
      </x:c>
      <x:c r="F556" s="10" t="str">
        <x:v>T33.08</x:v>
      </x:c>
      <x:c r="G556" s="11" t="n">
        <x:v>6</x:v>
      </x:c>
      <x:c r="H556" s="11" t="n">
        <x:v>1</x:v>
      </x:c>
      <x:c r="I556" s="10" t="str">
        <x:v>Compare scenarios</x:v>
      </x:c>
      <x:c r="J556" s="10" t="str">
        <x:v>What happens if the currency moves against the cash flow you expect? Apply the question to transaction, translation, and economic exposure.</x:v>
      </x:c>
      <x:c r="K556" s="13" t="str">
        <x:v>Not authored</x:v>
      </x:c>
      <x:c r="L556" s="13" t="str">
        <x:v>No</x:v>
      </x:c>
      <x:c r="M556" s="13" t="str"/>
    </x:row>
    <x:row r="557" ht="58" customHeight="1">
      <x:c r="A557" s="9" t="str">
        <x:v>T33.08</x:v>
      </x:c>
      <x:c r="B557" s="9" t="str">
        <x:v>D33</x:v>
      </x:c>
      <x:c r="C557" s="9" t="str">
        <x:v>Currency hedging</x:v>
      </x:c>
      <x:c r="D557" s="9" t="str">
        <x:v>Advanced</x:v>
      </x:c>
      <x:c r="E557" s="9" t="str">
        <x:v>T03.09</x:v>
      </x:c>
      <x:c r="F557" s="9" t="str">
        <x:v>T33.07</x:v>
      </x:c>
      <x:c r="G557" s="12" t="n">
        <x:v>6</x:v>
      </x:c>
      <x:c r="H557" s="12" t="n">
        <x:v>2</x:v>
      </x:c>
      <x:c r="I557" s="9" t="str">
        <x:v>Compare scenarios</x:v>
      </x:c>
      <x:c r="J557" s="9" t="str">
        <x:v>What happens if the currency moves against the cash flow you expect? Apply the question to currency hedging.</x:v>
      </x:c>
      <x:c r="K557" s="13" t="str">
        <x:v>Not authored</x:v>
      </x:c>
      <x:c r="L557" s="13" t="str">
        <x:v>No</x:v>
      </x:c>
      <x:c r="M557" s="13" t="str"/>
    </x:row>
    <x:row r="558" ht="58" customHeight="1">
      <x:c r="A558" s="10" t="str">
        <x:v>T33.09</x:v>
      </x:c>
      <x:c r="B558" s="10" t="str">
        <x:v>D33</x:v>
      </x:c>
      <x:c r="C558" s="10" t="str">
        <x:v>Cross-border investment and financing</x:v>
      </x:c>
      <x:c r="D558" s="10" t="str">
        <x:v>Advanced</x:v>
      </x:c>
      <x:c r="E558" s="10" t="str">
        <x:v>T03.09</x:v>
      </x:c>
      <x:c r="F558" s="10" t="str">
        <x:v>T33.10</x:v>
      </x:c>
      <x:c r="G558" s="11" t="n">
        <x:v>6</x:v>
      </x:c>
      <x:c r="H558" s="11" t="n">
        <x:v>1</x:v>
      </x:c>
      <x:c r="I558" s="10" t="str">
        <x:v>Compare scenarios</x:v>
      </x:c>
      <x:c r="J558" s="10" t="str">
        <x:v>What happens if the currency moves against the cash flow you expect? Apply the question to cross-border investment and financing.</x:v>
      </x:c>
      <x:c r="K558" s="13" t="str">
        <x:v>Not authored</x:v>
      </x:c>
      <x:c r="L558" s="13" t="str">
        <x:v>No</x:v>
      </x:c>
      <x:c r="M558" s="13" t="str"/>
    </x:row>
    <x:row r="559" ht="58" customHeight="1">
      <x:c r="A559" s="9" t="str">
        <x:v>T33.10</x:v>
      </x:c>
      <x:c r="B559" s="9" t="str">
        <x:v>D33</x:v>
      </x:c>
      <x:c r="C559" s="9" t="str">
        <x:v>International cost of capital</x:v>
      </x:c>
      <x:c r="D559" s="9" t="str">
        <x:v>Advanced</x:v>
      </x:c>
      <x:c r="E559" s="9" t="str">
        <x:v>T03.09</x:v>
      </x:c>
      <x:c r="F559" s="9" t="str">
        <x:v>T33.11</x:v>
      </x:c>
      <x:c r="G559" s="12" t="n">
        <x:v>7</x:v>
      </x:c>
      <x:c r="H559" s="12" t="n">
        <x:v>2</x:v>
      </x:c>
      <x:c r="I559" s="9" t="str">
        <x:v>Compare scenarios</x:v>
      </x:c>
      <x:c r="J559" s="9" t="str">
        <x:v>What happens if the currency moves against the cash flow you expect? Apply the question to international cost of capital.</x:v>
      </x:c>
      <x:c r="K559" s="13" t="str">
        <x:v>Not authored</x:v>
      </x:c>
      <x:c r="L559" s="13" t="str">
        <x:v>No</x:v>
      </x:c>
      <x:c r="M559" s="13" t="str"/>
    </x:row>
    <x:row r="560" ht="58" customHeight="1">
      <x:c r="A560" s="10" t="str">
        <x:v>T33.11</x:v>
      </x:c>
      <x:c r="B560" s="10" t="str">
        <x:v>D33</x:v>
      </x:c>
      <x:c r="C560" s="10" t="str">
        <x:v>Country and political risk</x:v>
      </x:c>
      <x:c r="D560" s="10" t="str">
        <x:v>Advanced</x:v>
      </x:c>
      <x:c r="E560" s="10" t="str">
        <x:v>T03.09</x:v>
      </x:c>
      <x:c r="F560" s="10" t="str">
        <x:v>T33.10</x:v>
      </x:c>
      <x:c r="G560" s="11" t="n">
        <x:v>4</x:v>
      </x:c>
      <x:c r="H560" s="11" t="n">
        <x:v>0</x:v>
      </x:c>
      <x:c r="I560" s="10" t="str">
        <x:v>Compare scenarios</x:v>
      </x:c>
      <x:c r="J560" s="10" t="str">
        <x:v>What happens if the currency moves against the cash flow you expect? Apply the question to country and political risk.</x:v>
      </x:c>
      <x:c r="K560" s="13" t="str">
        <x:v>Not authored</x:v>
      </x:c>
      <x:c r="L560" s="13" t="str">
        <x:v>No</x:v>
      </x:c>
      <x:c r="M560" s="13" t="str"/>
    </x:row>
    <x:row r="561" ht="58" customHeight="1">
      <x:c r="A561" s="9" t="str">
        <x:v>T33.12</x:v>
      </x:c>
      <x:c r="B561" s="9" t="str">
        <x:v>D33</x:v>
      </x:c>
      <x:c r="C561" s="9" t="str">
        <x:v>Multinational capital budgeting</x:v>
      </x:c>
      <x:c r="D561" s="9" t="str">
        <x:v>Advanced</x:v>
      </x:c>
      <x:c r="E561" s="9" t="str">
        <x:v>T03.09</x:v>
      </x:c>
      <x:c r="F561" s="9" t="str">
        <x:v>T33.09</x:v>
      </x:c>
      <x:c r="G561" s="12" t="n">
        <x:v>4</x:v>
      </x:c>
      <x:c r="H561" s="12" t="n">
        <x:v>1</x:v>
      </x:c>
      <x:c r="I561" s="9" t="str">
        <x:v>Compare scenarios</x:v>
      </x:c>
      <x:c r="J561" s="9" t="str">
        <x:v>What happens if the currency moves against the cash flow you expect? Apply the question to multinational capital budgeting.</x:v>
      </x:c>
      <x:c r="K561" s="13" t="str">
        <x:v>Not authored</x:v>
      </x:c>
      <x:c r="L561" s="13" t="str">
        <x:v>No</x:v>
      </x:c>
      <x:c r="M561" s="13" t="str"/>
    </x:row>
    <x:row r="562" ht="58" customHeight="1">
      <x:c r="A562" s="10" t="str">
        <x:v>T33.13</x:v>
      </x:c>
      <x:c r="B562" s="10" t="str">
        <x:v>D33</x:v>
      </x:c>
      <x:c r="C562" s="10" t="str">
        <x:v>Trade finance, letters of credit, and documentary collections</x:v>
      </x:c>
      <x:c r="D562" s="10" t="str">
        <x:v>Advanced</x:v>
      </x:c>
      <x:c r="E562" s="10" t="str">
        <x:v>T03.09</x:v>
      </x:c>
      <x:c r="F562" s="10" t="str">
        <x:v>T33.14</x:v>
      </x:c>
      <x:c r="G562" s="11" t="n">
        <x:v>5</x:v>
      </x:c>
      <x:c r="H562" s="11" t="n">
        <x:v>1</x:v>
      </x:c>
      <x:c r="I562" s="10" t="str">
        <x:v>Compare scenarios</x:v>
      </x:c>
      <x:c r="J562" s="10" t="str">
        <x:v>What happens if the currency moves against the cash flow you expect? Apply the question to trade finance, letters of credit, and documentary collections.</x:v>
      </x:c>
      <x:c r="K562" s="13" t="str">
        <x:v>Not authored</x:v>
      </x:c>
      <x:c r="L562" s="13" t="str">
        <x:v>No</x:v>
      </x:c>
      <x:c r="M562" s="13" t="str"/>
    </x:row>
    <x:row r="563" ht="58" customHeight="1">
      <x:c r="A563" s="9" t="str">
        <x:v>T33.14</x:v>
      </x:c>
      <x:c r="B563" s="9" t="str">
        <x:v>D33</x:v>
      </x:c>
      <x:c r="C563" s="9" t="str">
        <x:v>Export credit and international guarantees</x:v>
      </x:c>
      <x:c r="D563" s="9" t="str">
        <x:v>Advanced</x:v>
      </x:c>
      <x:c r="E563" s="9" t="str">
        <x:v>T03.09</x:v>
      </x:c>
      <x:c r="F563" s="9" t="str">
        <x:v>T33.13</x:v>
      </x:c>
      <x:c r="G563" s="12" t="n">
        <x:v>4</x:v>
      </x:c>
      <x:c r="H563" s="12" t="n">
        <x:v>0</x:v>
      </x:c>
      <x:c r="I563" s="9" t="str">
        <x:v>Compare scenarios</x:v>
      </x:c>
      <x:c r="J563" s="9" t="str">
        <x:v>What happens if the currency moves against the cash flow you expect? Apply the question to export credit and international guarantees.</x:v>
      </x:c>
      <x:c r="K563" s="13" t="str">
        <x:v>Not authored</x:v>
      </x:c>
      <x:c r="L563" s="13" t="str">
        <x:v>No</x:v>
      </x:c>
      <x:c r="M563" s="13" t="str"/>
    </x:row>
    <x:row r="564" ht="58" customHeight="1">
      <x:c r="A564" s="10" t="str">
        <x:v>T33.15</x:v>
      </x:c>
      <x:c r="B564" s="10" t="str">
        <x:v>D33</x:v>
      </x:c>
      <x:c r="C564" s="10" t="str">
        <x:v>Offshore funding and foreign-currency debt</x:v>
      </x:c>
      <x:c r="D564" s="10" t="str">
        <x:v>Advanced</x:v>
      </x:c>
      <x:c r="E564" s="10" t="str">
        <x:v>T03.09</x:v>
      </x:c>
      <x:c r="F564" s="10" t="str">
        <x:v>T33.07</x:v>
      </x:c>
      <x:c r="G564" s="11" t="n">
        <x:v>4</x:v>
      </x:c>
      <x:c r="H564" s="11" t="n">
        <x:v>1</x:v>
      </x:c>
      <x:c r="I564" s="10" t="str">
        <x:v>Compare scenarios</x:v>
      </x:c>
      <x:c r="J564" s="10" t="str">
        <x:v>What happens if the currency moves against the cash flow you expect? Apply the question to offshore funding and foreign-currency debt.</x:v>
      </x:c>
      <x:c r="K564" s="13" t="str">
        <x:v>Not authored</x:v>
      </x:c>
      <x:c r="L564" s="13" t="str">
        <x:v>No</x:v>
      </x:c>
      <x:c r="M564" s="13" t="str"/>
    </x:row>
    <x:row r="565" ht="58" customHeight="1">
      <x:c r="A565" s="9" t="str">
        <x:v>T33.16</x:v>
      </x:c>
      <x:c r="B565" s="9" t="str">
        <x:v>D33</x:v>
      </x:c>
      <x:c r="C565" s="9" t="str">
        <x:v>Global portfolio diversification</x:v>
      </x:c>
      <x:c r="D565" s="9" t="str">
        <x:v>Advanced</x:v>
      </x:c>
      <x:c r="E565" s="9" t="str">
        <x:v>T03.09</x:v>
      </x:c>
      <x:c r="F565" s="9" t="str">
        <x:v>T33.09</x:v>
      </x:c>
      <x:c r="G565" s="12" t="n">
        <x:v>4</x:v>
      </x:c>
      <x:c r="H565" s="12" t="n">
        <x:v>1</x:v>
      </x:c>
      <x:c r="I565" s="9" t="str">
        <x:v>Compare scenarios</x:v>
      </x:c>
      <x:c r="J565" s="9" t="str">
        <x:v>What happens if the currency moves against the cash flow you expect? Apply the question to global portfolio diversification.</x:v>
      </x:c>
      <x:c r="K565" s="13" t="str">
        <x:v>Not authored</x:v>
      </x:c>
      <x:c r="L565" s="13" t="str">
        <x:v>No</x:v>
      </x:c>
      <x:c r="M565" s="13" t="str"/>
    </x:row>
    <x:row r="566" ht="58" customHeight="1">
      <x:c r="A566" s="10" t="str">
        <x:v>T34.01</x:v>
      </x:c>
      <x:c r="B566" s="10" t="str">
        <x:v>D34</x:v>
      </x:c>
      <x:c r="C566" s="10" t="str">
        <x:v>Exchanges, brokers, dealers, and market makers</x:v>
      </x:c>
      <x:c r="D566" s="10" t="str">
        <x:v>Core</x:v>
      </x:c>
      <x:c r="E566" s="10" t="str">
        <x:v>T01.03</x:v>
      </x:c>
      <x:c r="F566" s="10" t="str">
        <x:v>T34.03</x:v>
      </x:c>
      <x:c r="G566" s="11" t="n">
        <x:v>5</x:v>
      </x:c>
      <x:c r="H566" s="11" t="n">
        <x:v>2</x:v>
      </x:c>
      <x:c r="I566" s="10" t="str">
        <x:v>Investigate a case</x:v>
      </x:c>
      <x:c r="J566" s="10" t="str">
        <x:v>What protects the investor between placing a trade and receiving the asset? Apply the question to exchanges, brokers, dealers, and market makers.</x:v>
      </x:c>
      <x:c r="K566" s="13" t="str">
        <x:v>Not authored</x:v>
      </x:c>
      <x:c r="L566" s="13" t="str">
        <x:v>No</x:v>
      </x:c>
      <x:c r="M566" s="13" t="str"/>
    </x:row>
    <x:row r="567" ht="58" customHeight="1">
      <x:c r="A567" s="9" t="str">
        <x:v>T34.02</x:v>
      </x:c>
      <x:c r="B567" s="9" t="str">
        <x:v>D34</x:v>
      </x:c>
      <x:c r="C567" s="9" t="str">
        <x:v>Custodians, depositories, and clearing houses</x:v>
      </x:c>
      <x:c r="D567" s="9" t="str">
        <x:v>Core</x:v>
      </x:c>
      <x:c r="E567" s="9" t="str">
        <x:v>T01.03</x:v>
      </x:c>
      <x:c r="F567" s="9" t="str">
        <x:v>T34.03</x:v>
      </x:c>
      <x:c r="G567" s="12" t="n">
        <x:v>6</x:v>
      </x:c>
      <x:c r="H567" s="12" t="n">
        <x:v>2</x:v>
      </x:c>
      <x:c r="I567" s="9" t="str">
        <x:v>Investigate a case</x:v>
      </x:c>
      <x:c r="J567" s="9" t="str">
        <x:v>What protects the investor between placing a trade and receiving the asset? Apply the question to custodians, depositories, and clearing houses.</x:v>
      </x:c>
      <x:c r="K567" s="13" t="str">
        <x:v>Not authored</x:v>
      </x:c>
      <x:c r="L567" s="13" t="str">
        <x:v>No</x:v>
      </x:c>
      <x:c r="M567" s="13" t="str"/>
    </x:row>
    <x:row r="568" ht="58" customHeight="1">
      <x:c r="A568" s="10" t="str">
        <x:v>T34.03</x:v>
      </x:c>
      <x:c r="B568" s="10" t="str">
        <x:v>D34</x:v>
      </x:c>
      <x:c r="C568" s="10" t="str">
        <x:v>Trade execution, clearing, and settlement</x:v>
      </x:c>
      <x:c r="D568" s="10" t="str">
        <x:v>Core</x:v>
      </x:c>
      <x:c r="E568" s="10" t="str">
        <x:v>T01.03</x:v>
      </x:c>
      <x:c r="F568" s="10" t="str">
        <x:v>T34.02</x:v>
      </x:c>
      <x:c r="G568" s="11" t="n">
        <x:v>7</x:v>
      </x:c>
      <x:c r="H568" s="11" t="n">
        <x:v>2</x:v>
      </x:c>
      <x:c r="I568" s="10" t="str">
        <x:v>Investigate a case</x:v>
      </x:c>
      <x:c r="J568" s="10" t="str">
        <x:v>What protects the investor between placing a trade and receiving the asset? Apply the question to trade execution, clearing, and settlement.</x:v>
      </x:c>
      <x:c r="K568" s="13" t="str">
        <x:v>Not authored</x:v>
      </x:c>
      <x:c r="L568" s="13" t="str">
        <x:v>No</x:v>
      </x:c>
      <x:c r="M568" s="13" t="str"/>
    </x:row>
    <x:row r="569" ht="58" customHeight="1">
      <x:c r="A569" s="9" t="str">
        <x:v>T34.04</x:v>
      </x:c>
      <x:c r="B569" s="9" t="str">
        <x:v>D34</x:v>
      </x:c>
      <x:c r="C569" s="9" t="str">
        <x:v>Order books, spreads, depth, and liquidity</x:v>
      </x:c>
      <x:c r="D569" s="9" t="str">
        <x:v>Core</x:v>
      </x:c>
      <x:c r="E569" s="9" t="str">
        <x:v>T01.03</x:v>
      </x:c>
      <x:c r="F569" s="9" t="str">
        <x:v>T34.05</x:v>
      </x:c>
      <x:c r="G569" s="12" t="n">
        <x:v>6</x:v>
      </x:c>
      <x:c r="H569" s="12" t="n">
        <x:v>1</x:v>
      </x:c>
      <x:c r="I569" s="9" t="str">
        <x:v>Investigate a case</x:v>
      </x:c>
      <x:c r="J569" s="9" t="str">
        <x:v>What protects the investor between placing a trade and receiving the asset? Apply the question to order books, spreads, depth, and liquidity.</x:v>
      </x:c>
      <x:c r="K569" s="13" t="str">
        <x:v>Not authored</x:v>
      </x:c>
      <x:c r="L569" s="13" t="str">
        <x:v>No</x:v>
      </x:c>
      <x:c r="M569" s="13" t="str"/>
    </x:row>
    <x:row r="570" ht="58" customHeight="1">
      <x:c r="A570" s="10" t="str">
        <x:v>T34.05</x:v>
      </x:c>
      <x:c r="B570" s="10" t="str">
        <x:v>D34</x:v>
      </x:c>
      <x:c r="C570" s="10" t="str">
        <x:v>Market impact and transaction costs</x:v>
      </x:c>
      <x:c r="D570" s="10" t="str">
        <x:v>Core</x:v>
      </x:c>
      <x:c r="E570" s="10" t="str">
        <x:v>T01.03</x:v>
      </x:c>
      <x:c r="F570" s="10" t="str">
        <x:v>T34.04</x:v>
      </x:c>
      <x:c r="G570" s="11" t="n">
        <x:v>6</x:v>
      </x:c>
      <x:c r="H570" s="11" t="n">
        <x:v>2</x:v>
      </x:c>
      <x:c r="I570" s="10" t="str">
        <x:v>Investigate a case</x:v>
      </x:c>
      <x:c r="J570" s="10" t="str">
        <x:v>What protects the investor between placing a trade and receiving the asset? Apply the question to market impact and transaction costs.</x:v>
      </x:c>
      <x:c r="K570" s="13" t="str">
        <x:v>Not authored</x:v>
      </x:c>
      <x:c r="L570" s="13" t="str">
        <x:v>No</x:v>
      </x:c>
      <x:c r="M570" s="13" t="str"/>
    </x:row>
    <x:row r="571" ht="58" customHeight="1">
      <x:c r="A571" s="9" t="str">
        <x:v>T34.06</x:v>
      </x:c>
      <x:c r="B571" s="9" t="str">
        <x:v>D34</x:v>
      </x:c>
      <x:c r="C571" s="9" t="str">
        <x:v>Auctions, circuit breakers, and trading halts</x:v>
      </x:c>
      <x:c r="D571" s="9" t="str">
        <x:v>Core</x:v>
      </x:c>
      <x:c r="E571" s="9" t="str">
        <x:v>T01.03</x:v>
      </x:c>
      <x:c r="F571" s="9" t="str">
        <x:v>T34.04</x:v>
      </x:c>
      <x:c r="G571" s="12" t="n">
        <x:v>3</x:v>
      </x:c>
      <x:c r="H571" s="12" t="n">
        <x:v>0</x:v>
      </x:c>
      <x:c r="I571" s="9" t="str">
        <x:v>Investigate a case</x:v>
      </x:c>
      <x:c r="J571" s="9" t="str">
        <x:v>What protects the investor between placing a trade and receiving the asset? Apply the question to auctions, circuit breakers, and trading halts.</x:v>
      </x:c>
      <x:c r="K571" s="13" t="str">
        <x:v>Not authored</x:v>
      </x:c>
      <x:c r="L571" s="13" t="str">
        <x:v>No</x:v>
      </x:c>
      <x:c r="M571" s="13" t="str"/>
    </x:row>
    <x:row r="572" ht="58" customHeight="1">
      <x:c r="A572" s="10" t="str">
        <x:v>T34.07</x:v>
      </x:c>
      <x:c r="B572" s="10" t="str">
        <x:v>D34</x:v>
      </x:c>
      <x:c r="C572" s="10" t="str">
        <x:v>Securities issuance and disclosure requirements</x:v>
      </x:c>
      <x:c r="D572" s="10" t="str">
        <x:v>Core</x:v>
      </x:c>
      <x:c r="E572" s="10" t="str">
        <x:v>T01.03</x:v>
      </x:c>
      <x:c r="F572" s="10" t="str">
        <x:v>T34.15</x:v>
      </x:c>
      <x:c r="G572" s="11" t="n">
        <x:v>5</x:v>
      </x:c>
      <x:c r="H572" s="11" t="n">
        <x:v>1</x:v>
      </x:c>
      <x:c r="I572" s="10" t="str">
        <x:v>Investigate a case</x:v>
      </x:c>
      <x:c r="J572" s="10" t="str">
        <x:v>What protects the investor between placing a trade and receiving the asset? Apply the question to securities issuance and disclosure requirements.</x:v>
      </x:c>
      <x:c r="K572" s="13" t="str">
        <x:v>Not authored</x:v>
      </x:c>
      <x:c r="L572" s="13" t="str">
        <x:v>No</x:v>
      </x:c>
      <x:c r="M572" s="13" t="str"/>
    </x:row>
    <x:row r="573" ht="58" customHeight="1">
      <x:c r="A573" s="9" t="str">
        <x:v>T34.08</x:v>
      </x:c>
      <x:c r="B573" s="9" t="str">
        <x:v>D34</x:v>
      </x:c>
      <x:c r="C573" s="9" t="str">
        <x:v>Insider trading and market manipulation</x:v>
      </x:c>
      <x:c r="D573" s="9" t="str">
        <x:v>Core</x:v>
      </x:c>
      <x:c r="E573" s="9" t="str">
        <x:v>T01.03</x:v>
      </x:c>
      <x:c r="F573" s="9" t="str">
        <x:v>T34.14</x:v>
      </x:c>
      <x:c r="G573" s="12" t="n">
        <x:v>4</x:v>
      </x:c>
      <x:c r="H573" s="12" t="n">
        <x:v>1</x:v>
      </x:c>
      <x:c r="I573" s="9" t="str">
        <x:v>Investigate a case</x:v>
      </x:c>
      <x:c r="J573" s="9" t="str">
        <x:v>What protects the investor between placing a trade and receiving the asset? Apply the question to insider trading and market manipulation.</x:v>
      </x:c>
      <x:c r="K573" s="13" t="str">
        <x:v>Not authored</x:v>
      </x:c>
      <x:c r="L573" s="13" t="str">
        <x:v>No</x:v>
      </x:c>
      <x:c r="M573" s="13" t="str"/>
    </x:row>
    <x:row r="574" ht="58" customHeight="1">
      <x:c r="A574" s="10" t="str">
        <x:v>T34.09</x:v>
      </x:c>
      <x:c r="B574" s="10" t="str">
        <x:v>D34</x:v>
      </x:c>
      <x:c r="C574" s="10" t="str">
        <x:v>Suitability, fiduciary duties, and investor protection</x:v>
      </x:c>
      <x:c r="D574" s="10" t="str">
        <x:v>Core</x:v>
      </x:c>
      <x:c r="E574" s="10" t="str">
        <x:v>T01.03</x:v>
      </x:c>
      <x:c r="F574" s="10" t="str">
        <x:v>T34.14</x:v>
      </x:c>
      <x:c r="G574" s="11" t="n">
        <x:v>5</x:v>
      </x:c>
      <x:c r="H574" s="11" t="n">
        <x:v>1</x:v>
      </x:c>
      <x:c r="I574" s="10" t="str">
        <x:v>Investigate a case</x:v>
      </x:c>
      <x:c r="J574" s="10" t="str">
        <x:v>What protects the investor between placing a trade and receiving the asset? Apply the question to suitability, fiduciary duties, and investor protection.</x:v>
      </x:c>
      <x:c r="K574" s="13" t="str">
        <x:v>Not authored</x:v>
      </x:c>
      <x:c r="L574" s="13" t="str">
        <x:v>No</x:v>
      </x:c>
      <x:c r="M574" s="13" t="str"/>
    </x:row>
    <x:row r="575" ht="58" customHeight="1">
      <x:c r="A575" s="9" t="str">
        <x:v>T34.10</x:v>
      </x:c>
      <x:c r="B575" s="9" t="str">
        <x:v>D34</x:v>
      </x:c>
      <x:c r="C575" s="9" t="str">
        <x:v>Know-your-customer and anti-money-laundering frameworks</x:v>
      </x:c>
      <x:c r="D575" s="9" t="str">
        <x:v>Core</x:v>
      </x:c>
      <x:c r="E575" s="9" t="str">
        <x:v>T01.03</x:v>
      </x:c>
      <x:c r="F575" s="9" t="str">
        <x:v>T34.15</x:v>
      </x:c>
      <x:c r="G575" s="12" t="n">
        <x:v>4</x:v>
      </x:c>
      <x:c r="H575" s="12" t="n">
        <x:v>1</x:v>
      </x:c>
      <x:c r="I575" s="9" t="str">
        <x:v>Investigate a case</x:v>
      </x:c>
      <x:c r="J575" s="9" t="str">
        <x:v>What protects the investor between placing a trade and receiving the asset? Apply the question to know-your-customer and anti-money-laundering frameworks.</x:v>
      </x:c>
      <x:c r="K575" s="13" t="str">
        <x:v>Not authored</x:v>
      </x:c>
      <x:c r="L575" s="13" t="str">
        <x:v>No</x:v>
      </x:c>
      <x:c r="M575" s="13" t="str"/>
    </x:row>
    <x:row r="576" ht="58" customHeight="1">
      <x:c r="A576" s="10" t="str">
        <x:v>T34.11</x:v>
      </x:c>
      <x:c r="B576" s="10" t="str">
        <x:v>D34</x:v>
      </x:c>
      <x:c r="C576" s="10" t="str">
        <x:v>Corporate boards, audit committees, and governance</x:v>
      </x:c>
      <x:c r="D576" s="10" t="str">
        <x:v>Core</x:v>
      </x:c>
      <x:c r="E576" s="10" t="str">
        <x:v>T01.03</x:v>
      </x:c>
      <x:c r="F576" s="10" t="str">
        <x:v>T34.12</x:v>
      </x:c>
      <x:c r="G576" s="11" t="n">
        <x:v>6</x:v>
      </x:c>
      <x:c r="H576" s="11" t="n">
        <x:v>2</x:v>
      </x:c>
      <x:c r="I576" s="10" t="str">
        <x:v>Investigate a case</x:v>
      </x:c>
      <x:c r="J576" s="10" t="str">
        <x:v>What protects the investor between placing a trade and receiving the asset? Apply the question to corporate boards, audit committees, and governance.</x:v>
      </x:c>
      <x:c r="K576" s="13" t="str">
        <x:v>Not authored</x:v>
      </x:c>
      <x:c r="L576" s="13" t="str">
        <x:v>No</x:v>
      </x:c>
      <x:c r="M576" s="13" t="str"/>
    </x:row>
    <x:row r="577" ht="58" customHeight="1">
      <x:c r="A577" s="9" t="str">
        <x:v>T34.12</x:v>
      </x:c>
      <x:c r="B577" s="9" t="str">
        <x:v>D34</x:v>
      </x:c>
      <x:c r="C577" s="9" t="str">
        <x:v>Shareholder rights and stewardship</x:v>
      </x:c>
      <x:c r="D577" s="9" t="str">
        <x:v>Core</x:v>
      </x:c>
      <x:c r="E577" s="9" t="str">
        <x:v>T01.03</x:v>
      </x:c>
      <x:c r="F577" s="9" t="str">
        <x:v>T34.11</x:v>
      </x:c>
      <x:c r="G577" s="12" t="n">
        <x:v>5</x:v>
      </x:c>
      <x:c r="H577" s="12" t="n">
        <x:v>1</x:v>
      </x:c>
      <x:c r="I577" s="9" t="str">
        <x:v>Investigate a case</x:v>
      </x:c>
      <x:c r="J577" s="9" t="str">
        <x:v>What protects the investor between placing a trade and receiving the asset? Apply the question to shareholder rights and stewardship.</x:v>
      </x:c>
      <x:c r="K577" s="13" t="str">
        <x:v>Not authored</x:v>
      </x:c>
      <x:c r="L577" s="13" t="str">
        <x:v>No</x:v>
      </x:c>
      <x:c r="M577" s="13" t="str"/>
    </x:row>
    <x:row r="578" ht="58" customHeight="1">
      <x:c r="A578" s="10" t="str">
        <x:v>T34.13</x:v>
      </x:c>
      <x:c r="B578" s="10" t="str">
        <x:v>D34</x:v>
      </x:c>
      <x:c r="C578" s="10" t="str">
        <x:v>Credit-rating agencies and conflicts of interest</x:v>
      </x:c>
      <x:c r="D578" s="10" t="str">
        <x:v>Core</x:v>
      </x:c>
      <x:c r="E578" s="10" t="str">
        <x:v>T01.03</x:v>
      </x:c>
      <x:c r="F578" s="10" t="str">
        <x:v>T34.14</x:v>
      </x:c>
      <x:c r="G578" s="11" t="n">
        <x:v>4</x:v>
      </x:c>
      <x:c r="H578" s="11" t="n">
        <x:v>1</x:v>
      </x:c>
      <x:c r="I578" s="10" t="str">
        <x:v>Investigate a case</x:v>
      </x:c>
      <x:c r="J578" s="10" t="str">
        <x:v>What protects the investor between placing a trade and receiving the asset? Apply the question to credit-rating agencies and conflicts of interest.</x:v>
      </x:c>
      <x:c r="K578" s="13" t="str">
        <x:v>Not authored</x:v>
      </x:c>
      <x:c r="L578" s="13" t="str">
        <x:v>No</x:v>
      </x:c>
      <x:c r="M578" s="13" t="str"/>
    </x:row>
    <x:row r="579" ht="58" customHeight="1">
      <x:c r="A579" s="9" t="str">
        <x:v>T34.14</x:v>
      </x:c>
      <x:c r="B579" s="9" t="str">
        <x:v>D34</x:v>
      </x:c>
      <x:c r="C579" s="9" t="str">
        <x:v>Financial ethics and professional conduct</x:v>
      </x:c>
      <x:c r="D579" s="9" t="str">
        <x:v>Core</x:v>
      </x:c>
      <x:c r="E579" s="9" t="str">
        <x:v>T01.03</x:v>
      </x:c>
      <x:c r="F579" s="9" t="str">
        <x:v>T34.09</x:v>
      </x:c>
      <x:c r="G579" s="12" t="n">
        <x:v>7</x:v>
      </x:c>
      <x:c r="H579" s="12" t="n">
        <x:v>1</x:v>
      </x:c>
      <x:c r="I579" s="9" t="str">
        <x:v>Investigate a case</x:v>
      </x:c>
      <x:c r="J579" s="9" t="str">
        <x:v>What protects the investor between placing a trade and receiving the asset? Apply the question to financial ethics and professional conduct.</x:v>
      </x:c>
      <x:c r="K579" s="13" t="str">
        <x:v>Not authored</x:v>
      </x:c>
      <x:c r="L579" s="13" t="str">
        <x:v>No</x:v>
      </x:c>
      <x:c r="M579" s="13" t="str"/>
    </x:row>
    <x:row r="580" ht="58" customHeight="1">
      <x:c r="A580" s="10" t="str">
        <x:v>T34.15</x:v>
      </x:c>
      <x:c r="B580" s="10" t="str">
        <x:v>D34</x:v>
      </x:c>
      <x:c r="C580" s="10" t="str">
        <x:v>Regulatory reporting and compliance</x:v>
      </x:c>
      <x:c r="D580" s="10" t="str">
        <x:v>Core</x:v>
      </x:c>
      <x:c r="E580" s="10" t="str">
        <x:v>T01.03</x:v>
      </x:c>
      <x:c r="F580" s="10" t="str">
        <x:v>T34.07</x:v>
      </x:c>
      <x:c r="G580" s="11" t="n">
        <x:v>5</x:v>
      </x:c>
      <x:c r="H580" s="11" t="n">
        <x:v>0</x:v>
      </x:c>
      <x:c r="I580" s="10" t="str">
        <x:v>Investigate a case</x:v>
      </x:c>
      <x:c r="J580" s="10" t="str">
        <x:v>What protects the investor between placing a trade and receiving the asset? Apply the question to regulatory reporting and compliance.</x:v>
      </x:c>
      <x:c r="K580" s="13" t="str">
        <x:v>Not authored</x:v>
      </x:c>
      <x:c r="L580" s="13" t="str">
        <x:v>No</x:v>
      </x:c>
      <x:c r="M580" s="13" t="str"/>
    </x:row>
    <x:row r="581" ht="58" customHeight="1">
      <x:c r="A581" s="9" t="str">
        <x:v>T35.01</x:v>
      </x:c>
      <x:c r="B581" s="9" t="str">
        <x:v>D35</x:v>
      </x:c>
      <x:c r="C581" s="9" t="str">
        <x:v>Expected utility and risk preferences</x:v>
      </x:c>
      <x:c r="D581" s="9" t="str">
        <x:v>Core</x:v>
      </x:c>
      <x:c r="E581" s="9" t="str">
        <x:v>T01.13</x:v>
      </x:c>
      <x:c r="F581" s="9" t="str">
        <x:v>T35.02</x:v>
      </x:c>
      <x:c r="G581" s="12" t="n">
        <x:v>4</x:v>
      </x:c>
      <x:c r="H581" s="12" t="n">
        <x:v>0</x:v>
      </x:c>
      <x:c r="I581" s="9" t="str">
        <x:v>Investigate a case</x:v>
      </x:c>
      <x:c r="J581" s="9" t="str">
        <x:v>Would you make the same choice if the information were framed differently? Apply the question to expected utility and risk preferences.</x:v>
      </x:c>
      <x:c r="K581" s="13" t="str">
        <x:v>Not authored</x:v>
      </x:c>
      <x:c r="L581" s="13" t="str">
        <x:v>No</x:v>
      </x:c>
      <x:c r="M581" s="13" t="str"/>
    </x:row>
    <x:row r="582" ht="58" customHeight="1">
      <x:c r="A582" s="10" t="str">
        <x:v>T35.02</x:v>
      </x:c>
      <x:c r="B582" s="10" t="str">
        <x:v>D35</x:v>
      </x:c>
      <x:c r="C582" s="10" t="str">
        <x:v>Prospect theory and loss aversion</x:v>
      </x:c>
      <x:c r="D582" s="10" t="str">
        <x:v>Core</x:v>
      </x:c>
      <x:c r="E582" s="10" t="str">
        <x:v>T01.13</x:v>
      </x:c>
      <x:c r="F582" s="10" t="str">
        <x:v>T35.01</x:v>
      </x:c>
      <x:c r="G582" s="11" t="n">
        <x:v>6</x:v>
      </x:c>
      <x:c r="H582" s="11" t="n">
        <x:v>1</x:v>
      </x:c>
      <x:c r="I582" s="10" t="str">
        <x:v>Investigate a case</x:v>
      </x:c>
      <x:c r="J582" s="10" t="str">
        <x:v>Would you make the same choice if the information were framed differently? Apply the question to prospect theory and loss aversion.</x:v>
      </x:c>
      <x:c r="K582" s="13" t="str">
        <x:v>Not authored</x:v>
      </x:c>
      <x:c r="L582" s="13" t="str">
        <x:v>No</x:v>
      </x:c>
      <x:c r="M582" s="13" t="str"/>
    </x:row>
    <x:row r="583" ht="58" customHeight="1">
      <x:c r="A583" s="9" t="str">
        <x:v>T35.03</x:v>
      </x:c>
      <x:c r="B583" s="9" t="str">
        <x:v>D35</x:v>
      </x:c>
      <x:c r="C583" s="9" t="str">
        <x:v>Anchoring and framing</x:v>
      </x:c>
      <x:c r="D583" s="9" t="str">
        <x:v>Core</x:v>
      </x:c>
      <x:c r="E583" s="9" t="str">
        <x:v>T01.13</x:v>
      </x:c>
      <x:c r="F583" s="9" t="str">
        <x:v>T35.06</x:v>
      </x:c>
      <x:c r="G583" s="12" t="n">
        <x:v>4</x:v>
      </x:c>
      <x:c r="H583" s="12" t="n">
        <x:v>1</x:v>
      </x:c>
      <x:c r="I583" s="9" t="str">
        <x:v>Investigate a case</x:v>
      </x:c>
      <x:c r="J583" s="9" t="str">
        <x:v>Would you make the same choice if the information were framed differently? Apply the question to anchoring and framing.</x:v>
      </x:c>
      <x:c r="K583" s="13" t="str">
        <x:v>Not authored</x:v>
      </x:c>
      <x:c r="L583" s="13" t="str">
        <x:v>No</x:v>
      </x:c>
      <x:c r="M583" s="13" t="str"/>
    </x:row>
    <x:row r="584" ht="58" customHeight="1">
      <x:c r="A584" s="10" t="str">
        <x:v>T35.04</x:v>
      </x:c>
      <x:c r="B584" s="10" t="str">
        <x:v>D35</x:v>
      </x:c>
      <x:c r="C584" s="10" t="str">
        <x:v>Mental accounting</x:v>
      </x:c>
      <x:c r="D584" s="10" t="str">
        <x:v>Core</x:v>
      </x:c>
      <x:c r="E584" s="10" t="str">
        <x:v>T01.13</x:v>
      </x:c>
      <x:c r="F584" s="10" t="str">
        <x:v>T35.10</x:v>
      </x:c>
      <x:c r="G584" s="11" t="n">
        <x:v>5</x:v>
      </x:c>
      <x:c r="H584" s="11" t="n">
        <x:v>1</x:v>
      </x:c>
      <x:c r="I584" s="10" t="str">
        <x:v>Investigate a case</x:v>
      </x:c>
      <x:c r="J584" s="10" t="str">
        <x:v>Would you make the same choice if the information were framed differently? Apply the question to mental accounting.</x:v>
      </x:c>
      <x:c r="K584" s="13" t="str">
        <x:v>Not authored</x:v>
      </x:c>
      <x:c r="L584" s="13" t="str">
        <x:v>No</x:v>
      </x:c>
      <x:c r="M584" s="13" t="str"/>
    </x:row>
    <x:row r="585" ht="58" customHeight="1">
      <x:c r="A585" s="9" t="str">
        <x:v>T35.05</x:v>
      </x:c>
      <x:c r="B585" s="9" t="str">
        <x:v>D35</x:v>
      </x:c>
      <x:c r="C585" s="9" t="str">
        <x:v>Overconfidence and self-attribution</x:v>
      </x:c>
      <x:c r="D585" s="9" t="str">
        <x:v>Core</x:v>
      </x:c>
      <x:c r="E585" s="9" t="str">
        <x:v>T01.13</x:v>
      </x:c>
      <x:c r="F585" s="9" t="str">
        <x:v>T35.06</x:v>
      </x:c>
      <x:c r="G585" s="12" t="n">
        <x:v>5</x:v>
      </x:c>
      <x:c r="H585" s="12" t="n">
        <x:v>1</x:v>
      </x:c>
      <x:c r="I585" s="9" t="str">
        <x:v>Investigate a case</x:v>
      </x:c>
      <x:c r="J585" s="9" t="str">
        <x:v>Would you make the same choice if the information were framed differently? Apply the question to overconfidence and self-attribution.</x:v>
      </x:c>
      <x:c r="K585" s="13" t="str">
        <x:v>Not authored</x:v>
      </x:c>
      <x:c r="L585" s="13" t="str">
        <x:v>No</x:v>
      </x:c>
      <x:c r="M585" s="13" t="str"/>
    </x:row>
    <x:row r="586" ht="58" customHeight="1">
      <x:c r="A586" s="10" t="str">
        <x:v>T35.06</x:v>
      </x:c>
      <x:c r="B586" s="10" t="str">
        <x:v>D35</x:v>
      </x:c>
      <x:c r="C586" s="10" t="str">
        <x:v>Confirmation and availability biases</x:v>
      </x:c>
      <x:c r="D586" s="10" t="str">
        <x:v>Core</x:v>
      </x:c>
      <x:c r="E586" s="10" t="str">
        <x:v>T01.13</x:v>
      </x:c>
      <x:c r="F586" s="10" t="str">
        <x:v>T35.05</x:v>
      </x:c>
      <x:c r="G586" s="11" t="n">
        <x:v>6</x:v>
      </x:c>
      <x:c r="H586" s="11" t="n">
        <x:v>1</x:v>
      </x:c>
      <x:c r="I586" s="10" t="str">
        <x:v>Investigate a case</x:v>
      </x:c>
      <x:c r="J586" s="10" t="str">
        <x:v>Would you make the same choice if the information were framed differently? Apply the question to confirmation and availability biases.</x:v>
      </x:c>
      <x:c r="K586" s="13" t="str">
        <x:v>Not authored</x:v>
      </x:c>
      <x:c r="L586" s="13" t="str">
        <x:v>No</x:v>
      </x:c>
      <x:c r="M586" s="13" t="str"/>
    </x:row>
    <x:row r="587" ht="58" customHeight="1">
      <x:c r="A587" s="9" t="str">
        <x:v>T35.07</x:v>
      </x:c>
      <x:c r="B587" s="9" t="str">
        <x:v>D35</x:v>
      </x:c>
      <x:c r="C587" s="9" t="str">
        <x:v>Herding and social influence</x:v>
      </x:c>
      <x:c r="D587" s="9" t="str">
        <x:v>Core</x:v>
      </x:c>
      <x:c r="E587" s="9" t="str">
        <x:v>T01.13</x:v>
      </x:c>
      <x:c r="F587" s="9" t="str">
        <x:v>T35.11</x:v>
      </x:c>
      <x:c r="G587" s="12" t="n">
        <x:v>5</x:v>
      </x:c>
      <x:c r="H587" s="12" t="n">
        <x:v>1</x:v>
      </x:c>
      <x:c r="I587" s="9" t="str">
        <x:v>Investigate a case</x:v>
      </x:c>
      <x:c r="J587" s="9" t="str">
        <x:v>Would you make the same choice if the information were framed differently? Apply the question to herding and social influence.</x:v>
      </x:c>
      <x:c r="K587" s="13" t="str">
        <x:v>Not authored</x:v>
      </x:c>
      <x:c r="L587" s="13" t="str">
        <x:v>No</x:v>
      </x:c>
      <x:c r="M587" s="13" t="str"/>
    </x:row>
    <x:row r="588" ht="58" customHeight="1">
      <x:c r="A588" s="10" t="str">
        <x:v>T35.08</x:v>
      </x:c>
      <x:c r="B588" s="10" t="str">
        <x:v>D35</x:v>
      </x:c>
      <x:c r="C588" s="10" t="str">
        <x:v>Recency bias and extrapolation</x:v>
      </x:c>
      <x:c r="D588" s="10" t="str">
        <x:v>Core</x:v>
      </x:c>
      <x:c r="E588" s="10" t="str">
        <x:v>T01.13</x:v>
      </x:c>
      <x:c r="F588" s="10" t="str">
        <x:v>T35.11</x:v>
      </x:c>
      <x:c r="G588" s="11" t="n">
        <x:v>4</x:v>
      </x:c>
      <x:c r="H588" s="11" t="n">
        <x:v>1</x:v>
      </x:c>
      <x:c r="I588" s="10" t="str">
        <x:v>Investigate a case</x:v>
      </x:c>
      <x:c r="J588" s="10" t="str">
        <x:v>Would you make the same choice if the information were framed differently? Apply the question to recency bias and extrapolation.</x:v>
      </x:c>
      <x:c r="K588" s="13" t="str">
        <x:v>Not authored</x:v>
      </x:c>
      <x:c r="L588" s="13" t="str">
        <x:v>No</x:v>
      </x:c>
      <x:c r="M588" s="13" t="str"/>
    </x:row>
    <x:row r="589" ht="58" customHeight="1">
      <x:c r="A589" s="9" t="str">
        <x:v>T35.09</x:v>
      </x:c>
      <x:c r="B589" s="9" t="str">
        <x:v>D35</x:v>
      </x:c>
      <x:c r="C589" s="9" t="str">
        <x:v>Disposition effect</x:v>
      </x:c>
      <x:c r="D589" s="9" t="str">
        <x:v>Core</x:v>
      </x:c>
      <x:c r="E589" s="9" t="str">
        <x:v>T01.13</x:v>
      </x:c>
      <x:c r="F589" s="9" t="str">
        <x:v>T35.02</x:v>
      </x:c>
      <x:c r="G589" s="12" t="n">
        <x:v>4</x:v>
      </x:c>
      <x:c r="H589" s="12" t="n">
        <x:v>1</x:v>
      </x:c>
      <x:c r="I589" s="9" t="str">
        <x:v>Investigate a case</x:v>
      </x:c>
      <x:c r="J589" s="9" t="str">
        <x:v>Would you make the same choice if the information were framed differently? Apply the question to disposition effect.</x:v>
      </x:c>
      <x:c r="K589" s="13" t="str">
        <x:v>Not authored</x:v>
      </x:c>
      <x:c r="L589" s="13" t="str">
        <x:v>No</x:v>
      </x:c>
      <x:c r="M589" s="13" t="str"/>
    </x:row>
    <x:row r="590" ht="58" customHeight="1">
      <x:c r="A590" s="10" t="str">
        <x:v>T35.10</x:v>
      </x:c>
      <x:c r="B590" s="10" t="str">
        <x:v>D35</x:v>
      </x:c>
      <x:c r="C590" s="10" t="str">
        <x:v>Present bias and self-control</x:v>
      </x:c>
      <x:c r="D590" s="10" t="str">
        <x:v>Core</x:v>
      </x:c>
      <x:c r="E590" s="10" t="str">
        <x:v>T01.13</x:v>
      </x:c>
      <x:c r="F590" s="10" t="str">
        <x:v>T35.04</x:v>
      </x:c>
      <x:c r="G590" s="11" t="n">
        <x:v>5</x:v>
      </x:c>
      <x:c r="H590" s="11" t="n">
        <x:v>1</x:v>
      </x:c>
      <x:c r="I590" s="10" t="str">
        <x:v>Investigate a case</x:v>
      </x:c>
      <x:c r="J590" s="10" t="str">
        <x:v>Would you make the same choice if the information were framed differently? Apply the question to present bias and self-control.</x:v>
      </x:c>
      <x:c r="K590" s="13" t="str">
        <x:v>Not authored</x:v>
      </x:c>
      <x:c r="L590" s="13" t="str">
        <x:v>No</x:v>
      </x:c>
      <x:c r="M590" s="13" t="str"/>
    </x:row>
    <x:row r="591" ht="58" customHeight="1">
      <x:c r="A591" s="9" t="str">
        <x:v>T35.11</x:v>
      </x:c>
      <x:c r="B591" s="9" t="str">
        <x:v>D35</x:v>
      </x:c>
      <x:c r="C591" s="9" t="str">
        <x:v>Bubbles, panics, and speculative cycles</x:v>
      </x:c>
      <x:c r="D591" s="9" t="str">
        <x:v>Core</x:v>
      </x:c>
      <x:c r="E591" s="9" t="str">
        <x:v>T01.13</x:v>
      </x:c>
      <x:c r="F591" s="9" t="str">
        <x:v>T35.07</x:v>
      </x:c>
      <x:c r="G591" s="12" t="n">
        <x:v>6</x:v>
      </x:c>
      <x:c r="H591" s="12" t="n">
        <x:v>1</x:v>
      </x:c>
      <x:c r="I591" s="9" t="str">
        <x:v>Investigate a case</x:v>
      </x:c>
      <x:c r="J591" s="9" t="str">
        <x:v>Would you make the same choice if the information were framed differently? Apply the question to bubbles, panics, and speculative cycles.</x:v>
      </x:c>
      <x:c r="K591" s="13" t="str">
        <x:v>Not authored</x:v>
      </x:c>
      <x:c r="L591" s="13" t="str">
        <x:v>No</x:v>
      </x:c>
      <x:c r="M591" s="13" t="str"/>
    </x:row>
    <x:row r="592" ht="58" customHeight="1">
      <x:c r="A592" s="10" t="str">
        <x:v>T35.12</x:v>
      </x:c>
      <x:c r="B592" s="10" t="str">
        <x:v>D35</x:v>
      </x:c>
      <x:c r="C592" s="10" t="str">
        <x:v>Behavioural corporate finance</x:v>
      </x:c>
      <x:c r="D592" s="10" t="str">
        <x:v>Core</x:v>
      </x:c>
      <x:c r="E592" s="10" t="str">
        <x:v>T01.13</x:v>
      </x:c>
      <x:c r="F592" s="10" t="str">
        <x:v>T35.14</x:v>
      </x:c>
      <x:c r="G592" s="11" t="n">
        <x:v>5</x:v>
      </x:c>
      <x:c r="H592" s="11" t="n">
        <x:v>1</x:v>
      </x:c>
      <x:c r="I592" s="10" t="str">
        <x:v>Investigate a case</x:v>
      </x:c>
      <x:c r="J592" s="10" t="str">
        <x:v>Would you make the same choice if the information were framed differently? Apply the question to behavioural corporate finance.</x:v>
      </x:c>
      <x:c r="K592" s="13" t="str">
        <x:v>Not authored</x:v>
      </x:c>
      <x:c r="L592" s="13" t="str">
        <x:v>No</x:v>
      </x:c>
      <x:c r="M592" s="13" t="str"/>
    </x:row>
    <x:row r="593" ht="58" customHeight="1">
      <x:c r="A593" s="9" t="str">
        <x:v>T35.13</x:v>
      </x:c>
      <x:c r="B593" s="9" t="str">
        <x:v>D35</x:v>
      </x:c>
      <x:c r="C593" s="9" t="str">
        <x:v>Decision journals, checklists, and pre-mortems</x:v>
      </x:c>
      <x:c r="D593" s="9" t="str">
        <x:v>Core</x:v>
      </x:c>
      <x:c r="E593" s="9" t="str">
        <x:v>T01.13</x:v>
      </x:c>
      <x:c r="F593" s="9" t="str">
        <x:v>T35.14</x:v>
      </x:c>
      <x:c r="G593" s="12" t="n">
        <x:v>4</x:v>
      </x:c>
      <x:c r="H593" s="12" t="n">
        <x:v>1</x:v>
      </x:c>
      <x:c r="I593" s="9" t="str">
        <x:v>Investigate a case</x:v>
      </x:c>
      <x:c r="J593" s="9" t="str">
        <x:v>Would you make the same choice if the information were framed differently? Apply the question to decision journals, checklists, and pre-mortems.</x:v>
      </x:c>
      <x:c r="K593" s="13" t="str">
        <x:v>Not authored</x:v>
      </x:c>
      <x:c r="L593" s="13" t="str">
        <x:v>No</x:v>
      </x:c>
      <x:c r="M593" s="13" t="str"/>
    </x:row>
    <x:row r="594" ht="58" customHeight="1">
      <x:c r="A594" s="10" t="str">
        <x:v>T35.14</x:v>
      </x:c>
      <x:c r="B594" s="10" t="str">
        <x:v>D35</x:v>
      </x:c>
      <x:c r="C594" s="10" t="str">
        <x:v>Incentive design and decision quality</x:v>
      </x:c>
      <x:c r="D594" s="10" t="str">
        <x:v>Core</x:v>
      </x:c>
      <x:c r="E594" s="10" t="str">
        <x:v>T01.13</x:v>
      </x:c>
      <x:c r="F594" s="10" t="str">
        <x:v>T35.12</x:v>
      </x:c>
      <x:c r="G594" s="11" t="n">
        <x:v>6</x:v>
      </x:c>
      <x:c r="H594" s="11" t="n">
        <x:v>1</x:v>
      </x:c>
      <x:c r="I594" s="10" t="str">
        <x:v>Investigate a case</x:v>
      </x:c>
      <x:c r="J594" s="10" t="str">
        <x:v>Would you make the same choice if the information were framed differently? Apply the question to incentive design and decision quality.</x:v>
      </x:c>
      <x:c r="K594" s="13" t="str">
        <x:v>Not authored</x:v>
      </x:c>
      <x:c r="L594" s="13" t="str">
        <x:v>No</x:v>
      </x:c>
      <x:c r="M594" s="13" t="str"/>
    </x:row>
    <x:row r="595" ht="58" customHeight="1">
      <x:c r="A595" s="9" t="str">
        <x:v>T36.01</x:v>
      </x:c>
      <x:c r="B595" s="9" t="str">
        <x:v>D36</x:v>
      </x:c>
      <x:c r="C595" s="9" t="str">
        <x:v>Payment systems and payment processing</x:v>
      </x:c>
      <x:c r="D595" s="9" t="str">
        <x:v>Specialist</x:v>
      </x:c>
      <x:c r="E595" s="9" t="str">
        <x:v>T01.03</x:v>
      </x:c>
      <x:c r="F595" s="9" t="str">
        <x:v>T36.05</x:v>
      </x:c>
      <x:c r="G595" s="12" t="n">
        <x:v>10</x:v>
      </x:c>
      <x:c r="H595" s="12" t="n">
        <x:v>3</x:v>
      </x:c>
      <x:c r="I595" s="9" t="str">
        <x:v>Investigate a case</x:v>
      </x:c>
      <x:c r="J595" s="9" t="str">
        <x:v>Who earns money from the transaction and who carries the credit or fraud risk? Apply the question to payment systems and payment processing.</x:v>
      </x:c>
      <x:c r="K595" s="13" t="str">
        <x:v>Not authored</x:v>
      </x:c>
      <x:c r="L595" s="13" t="str">
        <x:v>No</x:v>
      </x:c>
      <x:c r="M595" s="13" t="str"/>
    </x:row>
    <x:row r="596" ht="58" customHeight="1">
      <x:c r="A596" s="10" t="str">
        <x:v>T36.02</x:v>
      </x:c>
      <x:c r="B596" s="10" t="str">
        <x:v>D36</x:v>
      </x:c>
      <x:c r="C596" s="10" t="str">
        <x:v>Cards, acquiring, issuing, and interchange</x:v>
      </x:c>
      <x:c r="D596" s="10" t="str">
        <x:v>Specialist</x:v>
      </x:c>
      <x:c r="E596" s="10" t="str">
        <x:v>T01.03</x:v>
      </x:c>
      <x:c r="F596" s="10" t="str">
        <x:v>T36.01</x:v>
      </x:c>
      <x:c r="G596" s="11" t="n">
        <x:v>5</x:v>
      </x:c>
      <x:c r="H596" s="11" t="n">
        <x:v>1</x:v>
      </x:c>
      <x:c r="I596" s="10" t="str">
        <x:v>Investigate a case</x:v>
      </x:c>
      <x:c r="J596" s="10" t="str">
        <x:v>Who earns money from the transaction and who carries the credit or fraud risk? Apply the question to cards, acquiring, issuing, and interchange.</x:v>
      </x:c>
      <x:c r="K596" s="13" t="str">
        <x:v>Not authored</x:v>
      </x:c>
      <x:c r="L596" s="13" t="str">
        <x:v>No</x:v>
      </x:c>
      <x:c r="M596" s="13" t="str"/>
    </x:row>
    <x:row r="597" ht="58" customHeight="1">
      <x:c r="A597" s="9" t="str">
        <x:v>T36.03</x:v>
      </x:c>
      <x:c r="B597" s="9" t="str">
        <x:v>D36</x:v>
      </x:c>
      <x:c r="C597" s="9" t="str">
        <x:v>UPI and account-to-account payments</x:v>
      </x:c>
      <x:c r="D597" s="9" t="str">
        <x:v>Specialist</x:v>
      </x:c>
      <x:c r="E597" s="9" t="str">
        <x:v>T01.03</x:v>
      </x:c>
      <x:c r="F597" s="9" t="str">
        <x:v>T36.01</x:v>
      </x:c>
      <x:c r="G597" s="12" t="n">
        <x:v>4</x:v>
      </x:c>
      <x:c r="H597" s="12" t="n">
        <x:v>1</x:v>
      </x:c>
      <x:c r="I597" s="9" t="str">
        <x:v>Investigate a case</x:v>
      </x:c>
      <x:c r="J597" s="9" t="str">
        <x:v>Who earns money from the transaction and who carries the credit or fraud risk? Apply the question to upi and account-to-account payments.</x:v>
      </x:c>
      <x:c r="K597" s="13" t="str">
        <x:v>Not authored</x:v>
      </x:c>
      <x:c r="L597" s="13" t="str">
        <x:v>No</x:v>
      </x:c>
      <x:c r="M597" s="13" t="str"/>
    </x:row>
    <x:row r="598" ht="58" customHeight="1">
      <x:c r="A598" s="10" t="str">
        <x:v>T36.04</x:v>
      </x:c>
      <x:c r="B598" s="10" t="str">
        <x:v>D36</x:v>
      </x:c>
      <x:c r="C598" s="10" t="str">
        <x:v>Wallets, remittances, and cross-border payments</x:v>
      </x:c>
      <x:c r="D598" s="10" t="str">
        <x:v>Specialist</x:v>
      </x:c>
      <x:c r="E598" s="10" t="str">
        <x:v>T01.03</x:v>
      </x:c>
      <x:c r="F598" s="10" t="str">
        <x:v>T36.01</x:v>
      </x:c>
      <x:c r="G598" s="11" t="n">
        <x:v>4</x:v>
      </x:c>
      <x:c r="H598" s="11" t="n">
        <x:v>1</x:v>
      </x:c>
      <x:c r="I598" s="10" t="str">
        <x:v>Investigate a case</x:v>
      </x:c>
      <x:c r="J598" s="10" t="str">
        <x:v>Who earns money from the transaction and who carries the credit or fraud risk? Apply the question to wallets, remittances, and cross-border payments.</x:v>
      </x:c>
      <x:c r="K598" s="13" t="str">
        <x:v>Not authored</x:v>
      </x:c>
      <x:c r="L598" s="13" t="str">
        <x:v>No</x:v>
      </x:c>
      <x:c r="M598" s="13" t="str"/>
    </x:row>
    <x:row r="599" ht="58" customHeight="1">
      <x:c r="A599" s="9" t="str">
        <x:v>T36.05</x:v>
      </x:c>
      <x:c r="B599" s="9" t="str">
        <x:v>D36</x:v>
      </x:c>
      <x:c r="C599" s="9" t="str">
        <x:v>Payment gateways and aggregators</x:v>
      </x:c>
      <x:c r="D599" s="9" t="str">
        <x:v>Specialist</x:v>
      </x:c>
      <x:c r="E599" s="9" t="str">
        <x:v>T01.03</x:v>
      </x:c>
      <x:c r="F599" s="9" t="str">
        <x:v>T36.02</x:v>
      </x:c>
      <x:c r="G599" s="12" t="n">
        <x:v>4</x:v>
      </x:c>
      <x:c r="H599" s="12" t="n">
        <x:v>0</x:v>
      </x:c>
      <x:c r="I599" s="9" t="str">
        <x:v>Investigate a case</x:v>
      </x:c>
      <x:c r="J599" s="9" t="str">
        <x:v>Who earns money from the transaction and who carries the credit or fraud risk? Apply the question to payment gateways and aggregators.</x:v>
      </x:c>
      <x:c r="K599" s="13" t="str">
        <x:v>Not authored</x:v>
      </x:c>
      <x:c r="L599" s="13" t="str">
        <x:v>No</x:v>
      </x:c>
      <x:c r="M599" s="13" t="str"/>
    </x:row>
    <x:row r="600" ht="58" customHeight="1">
      <x:c r="A600" s="10" t="str">
        <x:v>T36.06</x:v>
      </x:c>
      <x:c r="B600" s="10" t="str">
        <x:v>D36</x:v>
      </x:c>
      <x:c r="C600" s="10" t="str">
        <x:v>Digital lending and alternative underwriting</x:v>
      </x:c>
      <x:c r="D600" s="10" t="str">
        <x:v>Specialist</x:v>
      </x:c>
      <x:c r="E600" s="10" t="str">
        <x:v>T01.03</x:v>
      </x:c>
      <x:c r="F600" s="10" t="str">
        <x:v>T36.11</x:v>
      </x:c>
      <x:c r="G600" s="11" t="n">
        <x:v>7</x:v>
      </x:c>
      <x:c r="H600" s="11" t="n">
        <x:v>1</x:v>
      </x:c>
      <x:c r="I600" s="10" t="str">
        <x:v>Investigate a case</x:v>
      </x:c>
      <x:c r="J600" s="10" t="str">
        <x:v>Who earns money from the transaction and who carries the credit or fraud risk? Apply the question to digital lending and alternative underwriting.</x:v>
      </x:c>
      <x:c r="K600" s="13" t="str">
        <x:v>Not authored</x:v>
      </x:c>
      <x:c r="L600" s="13" t="str">
        <x:v>No</x:v>
      </x:c>
      <x:c r="M600" s="13" t="str"/>
    </x:row>
    <x:row r="601" ht="58" customHeight="1">
      <x:c r="A601" s="9" t="str">
        <x:v>T36.07</x:v>
      </x:c>
      <x:c r="B601" s="9" t="str">
        <x:v>D36</x:v>
      </x:c>
      <x:c r="C601" s="9" t="str">
        <x:v>Embedded finance and banking-as-a-service</x:v>
      </x:c>
      <x:c r="D601" s="9" t="str">
        <x:v>Specialist</x:v>
      </x:c>
      <x:c r="E601" s="9" t="str">
        <x:v>T01.03</x:v>
      </x:c>
      <x:c r="F601" s="9" t="str">
        <x:v>T36.06</x:v>
      </x:c>
      <x:c r="G601" s="12" t="n">
        <x:v>4</x:v>
      </x:c>
      <x:c r="H601" s="12" t="n">
        <x:v>1</x:v>
      </x:c>
      <x:c r="I601" s="9" t="str">
        <x:v>Investigate a case</x:v>
      </x:c>
      <x:c r="J601" s="9" t="str">
        <x:v>Who earns money from the transaction and who carries the credit or fraud risk? Apply the question to embedded finance and banking-as-a-service.</x:v>
      </x:c>
      <x:c r="K601" s="13" t="str">
        <x:v>Not authored</x:v>
      </x:c>
      <x:c r="L601" s="13" t="str">
        <x:v>No</x:v>
      </x:c>
      <x:c r="M601" s="13" t="str"/>
    </x:row>
    <x:row r="602" ht="58" customHeight="1">
      <x:c r="A602" s="10" t="str">
        <x:v>T36.08</x:v>
      </x:c>
      <x:c r="B602" s="10" t="str">
        <x:v>D36</x:v>
      </x:c>
      <x:c r="C602" s="10" t="str">
        <x:v>Open banking and account aggregation</x:v>
      </x:c>
      <x:c r="D602" s="10" t="str">
        <x:v>Specialist</x:v>
      </x:c>
      <x:c r="E602" s="10" t="str">
        <x:v>T01.03</x:v>
      </x:c>
      <x:c r="F602" s="10" t="str">
        <x:v>T36.11</x:v>
      </x:c>
      <x:c r="G602" s="11" t="n">
        <x:v>4</x:v>
      </x:c>
      <x:c r="H602" s="11" t="n">
        <x:v>1</x:v>
      </x:c>
      <x:c r="I602" s="10" t="str">
        <x:v>Investigate a case</x:v>
      </x:c>
      <x:c r="J602" s="10" t="str">
        <x:v>Who earns money from the transaction and who carries the credit or fraud risk? Apply the question to open banking and account aggregation.</x:v>
      </x:c>
      <x:c r="K602" s="13" t="str">
        <x:v>Not authored</x:v>
      </x:c>
      <x:c r="L602" s="13" t="str">
        <x:v>No</x:v>
      </x:c>
      <x:c r="M602" s="13" t="str"/>
    </x:row>
    <x:row r="603" ht="58" customHeight="1">
      <x:c r="A603" s="9" t="str">
        <x:v>T36.09</x:v>
      </x:c>
      <x:c r="B603" s="9" t="str">
        <x:v>D36</x:v>
      </x:c>
      <x:c r="C603" s="9" t="str">
        <x:v>Robo-advisory and automated wealth management</x:v>
      </x:c>
      <x:c r="D603" s="9" t="str">
        <x:v>Specialist</x:v>
      </x:c>
      <x:c r="E603" s="9" t="str">
        <x:v>T01.03</x:v>
      </x:c>
      <x:c r="F603" s="9" t="str">
        <x:v>T36.10</x:v>
      </x:c>
      <x:c r="G603" s="12" t="n">
        <x:v>5</x:v>
      </x:c>
      <x:c r="H603" s="12" t="n">
        <x:v>1</x:v>
      </x:c>
      <x:c r="I603" s="9" t="str">
        <x:v>Investigate a case</x:v>
      </x:c>
      <x:c r="J603" s="9" t="str">
        <x:v>Who earns money from the transaction and who carries the credit or fraud risk? Apply the question to robo-advisory and automated wealth management.</x:v>
      </x:c>
      <x:c r="K603" s="13" t="str">
        <x:v>Not authored</x:v>
      </x:c>
      <x:c r="L603" s="13" t="str">
        <x:v>No</x:v>
      </x:c>
      <x:c r="M603" s="13" t="str"/>
    </x:row>
    <x:row r="604" ht="58" customHeight="1">
      <x:c r="A604" s="10" t="str">
        <x:v>T36.10</x:v>
      </x:c>
      <x:c r="B604" s="10" t="str">
        <x:v>D36</x:v>
      </x:c>
      <x:c r="C604" s="10" t="str">
        <x:v>Insurtech, regtech, and wealthtech</x:v>
      </x:c>
      <x:c r="D604" s="10" t="str">
        <x:v>Specialist</x:v>
      </x:c>
      <x:c r="E604" s="10" t="str">
        <x:v>T01.03</x:v>
      </x:c>
      <x:c r="F604" s="10" t="str">
        <x:v>T36.09</x:v>
      </x:c>
      <x:c r="G604" s="11" t="n">
        <x:v>5</x:v>
      </x:c>
      <x:c r="H604" s="11" t="n">
        <x:v>1</x:v>
      </x:c>
      <x:c r="I604" s="10" t="str">
        <x:v>Investigate a case</x:v>
      </x:c>
      <x:c r="J604" s="10" t="str">
        <x:v>Who earns money from the transaction and who carries the credit or fraud risk? Apply the question to insurtech, regtech, and wealthtech.</x:v>
      </x:c>
      <x:c r="K604" s="13" t="str">
        <x:v>Not authored</x:v>
      </x:c>
      <x:c r="L604" s="13" t="str">
        <x:v>No</x:v>
      </x:c>
      <x:c r="M604" s="13" t="str"/>
    </x:row>
    <x:row r="605" ht="58" customHeight="1">
      <x:c r="A605" s="9" t="str">
        <x:v>T36.11</x:v>
      </x:c>
      <x:c r="B605" s="9" t="str">
        <x:v>D36</x:v>
      </x:c>
      <x:c r="C605" s="9" t="str">
        <x:v>Fraud detection and financial identity</x:v>
      </x:c>
      <x:c r="D605" s="9" t="str">
        <x:v>Specialist</x:v>
      </x:c>
      <x:c r="E605" s="9" t="str">
        <x:v>T01.03</x:v>
      </x:c>
      <x:c r="F605" s="9" t="str">
        <x:v>T36.06</x:v>
      </x:c>
      <x:c r="G605" s="12" t="n">
        <x:v>8</x:v>
      </x:c>
      <x:c r="H605" s="12" t="n">
        <x:v>3</x:v>
      </x:c>
      <x:c r="I605" s="9" t="str">
        <x:v>Investigate a case</x:v>
      </x:c>
      <x:c r="J605" s="9" t="str">
        <x:v>Who earns money from the transaction and who carries the credit or fraud risk? Apply the question to fraud detection and financial identity.</x:v>
      </x:c>
      <x:c r="K605" s="13" t="str">
        <x:v>Not authored</x:v>
      </x:c>
      <x:c r="L605" s="13" t="str">
        <x:v>No</x:v>
      </x:c>
      <x:c r="M605" s="13" t="str"/>
    </x:row>
    <x:row r="606" ht="58" customHeight="1">
      <x:c r="A606" s="10" t="str">
        <x:v>T36.12</x:v>
      </x:c>
      <x:c r="B606" s="10" t="str">
        <x:v>D36</x:v>
      </x:c>
      <x:c r="C606" s="10" t="str">
        <x:v>Blockchain and distributed ledgers</x:v>
      </x:c>
      <x:c r="D606" s="10" t="str">
        <x:v>Specialist</x:v>
      </x:c>
      <x:c r="E606" s="10" t="str">
        <x:v>T01.03</x:v>
      </x:c>
      <x:c r="F606" s="10" t="str">
        <x:v>T36.13</x:v>
      </x:c>
      <x:c r="G606" s="11" t="n">
        <x:v>5</x:v>
      </x:c>
      <x:c r="H606" s="11" t="n">
        <x:v>0</x:v>
      </x:c>
      <x:c r="I606" s="10" t="str">
        <x:v>Investigate a case</x:v>
      </x:c>
      <x:c r="J606" s="10" t="str">
        <x:v>Who earns money from the transaction and who carries the credit or fraud risk? Apply the question to blockchain and distributed ledgers.</x:v>
      </x:c>
      <x:c r="K606" s="13" t="str">
        <x:v>Not authored</x:v>
      </x:c>
      <x:c r="L606" s="13" t="str">
        <x:v>No</x:v>
      </x:c>
      <x:c r="M606" s="13" t="str"/>
    </x:row>
    <x:row r="607" ht="58" customHeight="1">
      <x:c r="A607" s="9" t="str">
        <x:v>T36.13</x:v>
      </x:c>
      <x:c r="B607" s="9" t="str">
        <x:v>D36</x:v>
      </x:c>
      <x:c r="C607" s="9" t="str">
        <x:v>Cryptoassets and token economics</x:v>
      </x:c>
      <x:c r="D607" s="9" t="str">
        <x:v>Specialist</x:v>
      </x:c>
      <x:c r="E607" s="9" t="str">
        <x:v>T01.03</x:v>
      </x:c>
      <x:c r="F607" s="9" t="str">
        <x:v>T36.12</x:v>
      </x:c>
      <x:c r="G607" s="12" t="n">
        <x:v>6</x:v>
      </x:c>
      <x:c r="H607" s="12" t="n">
        <x:v>1</x:v>
      </x:c>
      <x:c r="I607" s="9" t="str">
        <x:v>Investigate a case</x:v>
      </x:c>
      <x:c r="J607" s="9" t="str">
        <x:v>Who earns money from the transaction and who carries the credit or fraud risk? Apply the question to cryptoassets and token economics.</x:v>
      </x:c>
      <x:c r="K607" s="13" t="str">
        <x:v>Not authored</x:v>
      </x:c>
      <x:c r="L607" s="13" t="str">
        <x:v>No</x:v>
      </x:c>
      <x:c r="M607" s="13" t="str"/>
    </x:row>
    <x:row r="608" ht="58" customHeight="1">
      <x:c r="A608" s="10" t="str">
        <x:v>T36.14</x:v>
      </x:c>
      <x:c r="B608" s="10" t="str">
        <x:v>D36</x:v>
      </x:c>
      <x:c r="C608" s="10" t="str">
        <x:v>Stablecoins and central bank digital currencies</x:v>
      </x:c>
      <x:c r="D608" s="10" t="str">
        <x:v>Specialist</x:v>
      </x:c>
      <x:c r="E608" s="10" t="str">
        <x:v>T01.03</x:v>
      </x:c>
      <x:c r="F608" s="10" t="str">
        <x:v>T36.01</x:v>
      </x:c>
      <x:c r="G608" s="11" t="n">
        <x:v>4</x:v>
      </x:c>
      <x:c r="H608" s="11" t="n">
        <x:v>1</x:v>
      </x:c>
      <x:c r="I608" s="10" t="str">
        <x:v>Investigate a case</x:v>
      </x:c>
      <x:c r="J608" s="10" t="str">
        <x:v>Who earns money from the transaction and who carries the credit or fraud risk? Apply the question to stablecoins and central bank digital currencies.</x:v>
      </x:c>
      <x:c r="K608" s="13" t="str">
        <x:v>Not authored</x:v>
      </x:c>
      <x:c r="L608" s="13" t="str">
        <x:v>No</x:v>
      </x:c>
      <x:c r="M608" s="13" t="str"/>
    </x:row>
    <x:row r="609" ht="58" customHeight="1">
      <x:c r="A609" s="9" t="str">
        <x:v>T36.15</x:v>
      </x:c>
      <x:c r="B609" s="9" t="str">
        <x:v>D36</x:v>
      </x:c>
      <x:c r="C609" s="9" t="str">
        <x:v>Decentralised finance, lending, and automated market makers</x:v>
      </x:c>
      <x:c r="D609" s="9" t="str">
        <x:v>Specialist</x:v>
      </x:c>
      <x:c r="E609" s="9" t="str">
        <x:v>T01.03</x:v>
      </x:c>
      <x:c r="F609" s="9" t="str">
        <x:v>T36.13</x:v>
      </x:c>
      <x:c r="G609" s="12" t="n">
        <x:v>4</x:v>
      </x:c>
      <x:c r="H609" s="12" t="n">
        <x:v>1</x:v>
      </x:c>
      <x:c r="I609" s="9" t="str">
        <x:v>Investigate a case</x:v>
      </x:c>
      <x:c r="J609" s="9" t="str">
        <x:v>Who earns money from the transaction and who carries the credit or fraud risk? Apply the question to decentralised finance, lending, and automated market makers.</x:v>
      </x:c>
      <x:c r="K609" s="13" t="str">
        <x:v>Not authored</x:v>
      </x:c>
      <x:c r="L609" s="13" t="str">
        <x:v>No</x:v>
      </x:c>
      <x:c r="M609" s="13" t="str"/>
    </x:row>
    <x:row r="610" ht="58" customHeight="1">
      <x:c r="A610" s="10" t="str">
        <x:v>T36.16</x:v>
      </x:c>
      <x:c r="B610" s="10" t="str">
        <x:v>D36</x:v>
      </x:c>
      <x:c r="C610" s="10" t="str">
        <x:v>Tokenisation of financial assets</x:v>
      </x:c>
      <x:c r="D610" s="10" t="str">
        <x:v>Specialist</x:v>
      </x:c>
      <x:c r="E610" s="10" t="str">
        <x:v>T01.03</x:v>
      </x:c>
      <x:c r="F610" s="10" t="str">
        <x:v>T36.12</x:v>
      </x:c>
      <x:c r="G610" s="11" t="n">
        <x:v>4</x:v>
      </x:c>
      <x:c r="H610" s="11" t="n">
        <x:v>1</x:v>
      </x:c>
      <x:c r="I610" s="10" t="str">
        <x:v>Investigate a case</x:v>
      </x:c>
      <x:c r="J610" s="10" t="str">
        <x:v>Who earns money from the transaction and who carries the credit or fraud risk? Apply the question to tokenisation of financial assets.</x:v>
      </x:c>
      <x:c r="K610" s="13" t="str">
        <x:v>Not authored</x:v>
      </x:c>
      <x:c r="L610" s="13" t="str">
        <x:v>No</x:v>
      </x:c>
      <x:c r="M610" s="13" t="str"/>
    </x:row>
    <x:row r="611" ht="58" customHeight="1">
      <x:c r="A611" s="9" t="str">
        <x:v>T36.17</x:v>
      </x:c>
      <x:c r="B611" s="9" t="str">
        <x:v>D36</x:v>
      </x:c>
      <x:c r="C611" s="9" t="str">
        <x:v>Fintech business models, unit economics, and risks</x:v>
      </x:c>
      <x:c r="D611" s="9" t="str">
        <x:v>Specialist</x:v>
      </x:c>
      <x:c r="E611" s="9" t="str">
        <x:v>T01.03</x:v>
      </x:c>
      <x:c r="F611" s="9" t="str">
        <x:v>T36.06</x:v>
      </x:c>
      <x:c r="G611" s="12" t="n">
        <x:v>4</x:v>
      </x:c>
      <x:c r="H611" s="12" t="n">
        <x:v>1</x:v>
      </x:c>
      <x:c r="I611" s="9" t="str">
        <x:v>Investigate a case</x:v>
      </x:c>
      <x:c r="J611" s="9" t="str">
        <x:v>Who earns money from the transaction and who carries the credit or fraud risk? Apply the question to fintech business models, unit economics, and risks.</x:v>
      </x:c>
      <x:c r="K611" s="13" t="str">
        <x:v>Not authored</x:v>
      </x:c>
      <x:c r="L611" s="13" t="str">
        <x:v>No</x:v>
      </x:c>
      <x:c r="M611" s="13" t="str"/>
    </x:row>
    <x:row r="612" ht="58" customHeight="1">
      <x:c r="A612" s="10" t="str">
        <x:v>T37.01</x:v>
      </x:c>
      <x:c r="B612" s="10" t="str">
        <x:v>D37</x:v>
      </x:c>
      <x:c r="C612" s="10" t="str">
        <x:v>ESG integration in investment decisions</x:v>
      </x:c>
      <x:c r="D612" s="10" t="str">
        <x:v>Specialist</x:v>
      </x:c>
      <x:c r="E612" s="10" t="str">
        <x:v>T01.12</x:v>
      </x:c>
      <x:c r="F612" s="10" t="str">
        <x:v>T37.02</x:v>
      </x:c>
      <x:c r="G612" s="11" t="n">
        <x:v>6</x:v>
      </x:c>
      <x:c r="H612" s="11" t="n">
        <x:v>1</x:v>
      </x:c>
      <x:c r="I612" s="10" t="str">
        <x:v>Investigate a case</x:v>
      </x:c>
      <x:c r="J612" s="10" t="str">
        <x:v>How would you distinguish a measurable impact from a financing label? Apply the question to esg integration in investment decisions.</x:v>
      </x:c>
      <x:c r="K612" s="13" t="str">
        <x:v>Not authored</x:v>
      </x:c>
      <x:c r="L612" s="13" t="str">
        <x:v>No</x:v>
      </x:c>
      <x:c r="M612" s="13" t="str"/>
    </x:row>
    <x:row r="613" ht="58" customHeight="1">
      <x:c r="A613" s="9" t="str">
        <x:v>T37.02</x:v>
      </x:c>
      <x:c r="B613" s="9" t="str">
        <x:v>D37</x:v>
      </x:c>
      <x:c r="C613" s="9" t="str">
        <x:v>Sustainability reporting and materiality</x:v>
      </x:c>
      <x:c r="D613" s="9" t="str">
        <x:v>Specialist</x:v>
      </x:c>
      <x:c r="E613" s="9" t="str">
        <x:v>T01.12</x:v>
      </x:c>
      <x:c r="F613" s="9" t="str">
        <x:v>T37.10</x:v>
      </x:c>
      <x:c r="G613" s="12" t="n">
        <x:v>6</x:v>
      </x:c>
      <x:c r="H613" s="12" t="n">
        <x:v>1</x:v>
      </x:c>
      <x:c r="I613" s="9" t="str">
        <x:v>Investigate a case</x:v>
      </x:c>
      <x:c r="J613" s="9" t="str">
        <x:v>How would you distinguish a measurable impact from a financing label? Apply the question to sustainability reporting and materiality.</x:v>
      </x:c>
      <x:c r="K613" s="13" t="str">
        <x:v>Not authored</x:v>
      </x:c>
      <x:c r="L613" s="13" t="str">
        <x:v>No</x:v>
      </x:c>
      <x:c r="M613" s="13" t="str"/>
    </x:row>
    <x:row r="614" ht="58" customHeight="1">
      <x:c r="A614" s="10" t="str">
        <x:v>T37.03</x:v>
      </x:c>
      <x:c r="B614" s="10" t="str">
        <x:v>D37</x:v>
      </x:c>
      <x:c r="C614" s="10" t="str">
        <x:v>Climate transition risk and physical risk</x:v>
      </x:c>
      <x:c r="D614" s="10" t="str">
        <x:v>Specialist</x:v>
      </x:c>
      <x:c r="E614" s="10" t="str">
        <x:v>T01.12</x:v>
      </x:c>
      <x:c r="F614" s="10" t="str">
        <x:v>T37.01</x:v>
      </x:c>
      <x:c r="G614" s="11" t="n">
        <x:v>6</x:v>
      </x:c>
      <x:c r="H614" s="11" t="n">
        <x:v>1</x:v>
      </x:c>
      <x:c r="I614" s="10" t="str">
        <x:v>Investigate a case</x:v>
      </x:c>
      <x:c r="J614" s="10" t="str">
        <x:v>How would you distinguish a measurable impact from a financing label? Apply the question to climate transition risk and physical risk.</x:v>
      </x:c>
      <x:c r="K614" s="13" t="str">
        <x:v>Not authored</x:v>
      </x:c>
      <x:c r="L614" s="13" t="str">
        <x:v>No</x:v>
      </x:c>
      <x:c r="M614" s="13" t="str"/>
    </x:row>
    <x:row r="615" ht="58" customHeight="1">
      <x:c r="A615" s="9" t="str">
        <x:v>T37.04</x:v>
      </x:c>
      <x:c r="B615" s="9" t="str">
        <x:v>D37</x:v>
      </x:c>
      <x:c r="C615" s="9" t="str">
        <x:v>Green bonds and sustainability-linked finance</x:v>
      </x:c>
      <x:c r="D615" s="9" t="str">
        <x:v>Specialist</x:v>
      </x:c>
      <x:c r="E615" s="9" t="str">
        <x:v>T01.12</x:v>
      </x:c>
      <x:c r="F615" s="9" t="str">
        <x:v>T37.03</x:v>
      </x:c>
      <x:c r="G615" s="12" t="n">
        <x:v>4</x:v>
      </x:c>
      <x:c r="H615" s="12" t="n">
        <x:v>1</x:v>
      </x:c>
      <x:c r="I615" s="9" t="str">
        <x:v>Investigate a case</x:v>
      </x:c>
      <x:c r="J615" s="9" t="str">
        <x:v>How would you distinguish a measurable impact from a financing label? Apply the question to green bonds and sustainability-linked finance.</x:v>
      </x:c>
      <x:c r="K615" s="13" t="str">
        <x:v>Not authored</x:v>
      </x:c>
      <x:c r="L615" s="13" t="str">
        <x:v>No</x:v>
      </x:c>
      <x:c r="M615" s="13" t="str"/>
    </x:row>
    <x:row r="616" ht="58" customHeight="1">
      <x:c r="A616" s="10" t="str">
        <x:v>T37.05</x:v>
      </x:c>
      <x:c r="B616" s="10" t="str">
        <x:v>D37</x:v>
      </x:c>
      <x:c r="C616" s="10" t="str">
        <x:v>Carbon markets and carbon pricing</x:v>
      </x:c>
      <x:c r="D616" s="10" t="str">
        <x:v>Specialist</x:v>
      </x:c>
      <x:c r="E616" s="10" t="str">
        <x:v>T01.12</x:v>
      </x:c>
      <x:c r="F616" s="10" t="str">
        <x:v>T37.03</x:v>
      </x:c>
      <x:c r="G616" s="11" t="n">
        <x:v>4</x:v>
      </x:c>
      <x:c r="H616" s="11" t="n">
        <x:v>1</x:v>
      </x:c>
      <x:c r="I616" s="10" t="str">
        <x:v>Investigate a case</x:v>
      </x:c>
      <x:c r="J616" s="10" t="str">
        <x:v>How would you distinguish a measurable impact from a financing label? Apply the question to carbon markets and carbon pricing.</x:v>
      </x:c>
      <x:c r="K616" s="13" t="str">
        <x:v>Not authored</x:v>
      </x:c>
      <x:c r="L616" s="13" t="str">
        <x:v>No</x:v>
      </x:c>
      <x:c r="M616" s="13" t="str"/>
    </x:row>
    <x:row r="617" ht="58" customHeight="1">
      <x:c r="A617" s="9" t="str">
        <x:v>T37.06</x:v>
      </x:c>
      <x:c r="B617" s="9" t="str">
        <x:v>D37</x:v>
      </x:c>
      <x:c r="C617" s="9" t="str">
        <x:v>Impact investing and impact measurement</x:v>
      </x:c>
      <x:c r="D617" s="9" t="str">
        <x:v>Specialist</x:v>
      </x:c>
      <x:c r="E617" s="9" t="str">
        <x:v>T01.12</x:v>
      </x:c>
      <x:c r="F617" s="9" t="str">
        <x:v>T37.07</x:v>
      </x:c>
      <x:c r="G617" s="12" t="n">
        <x:v>6</x:v>
      </x:c>
      <x:c r="H617" s="12" t="n">
        <x:v>1</x:v>
      </x:c>
      <x:c r="I617" s="9" t="str">
        <x:v>Investigate a case</x:v>
      </x:c>
      <x:c r="J617" s="9" t="str">
        <x:v>How would you distinguish a measurable impact from a financing label? Apply the question to impact investing and impact measurement.</x:v>
      </x:c>
      <x:c r="K617" s="13" t="str">
        <x:v>Not authored</x:v>
      </x:c>
      <x:c r="L617" s="13" t="str">
        <x:v>No</x:v>
      </x:c>
      <x:c r="M617" s="13" t="str"/>
    </x:row>
    <x:row r="618" ht="58" customHeight="1">
      <x:c r="A618" s="10" t="str">
        <x:v>T37.07</x:v>
      </x:c>
      <x:c r="B618" s="10" t="str">
        <x:v>D37</x:v>
      </x:c>
      <x:c r="C618" s="10" t="str">
        <x:v>Blended finance and development finance</x:v>
      </x:c>
      <x:c r="D618" s="10" t="str">
        <x:v>Specialist</x:v>
      </x:c>
      <x:c r="E618" s="10" t="str">
        <x:v>T01.12</x:v>
      </x:c>
      <x:c r="F618" s="10" t="str">
        <x:v>T37.06</x:v>
      </x:c>
      <x:c r="G618" s="11" t="n">
        <x:v>5</x:v>
      </x:c>
      <x:c r="H618" s="11" t="n">
        <x:v>1</x:v>
      </x:c>
      <x:c r="I618" s="10" t="str">
        <x:v>Investigate a case</x:v>
      </x:c>
      <x:c r="J618" s="10" t="str">
        <x:v>How would you distinguish a measurable impact from a financing label? Apply the question to blended finance and development finance.</x:v>
      </x:c>
      <x:c r="K618" s="13" t="str">
        <x:v>Not authored</x:v>
      </x:c>
      <x:c r="L618" s="13" t="str">
        <x:v>No</x:v>
      </x:c>
      <x:c r="M618" s="13" t="str"/>
    </x:row>
    <x:row r="619" ht="58" customHeight="1">
      <x:c r="A619" s="9" t="str">
        <x:v>T37.08</x:v>
      </x:c>
      <x:c r="B619" s="9" t="str">
        <x:v>D37</x:v>
      </x:c>
      <x:c r="C619" s="9" t="str">
        <x:v>Social finance and financial inclusion</x:v>
      </x:c>
      <x:c r="D619" s="9" t="str">
        <x:v>Specialist</x:v>
      </x:c>
      <x:c r="E619" s="9" t="str">
        <x:v>T01.12</x:v>
      </x:c>
      <x:c r="F619" s="9" t="str">
        <x:v>T37.13</x:v>
      </x:c>
      <x:c r="G619" s="12" t="n">
        <x:v>5</x:v>
      </x:c>
      <x:c r="H619" s="12" t="n">
        <x:v>1</x:v>
      </x:c>
      <x:c r="I619" s="9" t="str">
        <x:v>Investigate a case</x:v>
      </x:c>
      <x:c r="J619" s="9" t="str">
        <x:v>How would you distinguish a measurable impact from a financing label? Apply the question to social finance and financial inclusion.</x:v>
      </x:c>
      <x:c r="K619" s="13" t="str">
        <x:v>Not authored</x:v>
      </x:c>
      <x:c r="L619" s="13" t="str">
        <x:v>No</x:v>
      </x:c>
      <x:c r="M619" s="13" t="str"/>
    </x:row>
    <x:row r="620" ht="58" customHeight="1">
      <x:c r="A620" s="10" t="str">
        <x:v>T37.09</x:v>
      </x:c>
      <x:c r="B620" s="10" t="str">
        <x:v>D37</x:v>
      </x:c>
      <x:c r="C620" s="10" t="str">
        <x:v>Stewardship and engagement</x:v>
      </x:c>
      <x:c r="D620" s="10" t="str">
        <x:v>Specialist</x:v>
      </x:c>
      <x:c r="E620" s="10" t="str">
        <x:v>T01.12</x:v>
      </x:c>
      <x:c r="F620" s="10" t="str">
        <x:v>T37.01</x:v>
      </x:c>
      <x:c r="G620" s="11" t="n">
        <x:v>4</x:v>
      </x:c>
      <x:c r="H620" s="11" t="n">
        <x:v>1</x:v>
      </x:c>
      <x:c r="I620" s="10" t="str">
        <x:v>Investigate a case</x:v>
      </x:c>
      <x:c r="J620" s="10" t="str">
        <x:v>How would you distinguish a measurable impact from a financing label? Apply the question to stewardship and engagement.</x:v>
      </x:c>
      <x:c r="K620" s="13" t="str">
        <x:v>Not authored</x:v>
      </x:c>
      <x:c r="L620" s="13" t="str">
        <x:v>No</x:v>
      </x:c>
      <x:c r="M620" s="13" t="str"/>
    </x:row>
    <x:row r="621" ht="58" customHeight="1">
      <x:c r="A621" s="9" t="str">
        <x:v>T37.10</x:v>
      </x:c>
      <x:c r="B621" s="9" t="str">
        <x:v>D37</x:v>
      </x:c>
      <x:c r="C621" s="9" t="str">
        <x:v>Greenwashing and data-quality limitations</x:v>
      </x:c>
      <x:c r="D621" s="9" t="str">
        <x:v>Specialist</x:v>
      </x:c>
      <x:c r="E621" s="9" t="str">
        <x:v>T01.12</x:v>
      </x:c>
      <x:c r="F621" s="9" t="str">
        <x:v>T37.02</x:v>
      </x:c>
      <x:c r="G621" s="12" t="n">
        <x:v>5</x:v>
      </x:c>
      <x:c r="H621" s="12" t="n">
        <x:v>1</x:v>
      </x:c>
      <x:c r="I621" s="9" t="str">
        <x:v>Investigate a case</x:v>
      </x:c>
      <x:c r="J621" s="9" t="str">
        <x:v>How would you distinguish a measurable impact from a financing label? Apply the question to greenwashing and data-quality limitations.</x:v>
      </x:c>
      <x:c r="K621" s="13" t="str">
        <x:v>Not authored</x:v>
      </x:c>
      <x:c r="L621" s="13" t="str">
        <x:v>No</x:v>
      </x:c>
      <x:c r="M621" s="13" t="str"/>
    </x:row>
    <x:row r="622" ht="58" customHeight="1">
      <x:c r="A622" s="10" t="str">
        <x:v>T37.11</x:v>
      </x:c>
      <x:c r="B622" s="10" t="str">
        <x:v>D37</x:v>
      </x:c>
      <x:c r="C622" s="10" t="str">
        <x:v>Islamic finance principles</x:v>
      </x:c>
      <x:c r="D622" s="10" t="str">
        <x:v>Specialist</x:v>
      </x:c>
      <x:c r="E622" s="10" t="str">
        <x:v>T01.12</x:v>
      </x:c>
      <x:c r="F622" s="10" t="str">
        <x:v>T37.12</x:v>
      </x:c>
      <x:c r="G622" s="11" t="n">
        <x:v>5</x:v>
      </x:c>
      <x:c r="H622" s="11" t="n">
        <x:v>1</x:v>
      </x:c>
      <x:c r="I622" s="10" t="str">
        <x:v>Investigate a case</x:v>
      </x:c>
      <x:c r="J622" s="10" t="str">
        <x:v>How would you distinguish a measurable impact from a financing label? Apply the question to islamic finance principles.</x:v>
      </x:c>
      <x:c r="K622" s="13" t="str">
        <x:v>Not authored</x:v>
      </x:c>
      <x:c r="L622" s="13" t="str">
        <x:v>No</x:v>
      </x:c>
      <x:c r="M622" s="13" t="str"/>
    </x:row>
    <x:row r="623" ht="58" customHeight="1">
      <x:c r="A623" s="9" t="str">
        <x:v>T37.12</x:v>
      </x:c>
      <x:c r="B623" s="9" t="str">
        <x:v>D37</x:v>
      </x:c>
      <x:c r="C623" s="9" t="str">
        <x:v>Murabaha, ijara, musharaka, mudaraba, and sukuk</x:v>
      </x:c>
      <x:c r="D623" s="9" t="str">
        <x:v>Specialist</x:v>
      </x:c>
      <x:c r="E623" s="9" t="str">
        <x:v>T01.12</x:v>
      </x:c>
      <x:c r="F623" s="9" t="str">
        <x:v>T37.11</x:v>
      </x:c>
      <x:c r="G623" s="12" t="n">
        <x:v>5</x:v>
      </x:c>
      <x:c r="H623" s="12" t="n">
        <x:v>1</x:v>
      </x:c>
      <x:c r="I623" s="9" t="str">
        <x:v>Investigate a case</x:v>
      </x:c>
      <x:c r="J623" s="9" t="str">
        <x:v>How would you distinguish a measurable impact from a financing label? Apply the question to murabaha, ijara, musharaka, mudaraba, and sukuk.</x:v>
      </x:c>
      <x:c r="K623" s="13" t="str">
        <x:v>Not authored</x:v>
      </x:c>
      <x:c r="L623" s="13" t="str">
        <x:v>No</x:v>
      </x:c>
      <x:c r="M623" s="13" t="str"/>
    </x:row>
    <x:row r="624" ht="58" customHeight="1">
      <x:c r="A624" s="10" t="str">
        <x:v>T37.13</x:v>
      </x:c>
      <x:c r="B624" s="10" t="str">
        <x:v>D37</x:v>
      </x:c>
      <x:c r="C624" s="10" t="str">
        <x:v>Cooperative finance and community finance</x:v>
      </x:c>
      <x:c r="D624" s="10" t="str">
        <x:v>Specialist</x:v>
      </x:c>
      <x:c r="E624" s="10" t="str">
        <x:v>T01.12</x:v>
      </x:c>
      <x:c r="F624" s="10" t="str">
        <x:v>T37.08</x:v>
      </x:c>
      <x:c r="G624" s="11" t="n">
        <x:v>4</x:v>
      </x:c>
      <x:c r="H624" s="11" t="n">
        <x:v>0</x:v>
      </x:c>
      <x:c r="I624" s="10" t="str">
        <x:v>Investigate a case</x:v>
      </x:c>
      <x:c r="J624" s="10" t="str">
        <x:v>How would you distinguish a measurable impact from a financing label? Apply the question to cooperative finance and community finance.</x:v>
      </x:c>
      <x:c r="K624" s="13" t="str">
        <x:v>Not authored</x:v>
      </x:c>
      <x:c r="L624" s="13" t="str">
        <x:v>No</x:v>
      </x:c>
      <x:c r="M624" s="13" t="str"/>
    </x:row>
    <x:row r="625" ht="58" customHeight="1">
      <x:c r="A625" s="9" t="str">
        <x:v>T37.14</x:v>
      </x:c>
      <x:c r="B625" s="9" t="str">
        <x:v>D37</x:v>
      </x:c>
      <x:c r="C625" s="9" t="str">
        <x:v>Nonprofit and endowment finance</x:v>
      </x:c>
      <x:c r="D625" s="9" t="str">
        <x:v>Specialist</x:v>
      </x:c>
      <x:c r="E625" s="9" t="str">
        <x:v>T01.12</x:v>
      </x:c>
      <x:c r="F625" s="9" t="str">
        <x:v>T37.06</x:v>
      </x:c>
      <x:c r="G625" s="12" t="n">
        <x:v>4</x:v>
      </x:c>
      <x:c r="H625" s="12" t="n">
        <x:v>1</x:v>
      </x:c>
      <x:c r="I625" s="9" t="str">
        <x:v>Investigate a case</x:v>
      </x:c>
      <x:c r="J625" s="9" t="str">
        <x:v>How would you distinguish a measurable impact from a financing label? Apply the question to nonprofit and endowment finance.</x:v>
      </x:c>
      <x:c r="K625" s="13" t="str">
        <x:v>Not authored</x:v>
      </x:c>
      <x:c r="L625" s="13" t="str">
        <x:v>No</x:v>
      </x:c>
      <x:c r="M625" s="13" t="str"/>
    </x:row>
    <x:row r="626" ht="58" customHeight="1">
      <x:c r="A626" s="10" t="str">
        <x:v>T38.01</x:v>
      </x:c>
      <x:c r="B626" s="10" t="str">
        <x:v>D38</x:v>
      </x:c>
      <x:c r="C626" s="10" t="str">
        <x:v>Financial data sources and data licensing</x:v>
      </x:c>
      <x:c r="D626" s="10" t="str">
        <x:v>Advanced</x:v>
      </x:c>
      <x:c r="E626" s="10" t="str">
        <x:v>T02.12</x:v>
      </x:c>
      <x:c r="F626" s="10" t="str">
        <x:v>T38.02</x:v>
      </x:c>
      <x:c r="G626" s="11" t="n">
        <x:v>5</x:v>
      </x:c>
      <x:c r="H626" s="11" t="n">
        <x:v>0</x:v>
      </x:c>
      <x:c r="I626" s="10" t="str">
        <x:v>Investigate a case</x:v>
      </x:c>
      <x:c r="J626" s="10" t="str">
        <x:v>Could information unavailable at the time be making this result look better? Apply the question to financial data sources and data licensing.</x:v>
      </x:c>
      <x:c r="K626" s="13" t="str">
        <x:v>Not authored</x:v>
      </x:c>
      <x:c r="L626" s="13" t="str">
        <x:v>No</x:v>
      </x:c>
      <x:c r="M626" s="13" t="str"/>
    </x:row>
    <x:row r="627" ht="58" customHeight="1">
      <x:c r="A627" s="9" t="str">
        <x:v>T38.02</x:v>
      </x:c>
      <x:c r="B627" s="9" t="str">
        <x:v>D38</x:v>
      </x:c>
      <x:c r="C627" s="9" t="str">
        <x:v>Data cleaning and reconciliation</x:v>
      </x:c>
      <x:c r="D627" s="9" t="str">
        <x:v>Advanced</x:v>
      </x:c>
      <x:c r="E627" s="9" t="str">
        <x:v>T02.12</x:v>
      </x:c>
      <x:c r="F627" s="9" t="str">
        <x:v>T38.01</x:v>
      </x:c>
      <x:c r="G627" s="12" t="n">
        <x:v>5</x:v>
      </x:c>
      <x:c r="H627" s="12" t="n">
        <x:v>0</x:v>
      </x:c>
      <x:c r="I627" s="9" t="str">
        <x:v>Investigate a case</x:v>
      </x:c>
      <x:c r="J627" s="9" t="str">
        <x:v>Could information unavailable at the time be making this result look better? Apply the question to data cleaning and reconciliation.</x:v>
      </x:c>
      <x:c r="K627" s="13" t="str">
        <x:v>Not authored</x:v>
      </x:c>
      <x:c r="L627" s="13" t="str">
        <x:v>No</x:v>
      </x:c>
      <x:c r="M627" s="13" t="str"/>
    </x:row>
    <x:row r="628" ht="58" customHeight="1">
      <x:c r="A628" s="10" t="str">
        <x:v>T38.03</x:v>
      </x:c>
      <x:c r="B628" s="10" t="str">
        <x:v>D38</x:v>
      </x:c>
      <x:c r="C628" s="10" t="str">
        <x:v>Corporate-action-adjusted prices</x:v>
      </x:c>
      <x:c r="D628" s="10" t="str">
        <x:v>Advanced</x:v>
      </x:c>
      <x:c r="E628" s="10" t="str">
        <x:v>T02.12</x:v>
      </x:c>
      <x:c r="F628" s="10" t="str">
        <x:v>T38.04</x:v>
      </x:c>
      <x:c r="G628" s="11" t="n">
        <x:v>4</x:v>
      </x:c>
      <x:c r="H628" s="11" t="n">
        <x:v>1</x:v>
      </x:c>
      <x:c r="I628" s="10" t="str">
        <x:v>Investigate a case</x:v>
      </x:c>
      <x:c r="J628" s="10" t="str">
        <x:v>Could information unavailable at the time be making this result look better? Apply the question to corporate-action-adjusted prices.</x:v>
      </x:c>
      <x:c r="K628" s="13" t="str">
        <x:v>Not authored</x:v>
      </x:c>
      <x:c r="L628" s="13" t="str">
        <x:v>No</x:v>
      </x:c>
      <x:c r="M628" s="13" t="str"/>
    </x:row>
    <x:row r="629" ht="58" customHeight="1">
      <x:c r="A629" s="9" t="str">
        <x:v>T38.04</x:v>
      </x:c>
      <x:c r="B629" s="9" t="str">
        <x:v>D38</x:v>
      </x:c>
      <x:c r="C629" s="9" t="str">
        <x:v>Point-in-time data and survivorship bias</x:v>
      </x:c>
      <x:c r="D629" s="9" t="str">
        <x:v>Advanced</x:v>
      </x:c>
      <x:c r="E629" s="9" t="str">
        <x:v>T02.12</x:v>
      </x:c>
      <x:c r="F629" s="9" t="str">
        <x:v>T38.10</x:v>
      </x:c>
      <x:c r="G629" s="12" t="n">
        <x:v>6</x:v>
      </x:c>
      <x:c r="H629" s="12" t="n">
        <x:v>1</x:v>
      </x:c>
      <x:c r="I629" s="9" t="str">
        <x:v>Investigate a case</x:v>
      </x:c>
      <x:c r="J629" s="9" t="str">
        <x:v>Could information unavailable at the time be making this result look better? Apply the question to point-in-time data and survivorship bias.</x:v>
      </x:c>
      <x:c r="K629" s="13" t="str">
        <x:v>Not authored</x:v>
      </x:c>
      <x:c r="L629" s="13" t="str">
        <x:v>No</x:v>
      </x:c>
      <x:c r="M629" s="13" t="str"/>
    </x:row>
    <x:row r="630" ht="58" customHeight="1">
      <x:c r="A630" s="10" t="str">
        <x:v>T38.05</x:v>
      </x:c>
      <x:c r="B630" s="10" t="str">
        <x:v>D38</x:v>
      </x:c>
      <x:c r="C630" s="10" t="str">
        <x:v>Spreadsheet engineering</x:v>
      </x:c>
      <x:c r="D630" s="10" t="str">
        <x:v>Advanced</x:v>
      </x:c>
      <x:c r="E630" s="10" t="str">
        <x:v>T02.12</x:v>
      </x:c>
      <x:c r="F630" s="10" t="str">
        <x:v>T38.18</x:v>
      </x:c>
      <x:c r="G630" s="11" t="n">
        <x:v>3</x:v>
      </x:c>
      <x:c r="H630" s="11" t="n">
        <x:v>0</x:v>
      </x:c>
      <x:c r="I630" s="10" t="str">
        <x:v>Investigate a case</x:v>
      </x:c>
      <x:c r="J630" s="10" t="str">
        <x:v>Could information unavailable at the time be making this result look better? Apply the question to spreadsheet engineering.</x:v>
      </x:c>
      <x:c r="K630" s="13" t="str">
        <x:v>Not authored</x:v>
      </x:c>
      <x:c r="L630" s="13" t="str">
        <x:v>No</x:v>
      </x:c>
      <x:c r="M630" s="13" t="str"/>
    </x:row>
    <x:row r="631" ht="58" customHeight="1">
      <x:c r="A631" s="9" t="str">
        <x:v>T38.06</x:v>
      </x:c>
      <x:c r="B631" s="9" t="str">
        <x:v>D38</x:v>
      </x:c>
      <x:c r="C631" s="9" t="str">
        <x:v>SQL, Python, and R for finance</x:v>
      </x:c>
      <x:c r="D631" s="9" t="str">
        <x:v>Advanced</x:v>
      </x:c>
      <x:c r="E631" s="9" t="str">
        <x:v>T02.12</x:v>
      </x:c>
      <x:c r="F631" s="9" t="str">
        <x:v>T38.07</x:v>
      </x:c>
      <x:c r="G631" s="12" t="n">
        <x:v>3</x:v>
      </x:c>
      <x:c r="H631" s="12" t="n">
        <x:v>0</x:v>
      </x:c>
      <x:c r="I631" s="9" t="str">
        <x:v>Investigate a case</x:v>
      </x:c>
      <x:c r="J631" s="9" t="str">
        <x:v>Could information unavailable at the time be making this result look better? Apply the question to sql, python, and r for finance.</x:v>
      </x:c>
      <x:c r="K631" s="13" t="str">
        <x:v>Not authored</x:v>
      </x:c>
      <x:c r="L631" s="13" t="str">
        <x:v>No</x:v>
      </x:c>
      <x:c r="M631" s="13" t="str"/>
    </x:row>
    <x:row r="632" ht="58" customHeight="1">
      <x:c r="A632" s="10" t="str">
        <x:v>T38.07</x:v>
      </x:c>
      <x:c r="B632" s="10" t="str">
        <x:v>D38</x:v>
      </x:c>
      <x:c r="C632" s="10" t="str">
        <x:v>APIs and financial data pipelines</x:v>
      </x:c>
      <x:c r="D632" s="10" t="str">
        <x:v>Advanced</x:v>
      </x:c>
      <x:c r="E632" s="10" t="str">
        <x:v>T02.12</x:v>
      </x:c>
      <x:c r="F632" s="10" t="str">
        <x:v>T38.02</x:v>
      </x:c>
      <x:c r="G632" s="11" t="n">
        <x:v>5</x:v>
      </x:c>
      <x:c r="H632" s="11" t="n">
        <x:v>1</x:v>
      </x:c>
      <x:c r="I632" s="10" t="str">
        <x:v>Investigate a case</x:v>
      </x:c>
      <x:c r="J632" s="10" t="str">
        <x:v>Could information unavailable at the time be making this result look better? Apply the question to apis and financial data pipelines.</x:v>
      </x:c>
      <x:c r="K632" s="13" t="str">
        <x:v>Not authored</x:v>
      </x:c>
      <x:c r="L632" s="13" t="str">
        <x:v>No</x:v>
      </x:c>
      <x:c r="M632" s="13" t="str"/>
    </x:row>
    <x:row r="633" ht="58" customHeight="1">
      <x:c r="A633" s="9" t="str">
        <x:v>T38.08</x:v>
      </x:c>
      <x:c r="B633" s="9" t="str">
        <x:v>D38</x:v>
      </x:c>
      <x:c r="C633" s="9" t="str">
        <x:v>Econometrics and financial forecasting</x:v>
      </x:c>
      <x:c r="D633" s="9" t="str">
        <x:v>Advanced</x:v>
      </x:c>
      <x:c r="E633" s="9" t="str">
        <x:v>T02.12</x:v>
      </x:c>
      <x:c r="F633" s="9" t="str">
        <x:v>T38.10</x:v>
      </x:c>
      <x:c r="G633" s="12" t="n">
        <x:v>4</x:v>
      </x:c>
      <x:c r="H633" s="12" t="n">
        <x:v>1</x:v>
      </x:c>
      <x:c r="I633" s="9" t="str">
        <x:v>Investigate a case</x:v>
      </x:c>
      <x:c r="J633" s="9" t="str">
        <x:v>Could information unavailable at the time be making this result look better? Apply the question to econometrics and financial forecasting.</x:v>
      </x:c>
      <x:c r="K633" s="13" t="str">
        <x:v>Not authored</x:v>
      </x:c>
      <x:c r="L633" s="13" t="str">
        <x:v>No</x:v>
      </x:c>
      <x:c r="M633" s="13" t="str"/>
    </x:row>
    <x:row r="634" ht="58" customHeight="1">
      <x:c r="A634" s="10" t="str">
        <x:v>T38.09</x:v>
      </x:c>
      <x:c r="B634" s="10" t="str">
        <x:v>D38</x:v>
      </x:c>
      <x:c r="C634" s="10" t="str">
        <x:v>Factor research and backtesting</x:v>
      </x:c>
      <x:c r="D634" s="10" t="str">
        <x:v>Advanced</x:v>
      </x:c>
      <x:c r="E634" s="10" t="str">
        <x:v>T02.12, T38.04</x:v>
      </x:c>
      <x:c r="F634" s="10" t="str">
        <x:v>T38.10</x:v>
      </x:c>
      <x:c r="G634" s="11" t="n">
        <x:v>9</x:v>
      </x:c>
      <x:c r="H634" s="11" t="n">
        <x:v>3</x:v>
      </x:c>
      <x:c r="I634" s="10" t="str">
        <x:v>Investigate a case</x:v>
      </x:c>
      <x:c r="J634" s="10" t="str">
        <x:v>Could information unavailable at the time be making this result look better? Apply the question to factor research and backtesting.</x:v>
      </x:c>
      <x:c r="K634" s="13" t="str">
        <x:v>Not authored</x:v>
      </x:c>
      <x:c r="L634" s="13" t="str">
        <x:v>No</x:v>
      </x:c>
      <x:c r="M634" s="13" t="str"/>
    </x:row>
    <x:row r="635" ht="58" customHeight="1">
      <x:c r="A635" s="9" t="str">
        <x:v>T38.10</x:v>
      </x:c>
      <x:c r="B635" s="9" t="str">
        <x:v>D38</x:v>
      </x:c>
      <x:c r="C635" s="9" t="str">
        <x:v>Look-ahead bias, overfitting, and data snooping</x:v>
      </x:c>
      <x:c r="D635" s="9" t="str">
        <x:v>Advanced</x:v>
      </x:c>
      <x:c r="E635" s="9" t="str">
        <x:v>T02.12</x:v>
      </x:c>
      <x:c r="F635" s="9" t="str">
        <x:v>T38.09</x:v>
      </x:c>
      <x:c r="G635" s="12" t="n">
        <x:v>7</x:v>
      </x:c>
      <x:c r="H635" s="12" t="n">
        <x:v>1</x:v>
      </x:c>
      <x:c r="I635" s="9" t="str">
        <x:v>Investigate a case</x:v>
      </x:c>
      <x:c r="J635" s="9" t="str">
        <x:v>Could information unavailable at the time be making this result look better? Apply the question to look-ahead bias, overfitting, and data snooping.</x:v>
      </x:c>
      <x:c r="K635" s="13" t="str">
        <x:v>Not authored</x:v>
      </x:c>
      <x:c r="L635" s="13" t="str">
        <x:v>No</x:v>
      </x:c>
      <x:c r="M635" s="13" t="str"/>
    </x:row>
    <x:row r="636" ht="58" customHeight="1">
      <x:c r="A636" s="10" t="str">
        <x:v>T38.11</x:v>
      </x:c>
      <x:c r="B636" s="10" t="str">
        <x:v>D38</x:v>
      </x:c>
      <x:c r="C636" s="10" t="str">
        <x:v>Transaction costs and realistic strategy testing</x:v>
      </x:c>
      <x:c r="D636" s="10" t="str">
        <x:v>Advanced</x:v>
      </x:c>
      <x:c r="E636" s="10" t="str">
        <x:v>T02.12</x:v>
      </x:c>
      <x:c r="F636" s="10" t="str">
        <x:v>T38.09</x:v>
      </x:c>
      <x:c r="G636" s="11" t="n">
        <x:v>6</x:v>
      </x:c>
      <x:c r="H636" s="11" t="n">
        <x:v>2</x:v>
      </x:c>
      <x:c r="I636" s="10" t="str">
        <x:v>Investigate a case</x:v>
      </x:c>
      <x:c r="J636" s="10" t="str">
        <x:v>Could information unavailable at the time be making this result look better? Apply the question to transaction costs and realistic strategy testing.</x:v>
      </x:c>
      <x:c r="K636" s="13" t="str">
        <x:v>Not authored</x:v>
      </x:c>
      <x:c r="L636" s="13" t="str">
        <x:v>No</x:v>
      </x:c>
      <x:c r="M636" s="13" t="str"/>
    </x:row>
    <x:row r="637" ht="58" customHeight="1">
      <x:c r="A637" s="9" t="str">
        <x:v>T38.12</x:v>
      </x:c>
      <x:c r="B637" s="9" t="str">
        <x:v>D38</x:v>
      </x:c>
      <x:c r="C637" s="9" t="str">
        <x:v>Monte Carlo simulation</x:v>
      </x:c>
      <x:c r="D637" s="9" t="str">
        <x:v>Advanced</x:v>
      </x:c>
      <x:c r="E637" s="9" t="str">
        <x:v>T02.12, T02.07</x:v>
      </x:c>
      <x:c r="F637" s="9" t="str">
        <x:v>T38.13</x:v>
      </x:c>
      <x:c r="G637" s="12" t="n">
        <x:v>7</x:v>
      </x:c>
      <x:c r="H637" s="12" t="n">
        <x:v>2</x:v>
      </x:c>
      <x:c r="I637" s="9" t="str">
        <x:v>Investigate a case</x:v>
      </x:c>
      <x:c r="J637" s="9" t="str">
        <x:v>Could information unavailable at the time be making this result look better? Apply the question to monte carlo simulation.</x:v>
      </x:c>
      <x:c r="K637" s="13" t="str">
        <x:v>Not authored</x:v>
      </x:c>
      <x:c r="L637" s="13" t="str">
        <x:v>No</x:v>
      </x:c>
      <x:c r="M637" s="13" t="str"/>
    </x:row>
    <x:row r="638" ht="58" customHeight="1">
      <x:c r="A638" s="10" t="str">
        <x:v>T38.13</x:v>
      </x:c>
      <x:c r="B638" s="10" t="str">
        <x:v>D38</x:v>
      </x:c>
      <x:c r="C638" s="10" t="str">
        <x:v>Numerical pricing and optimisation</x:v>
      </x:c>
      <x:c r="D638" s="10" t="str">
        <x:v>Advanced</x:v>
      </x:c>
      <x:c r="E638" s="10" t="str">
        <x:v>T02.12</x:v>
      </x:c>
      <x:c r="F638" s="10" t="str">
        <x:v>T38.12</x:v>
      </x:c>
      <x:c r="G638" s="11" t="n">
        <x:v>5</x:v>
      </x:c>
      <x:c r="H638" s="11" t="n">
        <x:v>1</x:v>
      </x:c>
      <x:c r="I638" s="10" t="str">
        <x:v>Investigate a case</x:v>
      </x:c>
      <x:c r="J638" s="10" t="str">
        <x:v>Could information unavailable at the time be making this result look better? Apply the question to numerical pricing and optimisation.</x:v>
      </x:c>
      <x:c r="K638" s="13" t="str">
        <x:v>Not authored</x:v>
      </x:c>
      <x:c r="L638" s="13" t="str">
        <x:v>No</x:v>
      </x:c>
      <x:c r="M638" s="13" t="str"/>
    </x:row>
    <x:row r="639" ht="58" customHeight="1">
      <x:c r="A639" s="9" t="str">
        <x:v>T38.14</x:v>
      </x:c>
      <x:c r="B639" s="9" t="str">
        <x:v>D38</x:v>
      </x:c>
      <x:c r="C639" s="9" t="str">
        <x:v>Algorithmic execution and systematic investing</x:v>
      </x:c>
      <x:c r="D639" s="9" t="str">
        <x:v>Advanced</x:v>
      </x:c>
      <x:c r="E639" s="9" t="str">
        <x:v>T02.12</x:v>
      </x:c>
      <x:c r="F639" s="9" t="str">
        <x:v>T38.11</x:v>
      </x:c>
      <x:c r="G639" s="12" t="n">
        <x:v>4</x:v>
      </x:c>
      <x:c r="H639" s="12" t="n">
        <x:v>1</x:v>
      </x:c>
      <x:c r="I639" s="9" t="str">
        <x:v>Investigate a case</x:v>
      </x:c>
      <x:c r="J639" s="9" t="str">
        <x:v>Could information unavailable at the time be making this result look better? Apply the question to algorithmic execution and systematic investing.</x:v>
      </x:c>
      <x:c r="K639" s="13" t="str">
        <x:v>Not authored</x:v>
      </x:c>
      <x:c r="L639" s="13" t="str">
        <x:v>No</x:v>
      </x:c>
      <x:c r="M639" s="13" t="str"/>
    </x:row>
    <x:row r="640" ht="58" customHeight="1">
      <x:c r="A640" s="10" t="str">
        <x:v>T38.15</x:v>
      </x:c>
      <x:c r="B640" s="10" t="str">
        <x:v>D38</x:v>
      </x:c>
      <x:c r="C640" s="10" t="str">
        <x:v>Machine learning for credit, fraud, and forecasting</x:v>
      </x:c>
      <x:c r="D640" s="10" t="str">
        <x:v>Advanced</x:v>
      </x:c>
      <x:c r="E640" s="10" t="str">
        <x:v>T02.12</x:v>
      </x:c>
      <x:c r="F640" s="10" t="str">
        <x:v>T38.18</x:v>
      </x:c>
      <x:c r="G640" s="11" t="n">
        <x:v>4</x:v>
      </x:c>
      <x:c r="H640" s="11" t="n">
        <x:v>1</x:v>
      </x:c>
      <x:c r="I640" s="10" t="str">
        <x:v>Investigate a case</x:v>
      </x:c>
      <x:c r="J640" s="10" t="str">
        <x:v>Could information unavailable at the time be making this result look better? Apply the question to machine learning for credit, fraud, and forecasting.</x:v>
      </x:c>
      <x:c r="K640" s="13" t="str">
        <x:v>Not authored</x:v>
      </x:c>
      <x:c r="L640" s="13" t="str">
        <x:v>No</x:v>
      </x:c>
      <x:c r="M640" s="13" t="str"/>
    </x:row>
    <x:row r="641" ht="58" customHeight="1">
      <x:c r="A641" s="9" t="str">
        <x:v>T38.16</x:v>
      </x:c>
      <x:c r="B641" s="9" t="str">
        <x:v>D38</x:v>
      </x:c>
      <x:c r="C641" s="9" t="str">
        <x:v>Natural-language processing for financial disclosures</x:v>
      </x:c>
      <x:c r="D641" s="9" t="str">
        <x:v>Advanced</x:v>
      </x:c>
      <x:c r="E641" s="9" t="str">
        <x:v>T02.12</x:v>
      </x:c>
      <x:c r="F641" s="9" t="str">
        <x:v>T38.01</x:v>
      </x:c>
      <x:c r="G641" s="12" t="n">
        <x:v>4</x:v>
      </x:c>
      <x:c r="H641" s="12" t="n">
        <x:v>1</x:v>
      </x:c>
      <x:c r="I641" s="9" t="str">
        <x:v>Investigate a case</x:v>
      </x:c>
      <x:c r="J641" s="9" t="str">
        <x:v>Could information unavailable at the time be making this result look better? Apply the question to natural-language processing for financial disclosures.</x:v>
      </x:c>
      <x:c r="K641" s="13" t="str">
        <x:v>Not authored</x:v>
      </x:c>
      <x:c r="L641" s="13" t="str">
        <x:v>No</x:v>
      </x:c>
      <x:c r="M641" s="13" t="str"/>
    </x:row>
    <x:row r="642" ht="58" customHeight="1">
      <x:c r="A642" s="10" t="str">
        <x:v>T38.17</x:v>
      </x:c>
      <x:c r="B642" s="10" t="str">
        <x:v>D38</x:v>
      </x:c>
      <x:c r="C642" s="10" t="str">
        <x:v>AI-assisted research and financial modelling</x:v>
      </x:c>
      <x:c r="D642" s="10" t="str">
        <x:v>Advanced</x:v>
      </x:c>
      <x:c r="E642" s="10" t="str">
        <x:v>T02.12</x:v>
      </x:c>
      <x:c r="F642" s="10" t="str">
        <x:v>T38.18</x:v>
      </x:c>
      <x:c r="G642" s="11" t="n">
        <x:v>5</x:v>
      </x:c>
      <x:c r="H642" s="11" t="n">
        <x:v>1</x:v>
      </x:c>
      <x:c r="I642" s="10" t="str">
        <x:v>Investigate a case</x:v>
      </x:c>
      <x:c r="J642" s="10" t="str">
        <x:v>Could information unavailable at the time be making this result look better? Apply the question to ai-assisted research and financial modelling.</x:v>
      </x:c>
      <x:c r="K642" s="13" t="str">
        <x:v>Not authored</x:v>
      </x:c>
      <x:c r="L642" s="13" t="str">
        <x:v>No</x:v>
      </x:c>
      <x:c r="M642" s="13" t="str"/>
    </x:row>
    <x:row r="643" ht="58" customHeight="1">
      <x:c r="A643" s="9" t="str">
        <x:v>T38.18</x:v>
      </x:c>
      <x:c r="B643" s="9" t="str">
        <x:v>D38</x:v>
      </x:c>
      <x:c r="C643" s="9" t="str">
        <x:v>Reproducibility, model governance, and human verification</x:v>
      </x:c>
      <x:c r="D643" s="9" t="str">
        <x:v>Advanced</x:v>
      </x:c>
      <x:c r="E643" s="9" t="str">
        <x:v>T02.12</x:v>
      </x:c>
      <x:c r="F643" s="9" t="str">
        <x:v>T38.17</x:v>
      </x:c>
      <x:c r="G643" s="12" t="n">
        <x:v>9</x:v>
      </x:c>
      <x:c r="H643" s="12" t="n">
        <x:v>3</x:v>
      </x:c>
      <x:c r="I643" s="9" t="str">
        <x:v>Investigate a case</x:v>
      </x:c>
      <x:c r="J643" s="9" t="str">
        <x:v>Could information unavailable at the time be making this result look better? Apply the question to reproducibility, model governance, and human verification.</x:v>
      </x:c>
      <x:c r="K643" s="13" t="str">
        <x:v>Not authored</x:v>
      </x:c>
      <x:c r="L643" s="13" t="str">
        <x:v>No</x:v>
      </x:c>
      <x:c r="M643" s="13" t="str"/>
    </x:row>
    <x:row r="644" ht="58" customHeight="1">
      <x:c r="A644" s="10" t="str">
        <x:v>T39.01</x:v>
      </x:c>
      <x:c r="B644" s="10" t="str">
        <x:v>D39</x:v>
      </x:c>
      <x:c r="C644" s="10" t="str">
        <x:v>Banks</x:v>
      </x:c>
      <x:c r="D644" s="10" t="str">
        <x:v>Specialist</x:v>
      </x:c>
      <x:c r="E644" s="10" t="str">
        <x:v>T09.15</x:v>
      </x:c>
      <x:c r="F644" s="10" t="str">
        <x:v>T39.02</x:v>
      </x:c>
      <x:c r="G644" s="11" t="n">
        <x:v>5</x:v>
      </x:c>
      <x:c r="H644" s="11" t="n">
        <x:v>1</x:v>
      </x:c>
      <x:c r="I644" s="10" t="str">
        <x:v>Investigate a case</x:v>
      </x:c>
      <x:c r="J644" s="10" t="str">
        <x:v>Which metric or valuation convention changes in this industry? Apply the question to banks.</x:v>
      </x:c>
      <x:c r="K644" s="13" t="str">
        <x:v>Not authored</x:v>
      </x:c>
      <x:c r="L644" s="13" t="str">
        <x:v>No</x:v>
      </x:c>
      <x:c r="M644" s="13" t="str"/>
    </x:row>
    <x:row r="645" ht="58" customHeight="1">
      <x:c r="A645" s="9" t="str">
        <x:v>T39.02</x:v>
      </x:c>
      <x:c r="B645" s="9" t="str">
        <x:v>D39</x:v>
      </x:c>
      <x:c r="C645" s="9" t="str">
        <x:v>NBFCs and housing finance</x:v>
      </x:c>
      <x:c r="D645" s="9" t="str">
        <x:v>Specialist</x:v>
      </x:c>
      <x:c r="E645" s="9" t="str">
        <x:v>T09.15</x:v>
      </x:c>
      <x:c r="F645" s="9" t="str">
        <x:v>T39.01</x:v>
      </x:c>
      <x:c r="G645" s="12" t="n">
        <x:v>5</x:v>
      </x:c>
      <x:c r="H645" s="12" t="n">
        <x:v>1</x:v>
      </x:c>
      <x:c r="I645" s="9" t="str">
        <x:v>Investigate a case</x:v>
      </x:c>
      <x:c r="J645" s="9" t="str">
        <x:v>Which metric or valuation convention changes in this industry? Apply the question to nbfcs and housing finance.</x:v>
      </x:c>
      <x:c r="K645" s="13" t="str">
        <x:v>Not authored</x:v>
      </x:c>
      <x:c r="L645" s="13" t="str">
        <x:v>No</x:v>
      </x:c>
      <x:c r="M645" s="13" t="str"/>
    </x:row>
    <x:row r="646" ht="58" customHeight="1">
      <x:c r="A646" s="10" t="str">
        <x:v>T39.03</x:v>
      </x:c>
      <x:c r="B646" s="10" t="str">
        <x:v>D39</x:v>
      </x:c>
      <x:c r="C646" s="10" t="str">
        <x:v>Insurance</x:v>
      </x:c>
      <x:c r="D646" s="10" t="str">
        <x:v>Specialist</x:v>
      </x:c>
      <x:c r="E646" s="10" t="str">
        <x:v>T09.15</x:v>
      </x:c>
      <x:c r="F646" s="10" t="str">
        <x:v>T39.04</x:v>
      </x:c>
      <x:c r="G646" s="11" t="n">
        <x:v>4</x:v>
      </x:c>
      <x:c r="H646" s="11" t="n">
        <x:v>1</x:v>
      </x:c>
      <x:c r="I646" s="10" t="str">
        <x:v>Investigate a case</x:v>
      </x:c>
      <x:c r="J646" s="10" t="str">
        <x:v>Which metric or valuation convention changes in this industry? Apply the question to insurance.</x:v>
      </x:c>
      <x:c r="K646" s="13" t="str">
        <x:v>Not authored</x:v>
      </x:c>
      <x:c r="L646" s="13" t="str">
        <x:v>No</x:v>
      </x:c>
      <x:c r="M646" s="13" t="str"/>
    </x:row>
    <x:row r="647" ht="58" customHeight="1">
      <x:c r="A647" s="9" t="str">
        <x:v>T39.04</x:v>
      </x:c>
      <x:c r="B647" s="9" t="str">
        <x:v>D39</x:v>
      </x:c>
      <x:c r="C647" s="9" t="str">
        <x:v>Asset management and brokerage</x:v>
      </x:c>
      <x:c r="D647" s="9" t="str">
        <x:v>Specialist</x:v>
      </x:c>
      <x:c r="E647" s="9" t="str">
        <x:v>T09.15</x:v>
      </x:c>
      <x:c r="F647" s="9" t="str">
        <x:v>T39.05</x:v>
      </x:c>
      <x:c r="G647" s="12" t="n">
        <x:v>6</x:v>
      </x:c>
      <x:c r="H647" s="12" t="n">
        <x:v>1</x:v>
      </x:c>
      <x:c r="I647" s="9" t="str">
        <x:v>Investigate a case</x:v>
      </x:c>
      <x:c r="J647" s="9" t="str">
        <x:v>Which metric or valuation convention changes in this industry? Apply the question to asset management and brokerage.</x:v>
      </x:c>
      <x:c r="K647" s="13" t="str">
        <x:v>Not authored</x:v>
      </x:c>
      <x:c r="L647" s="13" t="str">
        <x:v>No</x:v>
      </x:c>
      <x:c r="M647" s="13" t="str"/>
    </x:row>
    <x:row r="648" ht="58" customHeight="1">
      <x:c r="A648" s="10" t="str">
        <x:v>T39.05</x:v>
      </x:c>
      <x:c r="B648" s="10" t="str">
        <x:v>D39</x:v>
      </x:c>
      <x:c r="C648" s="10" t="str">
        <x:v>Financial exchanges and market infrastructure</x:v>
      </x:c>
      <x:c r="D648" s="10" t="str">
        <x:v>Specialist</x:v>
      </x:c>
      <x:c r="E648" s="10" t="str">
        <x:v>T09.15</x:v>
      </x:c>
      <x:c r="F648" s="10" t="str">
        <x:v>T39.04</x:v>
      </x:c>
      <x:c r="G648" s="11" t="n">
        <x:v>5</x:v>
      </x:c>
      <x:c r="H648" s="11" t="n">
        <x:v>1</x:v>
      </x:c>
      <x:c r="I648" s="10" t="str">
        <x:v>Investigate a case</x:v>
      </x:c>
      <x:c r="J648" s="10" t="str">
        <x:v>Which metric or valuation convention changes in this industry? Apply the question to financial exchanges and market infrastructure.</x:v>
      </x:c>
      <x:c r="K648" s="13" t="str">
        <x:v>Not authored</x:v>
      </x:c>
      <x:c r="L648" s="13" t="str">
        <x:v>No</x:v>
      </x:c>
      <x:c r="M648" s="13" t="str"/>
    </x:row>
    <x:row r="649" ht="58" customHeight="1">
      <x:c r="A649" s="9" t="str">
        <x:v>T39.06</x:v>
      </x:c>
      <x:c r="B649" s="9" t="str">
        <x:v>D39</x:v>
      </x:c>
      <x:c r="C649" s="9" t="str">
        <x:v>Software, SaaS, and IT services</x:v>
      </x:c>
      <x:c r="D649" s="9" t="str">
        <x:v>Specialist</x:v>
      </x:c>
      <x:c r="E649" s="9" t="str">
        <x:v>T09.15</x:v>
      </x:c>
      <x:c r="F649" s="9" t="str">
        <x:v>T39.07</x:v>
      </x:c>
      <x:c r="G649" s="12" t="n">
        <x:v>6</x:v>
      </x:c>
      <x:c r="H649" s="12" t="n">
        <x:v>1</x:v>
      </x:c>
      <x:c r="I649" s="9" t="str">
        <x:v>Investigate a case</x:v>
      </x:c>
      <x:c r="J649" s="9" t="str">
        <x:v>Which metric or valuation convention changes in this industry? Apply the question to software, saas, and it services.</x:v>
      </x:c>
      <x:c r="K649" s="13" t="str">
        <x:v>Not authored</x:v>
      </x:c>
      <x:c r="L649" s="13" t="str">
        <x:v>No</x:v>
      </x:c>
      <x:c r="M649" s="13" t="str"/>
    </x:row>
    <x:row r="650" ht="58" customHeight="1">
      <x:c r="A650" s="10" t="str">
        <x:v>T39.07</x:v>
      </x:c>
      <x:c r="B650" s="10" t="str">
        <x:v>D39</x:v>
      </x:c>
      <x:c r="C650" s="10" t="str">
        <x:v>E-commerce and marketplaces</x:v>
      </x:c>
      <x:c r="D650" s="10" t="str">
        <x:v>Specialist</x:v>
      </x:c>
      <x:c r="E650" s="10" t="str">
        <x:v>T09.15</x:v>
      </x:c>
      <x:c r="F650" s="10" t="str">
        <x:v>T39.06</x:v>
      </x:c>
      <x:c r="G650" s="11" t="n">
        <x:v>5</x:v>
      </x:c>
      <x:c r="H650" s="11" t="n">
        <x:v>1</x:v>
      </x:c>
      <x:c r="I650" s="10" t="str">
        <x:v>Investigate a case</x:v>
      </x:c>
      <x:c r="J650" s="10" t="str">
        <x:v>Which metric or valuation convention changes in this industry? Apply the question to e-commerce and marketplaces.</x:v>
      </x:c>
      <x:c r="K650" s="13" t="str">
        <x:v>Not authored</x:v>
      </x:c>
      <x:c r="L650" s="13" t="str">
        <x:v>No</x:v>
      </x:c>
      <x:c r="M650" s="13" t="str"/>
    </x:row>
    <x:row r="651" ht="58" customHeight="1">
      <x:c r="A651" s="9" t="str">
        <x:v>T39.08</x:v>
      </x:c>
      <x:c r="B651" s="9" t="str">
        <x:v>D39</x:v>
      </x:c>
      <x:c r="C651" s="9" t="str">
        <x:v>Consumer goods and retail</x:v>
      </x:c>
      <x:c r="D651" s="9" t="str">
        <x:v>Specialist</x:v>
      </x:c>
      <x:c r="E651" s="9" t="str">
        <x:v>T09.15</x:v>
      </x:c>
      <x:c r="F651" s="9" t="str">
        <x:v>T39.10</x:v>
      </x:c>
      <x:c r="G651" s="12" t="n">
        <x:v>6</x:v>
      </x:c>
      <x:c r="H651" s="12" t="n">
        <x:v>1</x:v>
      </x:c>
      <x:c r="I651" s="9" t="str">
        <x:v>Investigate a case</x:v>
      </x:c>
      <x:c r="J651" s="9" t="str">
        <x:v>Which metric or valuation convention changes in this industry? Apply the question to consumer goods and retail.</x:v>
      </x:c>
      <x:c r="K651" s="13" t="str">
        <x:v>Not authored</x:v>
      </x:c>
      <x:c r="L651" s="13" t="str">
        <x:v>No</x:v>
      </x:c>
      <x:c r="M651" s="13" t="str"/>
    </x:row>
    <x:row r="652" ht="58" customHeight="1">
      <x:c r="A652" s="10" t="str">
        <x:v>T39.09</x:v>
      </x:c>
      <x:c r="B652" s="10" t="str">
        <x:v>D39</x:v>
      </x:c>
      <x:c r="C652" s="10" t="str">
        <x:v>Automotive and electric vehicles</x:v>
      </x:c>
      <x:c r="D652" s="10" t="str">
        <x:v>Specialist</x:v>
      </x:c>
      <x:c r="E652" s="10" t="str">
        <x:v>T09.15</x:v>
      </x:c>
      <x:c r="F652" s="10" t="str">
        <x:v>T39.10</x:v>
      </x:c>
      <x:c r="G652" s="11" t="n">
        <x:v>4</x:v>
      </x:c>
      <x:c r="H652" s="11" t="n">
        <x:v>1</x:v>
      </x:c>
      <x:c r="I652" s="10" t="str">
        <x:v>Investigate a case</x:v>
      </x:c>
      <x:c r="J652" s="10" t="str">
        <x:v>Which metric or valuation convention changes in this industry? Apply the question to automotive and electric vehicles.</x:v>
      </x:c>
      <x:c r="K652" s="13" t="str">
        <x:v>Not authored</x:v>
      </x:c>
      <x:c r="L652" s="13" t="str">
        <x:v>No</x:v>
      </x:c>
      <x:c r="M652" s="13" t="str"/>
    </x:row>
    <x:row r="653" ht="58" customHeight="1">
      <x:c r="A653" s="9" t="str">
        <x:v>T39.10</x:v>
      </x:c>
      <x:c r="B653" s="9" t="str">
        <x:v>D39</x:v>
      </x:c>
      <x:c r="C653" s="9" t="str">
        <x:v>Manufacturing and capital goods</x:v>
      </x:c>
      <x:c r="D653" s="9" t="str">
        <x:v>Specialist</x:v>
      </x:c>
      <x:c r="E653" s="9" t="str">
        <x:v>T09.15</x:v>
      </x:c>
      <x:c r="F653" s="9" t="str">
        <x:v>T39.08</x:v>
      </x:c>
      <x:c r="G653" s="12" t="n">
        <x:v>6</x:v>
      </x:c>
      <x:c r="H653" s="12" t="n">
        <x:v>1</x:v>
      </x:c>
      <x:c r="I653" s="9" t="str">
        <x:v>Investigate a case</x:v>
      </x:c>
      <x:c r="J653" s="9" t="str">
        <x:v>Which metric or valuation convention changes in this industry? Apply the question to manufacturing and capital goods.</x:v>
      </x:c>
      <x:c r="K653" s="13" t="str">
        <x:v>Not authored</x:v>
      </x:c>
      <x:c r="L653" s="13" t="str">
        <x:v>No</x:v>
      </x:c>
      <x:c r="M653" s="13" t="str"/>
    </x:row>
    <x:row r="654" ht="58" customHeight="1">
      <x:c r="A654" s="10" t="str">
        <x:v>T39.11</x:v>
      </x:c>
      <x:c r="B654" s="10" t="str">
        <x:v>D39</x:v>
      </x:c>
      <x:c r="C654" s="10" t="str">
        <x:v>Metals, mining, and commodities</x:v>
      </x:c>
      <x:c r="D654" s="10" t="str">
        <x:v>Specialist</x:v>
      </x:c>
      <x:c r="E654" s="10" t="str">
        <x:v>T09.15</x:v>
      </x:c>
      <x:c r="F654" s="10" t="str">
        <x:v>T39.12</x:v>
      </x:c>
      <x:c r="G654" s="11" t="n">
        <x:v>5</x:v>
      </x:c>
      <x:c r="H654" s="11" t="n">
        <x:v>1</x:v>
      </x:c>
      <x:c r="I654" s="10" t="str">
        <x:v>Investigate a case</x:v>
      </x:c>
      <x:c r="J654" s="10" t="str">
        <x:v>Which metric or valuation convention changes in this industry? Apply the question to metals, mining, and commodities.</x:v>
      </x:c>
      <x:c r="K654" s="13" t="str">
        <x:v>Not authored</x:v>
      </x:c>
      <x:c r="L654" s="13" t="str">
        <x:v>No</x:v>
      </x:c>
      <x:c r="M654" s="13" t="str"/>
    </x:row>
    <x:row r="655" ht="58" customHeight="1">
      <x:c r="A655" s="9" t="str">
        <x:v>T39.12</x:v>
      </x:c>
      <x:c r="B655" s="9" t="str">
        <x:v>D39</x:v>
      </x:c>
      <x:c r="C655" s="9" t="str">
        <x:v>Oil, gas, and petrochemicals</x:v>
      </x:c>
      <x:c r="D655" s="9" t="str">
        <x:v>Specialist</x:v>
      </x:c>
      <x:c r="E655" s="9" t="str">
        <x:v>T09.15</x:v>
      </x:c>
      <x:c r="F655" s="9" t="str">
        <x:v>T39.11</x:v>
      </x:c>
      <x:c r="G655" s="12" t="n">
        <x:v>5</x:v>
      </x:c>
      <x:c r="H655" s="12" t="n">
        <x:v>1</x:v>
      </x:c>
      <x:c r="I655" s="9" t="str">
        <x:v>Investigate a case</x:v>
      </x:c>
      <x:c r="J655" s="9" t="str">
        <x:v>Which metric or valuation convention changes in this industry? Apply the question to oil, gas, and petrochemicals.</x:v>
      </x:c>
      <x:c r="K655" s="13" t="str">
        <x:v>Not authored</x:v>
      </x:c>
      <x:c r="L655" s="13" t="str">
        <x:v>No</x:v>
      </x:c>
      <x:c r="M655" s="13" t="str"/>
    </x:row>
    <x:row r="656" ht="58" customHeight="1">
      <x:c r="A656" s="10" t="str">
        <x:v>T39.13</x:v>
      </x:c>
      <x:c r="B656" s="10" t="str">
        <x:v>D39</x:v>
      </x:c>
      <x:c r="C656" s="10" t="str">
        <x:v>Power, utilities, and renewable energy</x:v>
      </x:c>
      <x:c r="D656" s="10" t="str">
        <x:v>Specialist</x:v>
      </x:c>
      <x:c r="E656" s="10" t="str">
        <x:v>T09.15</x:v>
      </x:c>
      <x:c r="F656" s="10" t="str">
        <x:v>T39.18</x:v>
      </x:c>
      <x:c r="G656" s="11" t="n">
        <x:v>6</x:v>
      </x:c>
      <x:c r="H656" s="11" t="n">
        <x:v>1</x:v>
      </x:c>
      <x:c r="I656" s="10" t="str">
        <x:v>Investigate a case</x:v>
      </x:c>
      <x:c r="J656" s="10" t="str">
        <x:v>Which metric or valuation convention changes in this industry? Apply the question to power, utilities, and renewable energy.</x:v>
      </x:c>
      <x:c r="K656" s="13" t="str">
        <x:v>Not authored</x:v>
      </x:c>
      <x:c r="L656" s="13" t="str">
        <x:v>No</x:v>
      </x:c>
      <x:c r="M656" s="13" t="str"/>
    </x:row>
    <x:row r="657" ht="58" customHeight="1">
      <x:c r="A657" s="9" t="str">
        <x:v>T39.14</x:v>
      </x:c>
      <x:c r="B657" s="9" t="str">
        <x:v>D39</x:v>
      </x:c>
      <x:c r="C657" s="9" t="str">
        <x:v>Telecom and digital infrastructure</x:v>
      </x:c>
      <x:c r="D657" s="9" t="str">
        <x:v>Specialist</x:v>
      </x:c>
      <x:c r="E657" s="9" t="str">
        <x:v>T09.15</x:v>
      </x:c>
      <x:c r="F657" s="9" t="str">
        <x:v>T39.13</x:v>
      </x:c>
      <x:c r="G657" s="12" t="n">
        <x:v>4</x:v>
      </x:c>
      <x:c r="H657" s="12" t="n">
        <x:v>1</x:v>
      </x:c>
      <x:c r="I657" s="9" t="str">
        <x:v>Investigate a case</x:v>
      </x:c>
      <x:c r="J657" s="9" t="str">
        <x:v>Which metric or valuation convention changes in this industry? Apply the question to telecom and digital infrastructure.</x:v>
      </x:c>
      <x:c r="K657" s="13" t="str">
        <x:v>Not authored</x:v>
      </x:c>
      <x:c r="L657" s="13" t="str">
        <x:v>No</x:v>
      </x:c>
      <x:c r="M657" s="13" t="str"/>
    </x:row>
    <x:row r="658" ht="58" customHeight="1">
      <x:c r="A658" s="10" t="str">
        <x:v>T39.15</x:v>
      </x:c>
      <x:c r="B658" s="10" t="str">
        <x:v>D39</x:v>
      </x:c>
      <x:c r="C658" s="10" t="str">
        <x:v>Pharmaceuticals, biotechnology, and healthcare</x:v>
      </x:c>
      <x:c r="D658" s="10" t="str">
        <x:v>Specialist</x:v>
      </x:c>
      <x:c r="E658" s="10" t="str">
        <x:v>T09.15</x:v>
      </x:c>
      <x:c r="F658" s="10" t="str">
        <x:v>T39.06</x:v>
      </x:c>
      <x:c r="G658" s="11" t="n">
        <x:v>4</x:v>
      </x:c>
      <x:c r="H658" s="11" t="n">
        <x:v>1</x:v>
      </x:c>
      <x:c r="I658" s="10" t="str">
        <x:v>Investigate a case</x:v>
      </x:c>
      <x:c r="J658" s="10" t="str">
        <x:v>Which metric or valuation convention changes in this industry? Apply the question to pharmaceuticals, biotechnology, and healthcare.</x:v>
      </x:c>
      <x:c r="K658" s="13" t="str">
        <x:v>Not authored</x:v>
      </x:c>
      <x:c r="L658" s="13" t="str">
        <x:v>No</x:v>
      </x:c>
      <x:c r="M658" s="13" t="str"/>
    </x:row>
    <x:row r="659" ht="58" customHeight="1">
      <x:c r="A659" s="9" t="str">
        <x:v>T39.16</x:v>
      </x:c>
      <x:c r="B659" s="9" t="str">
        <x:v>D39</x:v>
      </x:c>
      <x:c r="C659" s="9" t="str">
        <x:v>Real estate and construction</x:v>
      </x:c>
      <x:c r="D659" s="9" t="str">
        <x:v>Specialist</x:v>
      </x:c>
      <x:c r="E659" s="9" t="str">
        <x:v>T09.15</x:v>
      </x:c>
      <x:c r="F659" s="9" t="str">
        <x:v>T39.17</x:v>
      </x:c>
      <x:c r="G659" s="12" t="n">
        <x:v>5</x:v>
      </x:c>
      <x:c r="H659" s="12" t="n">
        <x:v>1</x:v>
      </x:c>
      <x:c r="I659" s="9" t="str">
        <x:v>Investigate a case</x:v>
      </x:c>
      <x:c r="J659" s="9" t="str">
        <x:v>Which metric or valuation convention changes in this industry? Apply the question to real estate and construction.</x:v>
      </x:c>
      <x:c r="K659" s="13" t="str">
        <x:v>Not authored</x:v>
      </x:c>
      <x:c r="L659" s="13" t="str">
        <x:v>No</x:v>
      </x:c>
      <x:c r="M659" s="13" t="str"/>
    </x:row>
    <x:row r="660" ht="58" customHeight="1">
      <x:c r="A660" s="10" t="str">
        <x:v>T39.17</x:v>
      </x:c>
      <x:c r="B660" s="10" t="str">
        <x:v>D39</x:v>
      </x:c>
      <x:c r="C660" s="10" t="str">
        <x:v>Airports, airlines, ports, and logistics</x:v>
      </x:c>
      <x:c r="D660" s="10" t="str">
        <x:v>Specialist</x:v>
      </x:c>
      <x:c r="E660" s="10" t="str">
        <x:v>T09.15</x:v>
      </x:c>
      <x:c r="F660" s="10" t="str">
        <x:v>T39.16</x:v>
      </x:c>
      <x:c r="G660" s="11" t="n">
        <x:v>5</x:v>
      </x:c>
      <x:c r="H660" s="11" t="n">
        <x:v>1</x:v>
      </x:c>
      <x:c r="I660" s="10" t="str">
        <x:v>Investigate a case</x:v>
      </x:c>
      <x:c r="J660" s="10" t="str">
        <x:v>Which metric or valuation convention changes in this industry? Apply the question to airports, airlines, ports, and logistics.</x:v>
      </x:c>
      <x:c r="K660" s="13" t="str">
        <x:v>Not authored</x:v>
      </x:c>
      <x:c r="L660" s="13" t="str">
        <x:v>No</x:v>
      </x:c>
      <x:c r="M660" s="13" t="str"/>
    </x:row>
    <x:row r="661" ht="58" customHeight="1">
      <x:c r="A661" s="9" t="str">
        <x:v>T39.18</x:v>
      </x:c>
      <x:c r="B661" s="9" t="str">
        <x:v>D39</x:v>
      </x:c>
      <x:c r="C661" s="9" t="str">
        <x:v>Hotels, travel, and restaurants</x:v>
      </x:c>
      <x:c r="D661" s="9" t="str">
        <x:v>Specialist</x:v>
      </x:c>
      <x:c r="E661" s="9" t="str">
        <x:v>T09.15</x:v>
      </x:c>
      <x:c r="F661" s="9" t="str"/>
      <x:c r="G661" s="12" t="n">
        <x:v>4</x:v>
      </x:c>
      <x:c r="H661" s="12" t="n">
        <x:v>1</x:v>
      </x:c>
      <x:c r="I661" s="9" t="str">
        <x:v>Investigate a case</x:v>
      </x:c>
      <x:c r="J661" s="9" t="str">
        <x:v>Which metric or valuation convention changes in this industry? Apply the question to hotels, travel, and restaurants.</x:v>
      </x:c>
      <x:c r="K661" s="13" t="str">
        <x:v>Not authored</x:v>
      </x:c>
      <x:c r="L661" s="13" t="str">
        <x:v>No</x:v>
      </x:c>
      <x:c r="M661" s="13" t="str"/>
    </x:row>
    <x:row r="662" ht="58" customHeight="1">
      <x:c r="A662" s="10" t="str">
        <x:v>T39.19</x:v>
      </x:c>
      <x:c r="B662" s="10" t="str">
        <x:v>D39</x:v>
      </x:c>
      <x:c r="C662" s="10" t="str">
        <x:v>Agriculture and agribusiness</x:v>
      </x:c>
      <x:c r="D662" s="10" t="str">
        <x:v>Specialist</x:v>
      </x:c>
      <x:c r="E662" s="10" t="str">
        <x:v>T09.15</x:v>
      </x:c>
      <x:c r="F662" s="10" t="str">
        <x:v>T39.08</x:v>
      </x:c>
      <x:c r="G662" s="11" t="n">
        <x:v>4</x:v>
      </x:c>
      <x:c r="H662" s="11" t="n">
        <x:v>1</x:v>
      </x:c>
      <x:c r="I662" s="10" t="str">
        <x:v>Investigate a case</x:v>
      </x:c>
      <x:c r="J662" s="10" t="str">
        <x:v>Which metric or valuation convention changes in this industry? Apply the question to agriculture and agribusiness.</x:v>
      </x:c>
      <x:c r="K662" s="13" t="str">
        <x:v>Not authored</x:v>
      </x:c>
      <x:c r="L662" s="13" t="str">
        <x:v>No</x:v>
      </x:c>
      <x:c r="M662" s="13" t="str"/>
    </x:row>
    <x:row r="663" ht="58" customHeight="1">
      <x:c r="A663" s="9" t="str">
        <x:v>T39.20</x:v>
      </x:c>
      <x:c r="B663" s="9" t="str">
        <x:v>D39</x:v>
      </x:c>
      <x:c r="C663" s="9" t="str">
        <x:v>Media, entertainment, and sports</x:v>
      </x:c>
      <x:c r="D663" s="9" t="str">
        <x:v>Specialist</x:v>
      </x:c>
      <x:c r="E663" s="9" t="str">
        <x:v>T09.15</x:v>
      </x:c>
      <x:c r="F663" s="9" t="str"/>
      <x:c r="G663" s="12" t="n">
        <x:v>4</x:v>
      </x:c>
      <x:c r="H663" s="12" t="n">
        <x:v>1</x:v>
      </x:c>
      <x:c r="I663" s="9" t="str">
        <x:v>Investigate a case</x:v>
      </x:c>
      <x:c r="J663" s="9" t="str">
        <x:v>Which metric or valuation convention changes in this industry? Apply the question to media, entertainment, and sports.</x:v>
      </x:c>
      <x:c r="K663" s="13" t="str">
        <x:v>Not authored</x:v>
      </x:c>
      <x:c r="L663" s="13" t="str">
        <x:v>No</x:v>
      </x:c>
      <x:c r="M663" s="13" t="str"/>
    </x:row>
    <x:row r="664" ht="58" customHeight="1">
      <x:c r="A664" s="10" t="str">
        <x:v>T39.21</x:v>
      </x:c>
      <x:c r="B664" s="10" t="str">
        <x:v>D39</x:v>
      </x:c>
      <x:c r="C664" s="10" t="str">
        <x:v>Education and professional services</x:v>
      </x:c>
      <x:c r="D664" s="10" t="str">
        <x:v>Specialist</x:v>
      </x:c>
      <x:c r="E664" s="10" t="str">
        <x:v>T09.15</x:v>
      </x:c>
      <x:c r="F664" s="10" t="str">
        <x:v>T39.20</x:v>
      </x:c>
      <x:c r="G664" s="11" t="n">
        <x:v>4</x:v>
      </x:c>
      <x:c r="H664" s="11" t="n">
        <x:v>1</x:v>
      </x:c>
      <x:c r="I664" s="10" t="str">
        <x:v>Investigate a case</x:v>
      </x:c>
      <x:c r="J664" s="10" t="str">
        <x:v>Which metric or valuation convention changes in this industry? Apply the question to education and professional services.</x:v>
      </x:c>
      <x:c r="K664" s="13" t="str">
        <x:v>Not authored</x:v>
      </x:c>
      <x:c r="L664" s="13" t="str">
        <x:v>No</x:v>
      </x:c>
      <x:c r="M664" s="13" t="str"/>
    </x:row>
    <x:row r="665" ht="58" customHeight="1">
      <x:c r="A665" s="9" t="str">
        <x:v>T39.22</x:v>
      </x:c>
      <x:c r="B665" s="9" t="str">
        <x:v>D39</x:v>
      </x:c>
      <x:c r="C665" s="9" t="str">
        <x:v>Government enterprises and regulated businesses</x:v>
      </x:c>
      <x:c r="D665" s="9" t="str">
        <x:v>Specialist</x:v>
      </x:c>
      <x:c r="E665" s="9" t="str">
        <x:v>T09.15</x:v>
      </x:c>
      <x:c r="F665" s="9" t="str">
        <x:v>T39.13</x:v>
      </x:c>
      <x:c r="G665" s="12" t="n">
        <x:v>4</x:v>
      </x:c>
      <x:c r="H665" s="12" t="n">
        <x:v>1</x:v>
      </x:c>
      <x:c r="I665" s="9" t="str">
        <x:v>Investigate a case</x:v>
      </x:c>
      <x:c r="J665" s="9" t="str">
        <x:v>Which metric or valuation convention changes in this industry? Apply the question to government enterprises and regulated businesses.</x:v>
      </x:c>
      <x:c r="K665" s="13" t="str">
        <x:v>Not authored</x:v>
      </x:c>
      <x:c r="L665" s="13" t="str">
        <x:v>No</x:v>
      </x:c>
      <x:c r="M665" s="13" t="str"/>
    </x:row>
    <x:row r="666" ht="58" customHeight="1">
      <x:c r="A666" s="10" t="str">
        <x:v>T40.01</x:v>
      </x:c>
      <x:c r="B666" s="10" t="str">
        <x:v>D40</x:v>
      </x:c>
      <x:c r="C666" s="10" t="str">
        <x:v>Reading a real annual report from beginning to end</x:v>
      </x:c>
      <x:c r="D666" s="10" t="str">
        <x:v>Applied</x:v>
      </x:c>
      <x:c r="E666" s="10" t="str">
        <x:v>T07.14</x:v>
      </x:c>
      <x:c r="F666" s="10" t="str">
        <x:v>T40.16</x:v>
      </x:c>
      <x:c r="G666" s="11" t="n">
        <x:v>5</x:v>
      </x:c>
      <x:c r="H666" s="11" t="n">
        <x:v>1</x:v>
      </x:c>
      <x:c r="I666" s="10" t="str">
        <x:v>Investigate a case</x:v>
      </x:c>
      <x:c r="J666" s="10" t="str">
        <x:v>Can you explain the decision by connecting the statements, risks and valuation? Apply the question to reading a real annual report from beginning to end.</x:v>
      </x:c>
      <x:c r="K666" s="13" t="str">
        <x:v>Not authored</x:v>
      </x:c>
      <x:c r="L666" s="13" t="str">
        <x:v>No</x:v>
      </x:c>
      <x:c r="M666" s="13" t="str"/>
    </x:row>
    <x:row r="667" ht="58" customHeight="1">
      <x:c r="A667" s="9" t="str">
        <x:v>T40.02</x:v>
      </x:c>
      <x:c r="B667" s="9" t="str">
        <x:v>D40</x:v>
      </x:c>
      <x:c r="C667" s="9" t="str">
        <x:v>Tracing one transaction through all three statements</x:v>
      </x:c>
      <x:c r="D667" s="9" t="str">
        <x:v>Applied</x:v>
      </x:c>
      <x:c r="E667" s="9" t="str">
        <x:v>T07.14</x:v>
      </x:c>
      <x:c r="F667" s="9" t="str">
        <x:v>T40.05</x:v>
      </x:c>
      <x:c r="G667" s="12" t="n">
        <x:v>6</x:v>
      </x:c>
      <x:c r="H667" s="12" t="n">
        <x:v>1</x:v>
      </x:c>
      <x:c r="I667" s="9" t="str">
        <x:v>Investigate a case</x:v>
      </x:c>
      <x:c r="J667" s="9" t="str">
        <x:v>Can you explain the decision by connecting the statements, risks and valuation? Apply the question to tracing one transaction through all three statements.</x:v>
      </x:c>
      <x:c r="K667" s="13" t="str">
        <x:v>Not authored</x:v>
      </x:c>
      <x:c r="L667" s="13" t="str">
        <x:v>No</x:v>
      </x:c>
      <x:c r="M667" s="13" t="str"/>
    </x:row>
    <x:row r="668" ht="58" customHeight="1">
      <x:c r="A668" s="10" t="str">
        <x:v>T40.03</x:v>
      </x:c>
      <x:c r="B668" s="10" t="str">
        <x:v>D40</x:v>
      </x:c>
      <x:c r="C668" s="10" t="str">
        <x:v>Diagnosing a profitable company with a cash shortage</x:v>
      </x:c>
      <x:c r="D668" s="10" t="str">
        <x:v>Applied</x:v>
      </x:c>
      <x:c r="E668" s="10" t="str">
        <x:v>T07.14</x:v>
      </x:c>
      <x:c r="F668" s="10" t="str">
        <x:v>T40.02</x:v>
      </x:c>
      <x:c r="G668" s="11" t="n">
        <x:v>4</x:v>
      </x:c>
      <x:c r="H668" s="11" t="n">
        <x:v>1</x:v>
      </x:c>
      <x:c r="I668" s="10" t="str">
        <x:v>Investigate a case</x:v>
      </x:c>
      <x:c r="J668" s="10" t="str">
        <x:v>Can you explain the decision by connecting the statements, risks and valuation? Apply the question to diagnosing a profitable company with a cash shortage.</x:v>
      </x:c>
      <x:c r="K668" s="13" t="str">
        <x:v>Not authored</x:v>
      </x:c>
      <x:c r="L668" s="13" t="str">
        <x:v>No</x:v>
      </x:c>
      <x:c r="M668" s="13" t="str"/>
    </x:row>
    <x:row r="669" ht="58" customHeight="1">
      <x:c r="A669" s="9" t="str">
        <x:v>T40.04</x:v>
      </x:c>
      <x:c r="B669" s="9" t="str">
        <x:v>D40</x:v>
      </x:c>
      <x:c r="C669" s="9" t="str">
        <x:v>Assessing whether growth creates value</x:v>
      </x:c>
      <x:c r="D669" s="9" t="str">
        <x:v>Applied</x:v>
      </x:c>
      <x:c r="E669" s="9" t="str">
        <x:v>T07.14</x:v>
      </x:c>
      <x:c r="F669" s="9" t="str">
        <x:v>T40.06</x:v>
      </x:c>
      <x:c r="G669" s="12" t="n">
        <x:v>6</x:v>
      </x:c>
      <x:c r="H669" s="12" t="n">
        <x:v>1</x:v>
      </x:c>
      <x:c r="I669" s="9" t="str">
        <x:v>Investigate a case</x:v>
      </x:c>
      <x:c r="J669" s="9" t="str">
        <x:v>Can you explain the decision by connecting the statements, risks and valuation? Apply the question to assessing whether growth creates value.</x:v>
      </x:c>
      <x:c r="K669" s="13" t="str">
        <x:v>Not authored</x:v>
      </x:c>
      <x:c r="L669" s="13" t="str">
        <x:v>No</x:v>
      </x:c>
      <x:c r="M669" s="13" t="str"/>
    </x:row>
    <x:row r="670" ht="58" customHeight="1">
      <x:c r="A670" s="10" t="str">
        <x:v>T40.05</x:v>
      </x:c>
      <x:c r="B670" s="10" t="str">
        <x:v>D40</x:v>
      </x:c>
      <x:c r="C670" s="10" t="str">
        <x:v>Building a three-statement forecast</x:v>
      </x:c>
      <x:c r="D670" s="10" t="str">
        <x:v>Applied</x:v>
      </x:c>
      <x:c r="E670" s="10" t="str">
        <x:v>T07.14</x:v>
      </x:c>
      <x:c r="F670" s="10" t="str">
        <x:v>T40.02</x:v>
      </x:c>
      <x:c r="G670" s="11" t="n">
        <x:v>5</x:v>
      </x:c>
      <x:c r="H670" s="11" t="n">
        <x:v>1</x:v>
      </x:c>
      <x:c r="I670" s="10" t="str">
        <x:v>Investigate a case</x:v>
      </x:c>
      <x:c r="J670" s="10" t="str">
        <x:v>Can you explain the decision by connecting the statements, risks and valuation? Apply the question to building a three-statement forecast.</x:v>
      </x:c>
      <x:c r="K670" s="13" t="str">
        <x:v>Not authored</x:v>
      </x:c>
      <x:c r="L670" s="13" t="str">
        <x:v>No</x:v>
      </x:c>
      <x:c r="M670" s="13" t="str"/>
    </x:row>
    <x:row r="671" ht="58" customHeight="1">
      <x:c r="A671" s="9" t="str">
        <x:v>T40.06</x:v>
      </x:c>
      <x:c r="B671" s="9" t="str">
        <x:v>D40</x:v>
      </x:c>
      <x:c r="C671" s="9" t="str">
        <x:v>Valuing a listed company</x:v>
      </x:c>
      <x:c r="D671" s="9" t="str">
        <x:v>Applied</x:v>
      </x:c>
      <x:c r="E671" s="9" t="str">
        <x:v>T07.14</x:v>
      </x:c>
      <x:c r="F671" s="9" t="str">
        <x:v>T40.04</x:v>
      </x:c>
      <x:c r="G671" s="12" t="n">
        <x:v>8</x:v>
      </x:c>
      <x:c r="H671" s="12" t="n">
        <x:v>1</x:v>
      </x:c>
      <x:c r="I671" s="9" t="str">
        <x:v>Investigate a case</x:v>
      </x:c>
      <x:c r="J671" s="9" t="str">
        <x:v>Can you explain the decision by connecting the statements, risks and valuation? Apply the question to valuing a listed company.</x:v>
      </x:c>
      <x:c r="K671" s="13" t="str">
        <x:v>Not authored</x:v>
      </x:c>
      <x:c r="L671" s="13" t="str">
        <x:v>No</x:v>
      </x:c>
      <x:c r="M671" s="13" t="str"/>
    </x:row>
    <x:row r="672" ht="58" customHeight="1">
      <x:c r="A672" s="10" t="str">
        <x:v>T40.07</x:v>
      </x:c>
      <x:c r="B672" s="10" t="str">
        <x:v>D40</x:v>
      </x:c>
      <x:c r="C672" s="10" t="str">
        <x:v>Writing an equity research report</x:v>
      </x:c>
      <x:c r="D672" s="10" t="str">
        <x:v>Applied</x:v>
      </x:c>
      <x:c r="E672" s="10" t="str">
        <x:v>T07.14</x:v>
      </x:c>
      <x:c r="F672" s="10" t="str">
        <x:v>T40.18</x:v>
      </x:c>
      <x:c r="G672" s="11" t="n">
        <x:v>5</x:v>
      </x:c>
      <x:c r="H672" s="11" t="n">
        <x:v>1</x:v>
      </x:c>
      <x:c r="I672" s="10" t="str">
        <x:v>Investigate a case</x:v>
      </x:c>
      <x:c r="J672" s="10" t="str">
        <x:v>Can you explain the decision by connecting the statements, risks and valuation? Apply the question to writing an equity research report.</x:v>
      </x:c>
      <x:c r="K672" s="13" t="str">
        <x:v>Not authored</x:v>
      </x:c>
      <x:c r="L672" s="13" t="str">
        <x:v>No</x:v>
      </x:c>
      <x:c r="M672" s="13" t="str"/>
    </x:row>
    <x:row r="673" ht="58" customHeight="1">
      <x:c r="A673" s="9" t="str">
        <x:v>T40.08</x:v>
      </x:c>
      <x:c r="B673" s="9" t="str">
        <x:v>D40</x:v>
      </x:c>
      <x:c r="C673" s="9" t="str">
        <x:v>Underwriting a corporate loan</x:v>
      </x:c>
      <x:c r="D673" s="9" t="str">
        <x:v>Applied</x:v>
      </x:c>
      <x:c r="E673" s="9" t="str">
        <x:v>T07.14</x:v>
      </x:c>
      <x:c r="F673" s="9" t="str">
        <x:v>T40.15</x:v>
      </x:c>
      <x:c r="G673" s="12" t="n">
        <x:v>5</x:v>
      </x:c>
      <x:c r="H673" s="12" t="n">
        <x:v>1</x:v>
      </x:c>
      <x:c r="I673" s="9" t="str">
        <x:v>Investigate a case</x:v>
      </x:c>
      <x:c r="J673" s="9" t="str">
        <x:v>Can you explain the decision by connecting the statements, risks and valuation? Apply the question to underwriting a corporate loan.</x:v>
      </x:c>
      <x:c r="K673" s="13" t="str">
        <x:v>Not authored</x:v>
      </x:c>
      <x:c r="L673" s="13" t="str">
        <x:v>No</x:v>
      </x:c>
      <x:c r="M673" s="13" t="str"/>
    </x:row>
    <x:row r="674" ht="58" customHeight="1">
      <x:c r="A674" s="10" t="str">
        <x:v>T40.09</x:v>
      </x:c>
      <x:c r="B674" s="10" t="str">
        <x:v>D40</x:v>
      </x:c>
      <x:c r="C674" s="10" t="str">
        <x:v>Evaluating a capital expenditure proposal</x:v>
      </x:c>
      <x:c r="D674" s="10" t="str">
        <x:v>Applied</x:v>
      </x:c>
      <x:c r="E674" s="10" t="str">
        <x:v>T07.14</x:v>
      </x:c>
      <x:c r="F674" s="10" t="str">
        <x:v>T40.04</x:v>
      </x:c>
      <x:c r="G674" s="11" t="n">
        <x:v>5</x:v>
      </x:c>
      <x:c r="H674" s="11" t="n">
        <x:v>1</x:v>
      </x:c>
      <x:c r="I674" s="10" t="str">
        <x:v>Investigate a case</x:v>
      </x:c>
      <x:c r="J674" s="10" t="str">
        <x:v>Can you explain the decision by connecting the statements, risks and valuation? Apply the question to evaluating a capital expenditure proposal.</x:v>
      </x:c>
      <x:c r="K674" s="13" t="str">
        <x:v>Not authored</x:v>
      </x:c>
      <x:c r="L674" s="13" t="str">
        <x:v>No</x:v>
      </x:c>
      <x:c r="M674" s="13" t="str"/>
    </x:row>
    <x:row r="675" ht="58" customHeight="1">
      <x:c r="A675" s="9" t="str">
        <x:v>T40.10</x:v>
      </x:c>
      <x:c r="B675" s="9" t="str">
        <x:v>D40</x:v>
      </x:c>
      <x:c r="C675" s="9" t="str">
        <x:v>Comparing debt versus equity financing</x:v>
      </x:c>
      <x:c r="D675" s="9" t="str">
        <x:v>Applied</x:v>
      </x:c>
      <x:c r="E675" s="9" t="str">
        <x:v>T07.14</x:v>
      </x:c>
      <x:c r="F675" s="9" t="str">
        <x:v>T40.09</x:v>
      </x:c>
      <x:c r="G675" s="12" t="n">
        <x:v>4</x:v>
      </x:c>
      <x:c r="H675" s="12" t="n">
        <x:v>1</x:v>
      </x:c>
      <x:c r="I675" s="9" t="str">
        <x:v>Investigate a case</x:v>
      </x:c>
      <x:c r="J675" s="9" t="str">
        <x:v>Can you explain the decision by connecting the statements, risks and valuation? Apply the question to comparing debt versus equity financing.</x:v>
      </x:c>
      <x:c r="K675" s="13" t="str">
        <x:v>Not authored</x:v>
      </x:c>
      <x:c r="L675" s="13" t="str">
        <x:v>No</x:v>
      </x:c>
      <x:c r="M675" s="13" t="str"/>
    </x:row>
    <x:row r="676" ht="58" customHeight="1">
      <x:c r="A676" s="10" t="str">
        <x:v>T40.11</x:v>
      </x:c>
      <x:c r="B676" s="10" t="str">
        <x:v>D40</x:v>
      </x:c>
      <x:c r="C676" s="10" t="str">
        <x:v>Analysing an acquisition</x:v>
      </x:c>
      <x:c r="D676" s="10" t="str">
        <x:v>Applied</x:v>
      </x:c>
      <x:c r="E676" s="10" t="str">
        <x:v>T07.14</x:v>
      </x:c>
      <x:c r="F676" s="10" t="str">
        <x:v>T40.06</x:v>
      </x:c>
      <x:c r="G676" s="11" t="n">
        <x:v>4</x:v>
      </x:c>
      <x:c r="H676" s="11" t="n">
        <x:v>1</x:v>
      </x:c>
      <x:c r="I676" s="10" t="str">
        <x:v>Investigate a case</x:v>
      </x:c>
      <x:c r="J676" s="10" t="str">
        <x:v>Can you explain the decision by connecting the statements, risks and valuation? Apply the question to analysing an acquisition.</x:v>
      </x:c>
      <x:c r="K676" s="13" t="str">
        <x:v>Not authored</x:v>
      </x:c>
      <x:c r="L676" s="13" t="str">
        <x:v>No</x:v>
      </x:c>
      <x:c r="M676" s="13" t="str"/>
    </x:row>
    <x:row r="677" ht="58" customHeight="1">
      <x:c r="A677" s="9" t="str">
        <x:v>T40.12</x:v>
      </x:c>
      <x:c r="B677" s="9" t="str">
        <x:v>D40</x:v>
      </x:c>
      <x:c r="C677" s="9" t="str">
        <x:v>Building a startup fundraising and dilution model</x:v>
      </x:c>
      <x:c r="D677" s="9" t="str">
        <x:v>Applied</x:v>
      </x:c>
      <x:c r="E677" s="9" t="str">
        <x:v>T07.14</x:v>
      </x:c>
      <x:c r="F677" s="9" t="str">
        <x:v>T40.06</x:v>
      </x:c>
      <x:c r="G677" s="12" t="n">
        <x:v>4</x:v>
      </x:c>
      <x:c r="H677" s="12" t="n">
        <x:v>1</x:v>
      </x:c>
      <x:c r="I677" s="9" t="str">
        <x:v>Investigate a case</x:v>
      </x:c>
      <x:c r="J677" s="9" t="str">
        <x:v>Can you explain the decision by connecting the statements, risks and valuation? Apply the question to building a startup fundraising and dilution model.</x:v>
      </x:c>
      <x:c r="K677" s="13" t="str">
        <x:v>Not authored</x:v>
      </x:c>
      <x:c r="L677" s="13" t="str">
        <x:v>No</x:v>
      </x:c>
      <x:c r="M677" s="13" t="str"/>
    </x:row>
    <x:row r="678" ht="58" customHeight="1">
      <x:c r="A678" s="10" t="str">
        <x:v>T40.13</x:v>
      </x:c>
      <x:c r="B678" s="10" t="str">
        <x:v>D40</x:v>
      </x:c>
      <x:c r="C678" s="10" t="str">
        <x:v>Evaluating a property investment</x:v>
      </x:c>
      <x:c r="D678" s="10" t="str">
        <x:v>Applied</x:v>
      </x:c>
      <x:c r="E678" s="10" t="str">
        <x:v>T07.14</x:v>
      </x:c>
      <x:c r="F678" s="10" t="str">
        <x:v>T40.06</x:v>
      </x:c>
      <x:c r="G678" s="11" t="n">
        <x:v>4</x:v>
      </x:c>
      <x:c r="H678" s="11" t="n">
        <x:v>1</x:v>
      </x:c>
      <x:c r="I678" s="10" t="str">
        <x:v>Investigate a case</x:v>
      </x:c>
      <x:c r="J678" s="10" t="str">
        <x:v>Can you explain the decision by connecting the statements, risks and valuation? Apply the question to evaluating a property investment.</x:v>
      </x:c>
      <x:c r="K678" s="13" t="str">
        <x:v>Not authored</x:v>
      </x:c>
      <x:c r="L678" s="13" t="str">
        <x:v>No</x:v>
      </x:c>
      <x:c r="M678" s="13" t="str"/>
    </x:row>
    <x:row r="679" ht="58" customHeight="1">
      <x:c r="A679" s="9" t="str">
        <x:v>T40.14</x:v>
      </x:c>
      <x:c r="B679" s="9" t="str">
        <x:v>D40</x:v>
      </x:c>
      <x:c r="C679" s="9" t="str">
        <x:v>Designing and evaluating a portfolio</x:v>
      </x:c>
      <x:c r="D679" s="9" t="str">
        <x:v>Applied</x:v>
      </x:c>
      <x:c r="E679" s="9" t="str">
        <x:v>T07.14</x:v>
      </x:c>
      <x:c r="F679" s="9" t="str">
        <x:v>T40.18</x:v>
      </x:c>
      <x:c r="G679" s="12" t="n">
        <x:v>4</x:v>
      </x:c>
      <x:c r="H679" s="12" t="n">
        <x:v>1</x:v>
      </x:c>
      <x:c r="I679" s="9" t="str">
        <x:v>Investigate a case</x:v>
      </x:c>
      <x:c r="J679" s="9" t="str">
        <x:v>Can you explain the decision by connecting the statements, risks and valuation? Apply the question to designing and evaluating a portfolio.</x:v>
      </x:c>
      <x:c r="K679" s="13" t="str">
        <x:v>Not authored</x:v>
      </x:c>
      <x:c r="L679" s="13" t="str">
        <x:v>No</x:v>
      </x:c>
      <x:c r="M679" s="13" t="str"/>
    </x:row>
    <x:row r="680" ht="58" customHeight="1">
      <x:c r="A680" s="10" t="str">
        <x:v>T40.15</x:v>
      </x:c>
      <x:c r="B680" s="10" t="str">
        <x:v>D40</x:v>
      </x:c>
      <x:c r="C680" s="10" t="str">
        <x:v>Stress-testing a bank or business</x:v>
      </x:c>
      <x:c r="D680" s="10" t="str">
        <x:v>Applied</x:v>
      </x:c>
      <x:c r="E680" s="10" t="str">
        <x:v>T07.14</x:v>
      </x:c>
      <x:c r="F680" s="10" t="str">
        <x:v>T40.08</x:v>
      </x:c>
      <x:c r="G680" s="11" t="n">
        <x:v>6</x:v>
      </x:c>
      <x:c r="H680" s="11" t="n">
        <x:v>1</x:v>
      </x:c>
      <x:c r="I680" s="10" t="str">
        <x:v>Investigate a case</x:v>
      </x:c>
      <x:c r="J680" s="10" t="str">
        <x:v>Can you explain the decision by connecting the statements, risks and valuation? Apply the question to stress-testing a bank or business.</x:v>
      </x:c>
      <x:c r="K680" s="13" t="str">
        <x:v>Not authored</x:v>
      </x:c>
      <x:c r="L680" s="13" t="str">
        <x:v>No</x:v>
      </x:c>
      <x:c r="M680" s="13" t="str"/>
    </x:row>
    <x:row r="681" ht="58" customHeight="1">
      <x:c r="A681" s="9" t="str">
        <x:v>T40.16</x:v>
      </x:c>
      <x:c r="B681" s="9" t="str">
        <x:v>D40</x:v>
      </x:c>
      <x:c r="C681" s="9" t="str">
        <x:v>Investigating an accounting failure</x:v>
      </x:c>
      <x:c r="D681" s="9" t="str">
        <x:v>Applied</x:v>
      </x:c>
      <x:c r="E681" s="9" t="str">
        <x:v>T07.14</x:v>
      </x:c>
      <x:c r="F681" s="9" t="str">
        <x:v>T40.01</x:v>
      </x:c>
      <x:c r="G681" s="12" t="n">
        <x:v>5</x:v>
      </x:c>
      <x:c r="H681" s="12" t="n">
        <x:v>1</x:v>
      </x:c>
      <x:c r="I681" s="9" t="str">
        <x:v>Investigate a case</x:v>
      </x:c>
      <x:c r="J681" s="9" t="str">
        <x:v>Can you explain the decision by connecting the statements, risks and valuation? Apply the question to investigating an accounting failure.</x:v>
      </x:c>
      <x:c r="K681" s="13" t="str">
        <x:v>Not authored</x:v>
      </x:c>
      <x:c r="L681" s="13" t="str">
        <x:v>No</x:v>
      </x:c>
      <x:c r="M681" s="13" t="str"/>
    </x:row>
    <x:row r="682" ht="58" customHeight="1">
      <x:c r="A682" s="10" t="str">
        <x:v>T40.17</x:v>
      </x:c>
      <x:c r="B682" s="10" t="str">
        <x:v>D40</x:v>
      </x:c>
      <x:c r="C682" s="10" t="str">
        <x:v>Studying financial crises, bubbles, and corporate collapses</x:v>
      </x:c>
      <x:c r="D682" s="10" t="str">
        <x:v>Applied</x:v>
      </x:c>
      <x:c r="E682" s="10" t="str">
        <x:v>T07.14</x:v>
      </x:c>
      <x:c r="F682" s="10" t="str">
        <x:v>T40.15</x:v>
      </x:c>
      <x:c r="G682" s="11" t="n">
        <x:v>4</x:v>
      </x:c>
      <x:c r="H682" s="11" t="n">
        <x:v>1</x:v>
      </x:c>
      <x:c r="I682" s="10" t="str">
        <x:v>Investigate a case</x:v>
      </x:c>
      <x:c r="J682" s="10" t="str">
        <x:v>Can you explain the decision by connecting the statements, risks and valuation? Apply the question to studying financial crises, bubbles, and corporate collapses.</x:v>
      </x:c>
      <x:c r="K682" s="13" t="str">
        <x:v>Not authored</x:v>
      </x:c>
      <x:c r="L682" s="13" t="str">
        <x:v>No</x:v>
      </x:c>
      <x:c r="M682" s="13" t="str"/>
    </x:row>
    <x:row r="683" ht="58" customHeight="1">
      <x:c r="A683" s="9" t="str">
        <x:v>T40.18</x:v>
      </x:c>
      <x:c r="B683" s="9" t="str">
        <x:v>D40</x:v>
      </x:c>
      <x:c r="C683" s="9" t="str">
        <x:v>Comparing an investment thesis with the outcome</x:v>
      </x:c>
      <x:c r="D683" s="9" t="str">
        <x:v>Applied</x:v>
      </x:c>
      <x:c r="E683" s="9" t="str">
        <x:v>T07.14</x:v>
      </x:c>
      <x:c r="F683" s="9" t="str">
        <x:v>T40.07</x:v>
      </x:c>
      <x:c r="G683" s="12" t="n">
        <x:v>8</x:v>
      </x:c>
      <x:c r="H683" s="12" t="n">
        <x:v>3</x:v>
      </x:c>
      <x:c r="I683" s="9" t="str">
        <x:v>Investigate a case</x:v>
      </x:c>
      <x:c r="J683" s="9" t="str">
        <x:v>Can you explain the decision by connecting the statements, risks and valuation? Apply the question to comparing an investment thesis with the outcome.</x:v>
      </x:c>
      <x:c r="K683" s="13" t="str">
        <x:v>Not authored</x:v>
      </x:c>
      <x:c r="L683" s="13" t="str">
        <x:v>No</x:v>
      </x:c>
      <x:c r="M683" s="13" t="str"/>
    </x:row>
    <x:row r="684" ht="58" customHeight="1">
      <x:c r="A684" s="10" t="str">
        <x:v>A01</x:v>
      </x:c>
      <x:c r="B684" s="10" t="str">
        <x:v>D04</x:v>
      </x:c>
      <x:c r="C684" s="10" t="str">
        <x:v>Revenue recognition</x:v>
      </x:c>
      <x:c r="D684" s="10" t="str">
        <x:v>Foundation</x:v>
      </x:c>
      <x:c r="E684" s="10" t="str"/>
      <x:c r="F684" s="10" t="str"/>
      <x:c r="G684" s="11" t="n">
        <x:v>2</x:v>
      </x:c>
      <x:c r="H684" s="11" t="n">
        <x:v>1</x:v>
      </x:c>
      <x:c r="I684" s="10" t="str">
        <x:v>Trace a transaction</x:v>
      </x:c>
      <x:c r="J684" s="10" t="str">
        <x:v>Which accounts change when this transaction happens?</x:v>
      </x:c>
      <x:c r="K684" s="13" t="str">
        <x:v>Not authored</x:v>
      </x:c>
      <x:c r="L684" s="13" t="str">
        <x:v>No</x:v>
      </x:c>
      <x:c r="M684" s="13" t="str"/>
    </x:row>
    <x:row r="685" ht="58" customHeight="1">
      <x:c r="A685" s="9" t="str">
        <x:v>A02</x:v>
      </x:c>
      <x:c r="B685" s="9" t="str">
        <x:v>D06</x:v>
      </x:c>
      <x:c r="C685" s="9" t="str">
        <x:v>Trade receivables</x:v>
      </x:c>
      <x:c r="D685" s="9" t="str">
        <x:v>Core</x:v>
      </x:c>
      <x:c r="E685" s="9" t="str"/>
      <x:c r="F685" s="9" t="str"/>
      <x:c r="G685" s="12" t="n">
        <x:v>9</x:v>
      </x:c>
      <x:c r="H685" s="12" t="n">
        <x:v>8</x:v>
      </x:c>
      <x:c r="I685" s="9" t="str">
        <x:v>Trace a transaction</x:v>
      </x:c>
      <x:c r="J685" s="9" t="str">
        <x:v>Where did this balance come from, and what transaction would change it?</x:v>
      </x:c>
      <x:c r="K685" s="13" t="str">
        <x:v>Not authored</x:v>
      </x:c>
      <x:c r="L685" s="13" t="str">
        <x:v>No</x:v>
      </x:c>
      <x:c r="M685" s="13" t="str"/>
    </x:row>
    <x:row r="686" ht="58" customHeight="1">
      <x:c r="A686" s="10" t="str">
        <x:v>A03</x:v>
      </x:c>
      <x:c r="B686" s="10" t="str">
        <x:v>D06</x:v>
      </x:c>
      <x:c r="C686" s="10" t="str">
        <x:v>Inventory</x:v>
      </x:c>
      <x:c r="D686" s="10" t="str">
        <x:v>Core</x:v>
      </x:c>
      <x:c r="E686" s="10" t="str"/>
      <x:c r="F686" s="10" t="str"/>
      <x:c r="G686" s="11" t="n">
        <x:v>4</x:v>
      </x:c>
      <x:c r="H686" s="11" t="n">
        <x:v>3</x:v>
      </x:c>
      <x:c r="I686" s="10" t="str">
        <x:v>Trace a transaction</x:v>
      </x:c>
      <x:c r="J686" s="10" t="str">
        <x:v>Where did this balance come from, and what transaction would change it?</x:v>
      </x:c>
      <x:c r="K686" s="13" t="str">
        <x:v>Not authored</x:v>
      </x:c>
      <x:c r="L686" s="13" t="str">
        <x:v>No</x:v>
      </x:c>
      <x:c r="M686" s="13" t="str"/>
    </x:row>
    <x:row r="687" ht="58" customHeight="1">
      <x:c r="A687" s="9" t="str">
        <x:v>A04</x:v>
      </x:c>
      <x:c r="B687" s="9" t="str">
        <x:v>D06</x:v>
      </x:c>
      <x:c r="C687" s="9" t="str">
        <x:v>Trade payables</x:v>
      </x:c>
      <x:c r="D687" s="9" t="str">
        <x:v>Core</x:v>
      </x:c>
      <x:c r="E687" s="9" t="str"/>
      <x:c r="F687" s="9" t="str"/>
      <x:c r="G687" s="12" t="n">
        <x:v>5</x:v>
      </x:c>
      <x:c r="H687" s="12" t="n">
        <x:v>4</x:v>
      </x:c>
      <x:c r="I687" s="9" t="str">
        <x:v>Trace a transaction</x:v>
      </x:c>
      <x:c r="J687" s="9" t="str">
        <x:v>Where did this balance come from, and what transaction would change it?</x:v>
      </x:c>
      <x:c r="K687" s="13" t="str">
        <x:v>Not authored</x:v>
      </x:c>
      <x:c r="L687" s="13" t="str">
        <x:v>No</x:v>
      </x:c>
      <x:c r="M687" s="13" t="str"/>
    </x:row>
    <x:row r="688" ht="58" customHeight="1">
      <x:c r="A688" s="10" t="str">
        <x:v>A05</x:v>
      </x:c>
      <x:c r="B688" s="10" t="str">
        <x:v>D14</x:v>
      </x:c>
      <x:c r="C688" s="10" t="str">
        <x:v>Operating working capital</x:v>
      </x:c>
      <x:c r="D688" s="10" t="str">
        <x:v>Core</x:v>
      </x:c>
      <x:c r="E688" s="10" t="str"/>
      <x:c r="F688" s="10" t="str"/>
      <x:c r="G688" s="11" t="n">
        <x:v>9</x:v>
      </x:c>
      <x:c r="H688" s="11" t="n">
        <x:v>8</x:v>
      </x:c>
      <x:c r="I688" s="10" t="str">
        <x:v>Compare scenarios</x:v>
      </x:c>
      <x:c r="J688" s="10" t="str">
        <x:v>Can a growing business run out of cash before customers pay?</x:v>
      </x:c>
      <x:c r="K688" s="13" t="str">
        <x:v>Not authored</x:v>
      </x:c>
      <x:c r="L688" s="13" t="str">
        <x:v>No</x:v>
      </x:c>
      <x:c r="M688" s="13" t="str"/>
    </x:row>
    <x:row r="689" ht="58" customHeight="1">
      <x:c r="A689" s="9" t="str">
        <x:v>A06</x:v>
      </x:c>
      <x:c r="B689" s="9" t="str">
        <x:v>D07</x:v>
      </x:c>
      <x:c r="C689" s="9" t="str">
        <x:v>Operating cash flow</x:v>
      </x:c>
      <x:c r="D689" s="9" t="str">
        <x:v>Core</x:v>
      </x:c>
      <x:c r="E689" s="9" t="str"/>
      <x:c r="F689" s="9" t="str"/>
      <x:c r="G689" s="12" t="n">
        <x:v>2</x:v>
      </x:c>
      <x:c r="H689" s="12" t="n">
        <x:v>1</x:v>
      </x:c>
      <x:c r="I689" s="9" t="str">
        <x:v>Trace a transaction</x:v>
      </x:c>
      <x:c r="J689" s="9" t="str">
        <x:v>Why might cash move differently from reported profit?</x:v>
      </x:c>
      <x:c r="K689" s="13" t="str">
        <x:v>Not authored</x:v>
      </x:c>
      <x:c r="L689" s="13" t="str">
        <x:v>No</x:v>
      </x:c>
      <x:c r="M689" s="13" t="str"/>
    </x:row>
    <x:row r="690" ht="58" customHeight="1">
      <x:c r="A690" s="10" t="str">
        <x:v>A07</x:v>
      </x:c>
      <x:c r="B690" s="10" t="str">
        <x:v>D07</x:v>
      </x:c>
      <x:c r="C690" s="10" t="str">
        <x:v>Capital expenditure</x:v>
      </x:c>
      <x:c r="D690" s="10" t="str">
        <x:v>Core</x:v>
      </x:c>
      <x:c r="E690" s="10" t="str"/>
      <x:c r="F690" s="10" t="str"/>
      <x:c r="G690" s="11" t="n">
        <x:v>4</x:v>
      </x:c>
      <x:c r="H690" s="11" t="n">
        <x:v>3</x:v>
      </x:c>
      <x:c r="I690" s="10" t="str">
        <x:v>Trace a transaction</x:v>
      </x:c>
      <x:c r="J690" s="10" t="str">
        <x:v>Why might cash move differently from reported profit?</x:v>
      </x:c>
      <x:c r="K690" s="13" t="str">
        <x:v>Not authored</x:v>
      </x:c>
      <x:c r="L690" s="13" t="str">
        <x:v>No</x:v>
      </x:c>
      <x:c r="M690" s="13" t="str"/>
    </x:row>
    <x:row r="691" ht="58" customHeight="1">
      <x:c r="A691" s="9" t="str">
        <x:v>A08</x:v>
      </x:c>
      <x:c r="B691" s="9" t="str">
        <x:v>D05</x:v>
      </x:c>
      <x:c r="C691" s="9" t="str">
        <x:v>Depreciation</x:v>
      </x:c>
      <x:c r="D691" s="9" t="str">
        <x:v>Core</x:v>
      </x:c>
      <x:c r="E691" s="9" t="str"/>
      <x:c r="F691" s="9" t="str"/>
      <x:c r="G691" s="12" t="n">
        <x:v>5</x:v>
      </x:c>
      <x:c r="H691" s="12" t="n">
        <x:v>4</x:v>
      </x:c>
      <x:c r="I691" s="9" t="str">
        <x:v>Trace a transaction</x:v>
      </x:c>
      <x:c r="J691" s="9" t="str">
        <x:v>Can this change reported profit without changing cash today?</x:v>
      </x:c>
      <x:c r="K691" s="13" t="str">
        <x:v>Not authored</x:v>
      </x:c>
      <x:c r="L691" s="13" t="str">
        <x:v>No</x:v>
      </x:c>
      <x:c r="M691" s="13" t="str"/>
    </x:row>
    <x:row r="692" ht="58" customHeight="1">
      <x:c r="A692" s="10" t="str">
        <x:v>A09</x:v>
      </x:c>
      <x:c r="B692" s="10" t="str">
        <x:v>D05</x:v>
      </x:c>
      <x:c r="C692" s="10" t="str">
        <x:v>EBIT</x:v>
      </x:c>
      <x:c r="D692" s="10" t="str">
        <x:v>Core</x:v>
      </x:c>
      <x:c r="E692" s="10" t="str"/>
      <x:c r="F692" s="10" t="str"/>
      <x:c r="G692" s="11" t="n">
        <x:v>3</x:v>
      </x:c>
      <x:c r="H692" s="11" t="n">
        <x:v>2</x:v>
      </x:c>
      <x:c r="I692" s="10" t="str">
        <x:v>Trace a transaction</x:v>
      </x:c>
      <x:c r="J692" s="10" t="str">
        <x:v>Can this change reported profit without changing cash today?</x:v>
      </x:c>
      <x:c r="K692" s="13" t="str">
        <x:v>Not authored</x:v>
      </x:c>
      <x:c r="L692" s="13" t="str">
        <x:v>No</x:v>
      </x:c>
      <x:c r="M692" s="13" t="str"/>
    </x:row>
    <x:row r="693" ht="58" customHeight="1">
      <x:c r="A693" s="9" t="str">
        <x:v>A10</x:v>
      </x:c>
      <x:c r="B693" s="9" t="str">
        <x:v>D17</x:v>
      </x:c>
      <x:c r="C693" s="9" t="str">
        <x:v>NOPAT</x:v>
      </x:c>
      <x:c r="D693" s="9" t="str">
        <x:v>Core</x:v>
      </x:c>
      <x:c r="E693" s="9" t="str"/>
      <x:c r="F693" s="9" t="str"/>
      <x:c r="G693" s="12" t="n">
        <x:v>4</x:v>
      </x:c>
      <x:c r="H693" s="12" t="n">
        <x:v>3</x:v>
      </x:c>
      <x:c r="I693" s="9" t="str">
        <x:v>Inspect a calculation</x:v>
      </x:c>
      <x:c r="J693" s="9" t="str">
        <x:v>Does this valuation use the right cash flow for the right investor?</x:v>
      </x:c>
      <x:c r="K693" s="13" t="str">
        <x:v>Not authored</x:v>
      </x:c>
      <x:c r="L693" s="13" t="str">
        <x:v>No</x:v>
      </x:c>
      <x:c r="M693" s="13" t="str"/>
    </x:row>
    <x:row r="694" ht="58" customHeight="1">
      <x:c r="A694" s="10" t="str">
        <x:v>A11</x:v>
      </x:c>
      <x:c r="B694" s="10" t="str">
        <x:v>D17</x:v>
      </x:c>
      <x:c r="C694" s="10" t="str">
        <x:v>Free cash flow to the firm (FCFF)</x:v>
      </x:c>
      <x:c r="D694" s="10" t="str">
        <x:v>Core</x:v>
      </x:c>
      <x:c r="E694" s="10" t="str"/>
      <x:c r="F694" s="10" t="str"/>
      <x:c r="G694" s="11" t="n">
        <x:v>8</x:v>
      </x:c>
      <x:c r="H694" s="11" t="n">
        <x:v>7</x:v>
      </x:c>
      <x:c r="I694" s="10" t="str">
        <x:v>Inspect a calculation</x:v>
      </x:c>
      <x:c r="J694" s="10" t="str">
        <x:v>Does this valuation use the right cash flow for the right investor?</x:v>
      </x:c>
      <x:c r="K694" s="13" t="str">
        <x:v>Not authored</x:v>
      </x:c>
      <x:c r="L694" s="13" t="str">
        <x:v>No</x:v>
      </x:c>
      <x:c r="M694" s="13" t="str"/>
    </x:row>
    <x:row r="695" ht="58" customHeight="1">
      <x:c r="A695" s="9" t="str">
        <x:v>A12</x:v>
      </x:c>
      <x:c r="B695" s="9" t="str">
        <x:v>D17</x:v>
      </x:c>
      <x:c r="C695" s="9" t="str">
        <x:v>Free cash flow to equity (FCFE)</x:v>
      </x:c>
      <x:c r="D695" s="9" t="str">
        <x:v>Core</x:v>
      </x:c>
      <x:c r="E695" s="9" t="str"/>
      <x:c r="F695" s="9" t="str"/>
      <x:c r="G695" s="12" t="n">
        <x:v>5</x:v>
      </x:c>
      <x:c r="H695" s="12" t="n">
        <x:v>4</x:v>
      </x:c>
      <x:c r="I695" s="9" t="str">
        <x:v>Inspect a calculation</x:v>
      </x:c>
      <x:c r="J695" s="9" t="str">
        <x:v>Does this valuation use the right cash flow for the right investor?</x:v>
      </x:c>
      <x:c r="K695" s="13" t="str">
        <x:v>Not authored</x:v>
      </x:c>
      <x:c r="L695" s="13" t="str">
        <x:v>No</x:v>
      </x:c>
      <x:c r="M695" s="13" t="str"/>
    </x:row>
    <x:row r="696" ht="58" customHeight="1">
      <x:c r="A696" s="10" t="str">
        <x:v>A13</x:v>
      </x:c>
      <x:c r="B696" s="10" t="str">
        <x:v>D13</x:v>
      </x:c>
      <x:c r="C696" s="10" t="str">
        <x:v>Weighted average cost of capital (WACC)</x:v>
      </x:c>
      <x:c r="D696" s="10" t="str">
        <x:v>Core</x:v>
      </x:c>
      <x:c r="E696" s="10" t="str"/>
      <x:c r="F696" s="10" t="str"/>
      <x:c r="G696" s="11" t="n">
        <x:v>6</x:v>
      </x:c>
      <x:c r="H696" s="11" t="n">
        <x:v>5</x:v>
      </x:c>
      <x:c r="I696" s="10" t="str">
        <x:v>Inspect a calculation</x:v>
      </x:c>
      <x:c r="J696" s="10" t="str">
        <x:v>Which investor claim bears this risk and which return compensates for it?</x:v>
      </x:c>
      <x:c r="K696" s="13" t="str">
        <x:v>Not authored</x:v>
      </x:c>
      <x:c r="L696" s="13" t="str">
        <x:v>No</x:v>
      </x:c>
      <x:c r="M696" s="13" t="str"/>
    </x:row>
    <x:row r="697" ht="58" customHeight="1">
      <x:c r="A697" s="9" t="str">
        <x:v>A14</x:v>
      </x:c>
      <x:c r="B697" s="9" t="str">
        <x:v>D13</x:v>
      </x:c>
      <x:c r="C697" s="9" t="str">
        <x:v>Cost of equity</x:v>
      </x:c>
      <x:c r="D697" s="9" t="str">
        <x:v>Core</x:v>
      </x:c>
      <x:c r="E697" s="9" t="str"/>
      <x:c r="F697" s="9" t="str"/>
      <x:c r="G697" s="12" t="n">
        <x:v>2</x:v>
      </x:c>
      <x:c r="H697" s="12" t="n">
        <x:v>1</x:v>
      </x:c>
      <x:c r="I697" s="9" t="str">
        <x:v>Inspect a calculation</x:v>
      </x:c>
      <x:c r="J697" s="9" t="str">
        <x:v>Which investor claim bears this risk and which return compensates for it?</x:v>
      </x:c>
      <x:c r="K697" s="13" t="str">
        <x:v>Not authored</x:v>
      </x:c>
      <x:c r="L697" s="13" t="str">
        <x:v>No</x:v>
      </x:c>
      <x:c r="M697" s="13" t="str"/>
    </x:row>
    <x:row r="698" ht="58" customHeight="1">
      <x:c r="A698" s="10" t="str">
        <x:v>A15</x:v>
      </x:c>
      <x:c r="B698" s="10" t="str">
        <x:v>D17</x:v>
      </x:c>
      <x:c r="C698" s="10" t="str">
        <x:v>Enterprise value</x:v>
      </x:c>
      <x:c r="D698" s="10" t="str">
        <x:v>Core</x:v>
      </x:c>
      <x:c r="E698" s="10" t="str"/>
      <x:c r="F698" s="10" t="str"/>
      <x:c r="G698" s="11" t="n">
        <x:v>3</x:v>
      </x:c>
      <x:c r="H698" s="11" t="n">
        <x:v>2</x:v>
      </x:c>
      <x:c r="I698" s="10" t="str">
        <x:v>Inspect a calculation</x:v>
      </x:c>
      <x:c r="J698" s="10" t="str">
        <x:v>Does this valuation use the right cash flow for the right investor?</x:v>
      </x:c>
      <x:c r="K698" s="13" t="str">
        <x:v>Not authored</x:v>
      </x:c>
      <x:c r="L698" s="13" t="str">
        <x:v>No</x:v>
      </x:c>
      <x:c r="M698" s="13" t="str"/>
    </x:row>
    <x:row r="699" ht="58" customHeight="1">
      <x:c r="A699" s="9" t="str">
        <x:v>A16</x:v>
      </x:c>
      <x:c r="B699" s="9" t="str">
        <x:v>D17</x:v>
      </x:c>
      <x:c r="C699" s="9" t="str">
        <x:v>Equity value</x:v>
      </x:c>
      <x:c r="D699" s="9" t="str">
        <x:v>Core</x:v>
      </x:c>
      <x:c r="E699" s="9" t="str"/>
      <x:c r="F699" s="9" t="str"/>
      <x:c r="G699" s="12" t="n">
        <x:v>2</x:v>
      </x:c>
      <x:c r="H699" s="12" t="n">
        <x:v>1</x:v>
      </x:c>
      <x:c r="I699" s="9" t="str">
        <x:v>Inspect a calculation</x:v>
      </x:c>
      <x:c r="J699" s="9" t="str">
        <x:v>Does this valuation use the right cash flow for the right investor?</x:v>
      </x:c>
      <x:c r="K699" s="13" t="str">
        <x:v>Not authored</x:v>
      </x:c>
      <x:c r="L699" s="13" t="str">
        <x:v>No</x:v>
      </x:c>
      <x:c r="M699" s="13" t="str"/>
    </x:row>
    <x:row r="700" ht="58" customHeight="1">
      <x:c r="A700" s="10" t="str">
        <x:v>A17</x:v>
      </x:c>
      <x:c r="B700" s="10" t="str">
        <x:v>D24</x:v>
      </x:c>
      <x:c r="C700" s="10" t="str">
        <x:v>Expected credit losses</x:v>
      </x:c>
      <x:c r="D700" s="10" t="str">
        <x:v>Specialist</x:v>
      </x:c>
      <x:c r="E700" s="10" t="str"/>
      <x:c r="F700" s="10" t="str"/>
      <x:c r="G700" s="11" t="n">
        <x:v>4</x:v>
      </x:c>
      <x:c r="H700" s="11" t="n">
        <x:v>3</x:v>
      </x:c>
      <x:c r="I700" s="10" t="str">
        <x:v>Compare scenarios</x:v>
      </x:c>
      <x:c r="J700" s="10" t="str">
        <x:v>Could this borrower repay under a plausible downside scenario?</x:v>
      </x:c>
      <x:c r="K700" s="13" t="str">
        <x:v>Not authored</x:v>
      </x:c>
      <x:c r="L700" s="13" t="str">
        <x:v>No</x:v>
      </x:c>
      <x:c r="M700" s="13" t="str"/>
    </x:row>
    <x:row r="701" ht="58" customHeight="1">
      <x:c r="A701" s="9" t="str">
        <x:v>A18</x:v>
      </x:c>
      <x:c r="B701" s="9" t="str">
        <x:v>D07</x:v>
      </x:c>
      <x:c r="C701" s="9" t="str">
        <x:v>Net borrowing</x:v>
      </x:c>
      <x:c r="D701" s="9" t="str">
        <x:v>Core</x:v>
      </x:c>
      <x:c r="E701" s="9" t="str"/>
      <x:c r="F701" s="9" t="str"/>
      <x:c r="G701" s="12" t="n">
        <x:v>4</x:v>
      </x:c>
      <x:c r="H701" s="12" t="n">
        <x:v>3</x:v>
      </x:c>
      <x:c r="I701" s="9" t="str">
        <x:v>Trace a transaction</x:v>
      </x:c>
      <x:c r="J701" s="9" t="str">
        <x:v>Why might cash move differently from reported profit?</x:v>
      </x:c>
      <x:c r="K701" s="13" t="str">
        <x:v>Not authored</x:v>
      </x:c>
      <x:c r="L701" s="13" t="str">
        <x:v>No</x:v>
      </x:c>
      <x:c r="M701" s="13" t="str"/>
    </x:row>
    <x:row r="702" ht="58" customHeight="1">
      <x:c r="A702" s="10" t="str">
        <x:v>A19</x:v>
      </x:c>
      <x:c r="B702" s="10" t="str">
        <x:v>D17</x:v>
      </x:c>
      <x:c r="C702" s="10" t="str">
        <x:v>Discounted cash flow (DCF)</x:v>
      </x:c>
      <x:c r="D702" s="10" t="str">
        <x:v>Core</x:v>
      </x:c>
      <x:c r="E702" s="10" t="str"/>
      <x:c r="F702" s="10" t="str"/>
      <x:c r="G702" s="11" t="n">
        <x:v>4</x:v>
      </x:c>
      <x:c r="H702" s="11" t="n">
        <x:v>3</x:v>
      </x:c>
      <x:c r="I702" s="10" t="str">
        <x:v>Inspect a calculation</x:v>
      </x:c>
      <x:c r="J702" s="10" t="str">
        <x:v>Does this valuation use the right cash flow for the right investor?</x:v>
      </x:c>
      <x:c r="K702" s="13" t="str">
        <x:v>Not authored</x:v>
      </x:c>
      <x:c r="L702" s="13" t="str">
        <x:v>No</x:v>
      </x:c>
      <x:c r="M702" s="13" t="str"/>
    </x:row>
    <x:row r="703" ht="58" customHeight="1">
      <x:c r="A703" s="9" t="str">
        <x:v>A20</x:v>
      </x:c>
      <x:c r="B703" s="9" t="str">
        <x:v>D09</x:v>
      </x:c>
      <x:c r="C703" s="9" t="str">
        <x:v>Return on invested capital (ROIC)</x:v>
      </x:c>
      <x:c r="D703" s="9" t="str">
        <x:v>Core</x:v>
      </x:c>
      <x:c r="E703" s="9" t="str"/>
      <x:c r="F703" s="9" t="str"/>
      <x:c r="G703" s="12" t="n">
        <x:v>4</x:v>
      </x:c>
      <x:c r="H703" s="12" t="n">
        <x:v>3</x:v>
      </x:c>
      <x:c r="I703" s="9" t="str">
        <x:v>Inspect a calculation</x:v>
      </x:c>
      <x:c r="J703" s="9" t="str">
        <x:v>Could this ratio improve while the underlying business becomes weaker?</x:v>
      </x:c>
      <x:c r="K703" s="13" t="str">
        <x:v>Not authored</x:v>
      </x:c>
      <x:c r="L703" s="13" t="str">
        <x:v>No</x:v>
      </x:c>
      <x:c r="M703" s="13" t="str"/>
    </x:row>
  </x:sheetData>
  <x:conditionalFormatting sqref="L6:L703">
    <x:cfRule type="containsText" dxfId="0" priority="1" operator="containsText" text="Yes"/>
  </x:conditionalFormatting>
  <x:dataValidations count="2">
    <x:dataValidation type="list" sqref="K6:K703">
      <x:formula1>"Not authored,Drafting,Draft complete,Reviewed"</x:formula1>
    </x:dataValidation>
    <x:dataValidation type="list" sqref="L6:L70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87c9de75b4eeb"/>
  </x:tableParts>
</x:worksheet>
</file>

<file path=xl/worksheets/sheet3.xml><?xml version="1.0" encoding="utf-8"?>
<x:worksheet xmlns:x="http://schemas.openxmlformats.org/spreadsheetml/2006/main">
  <x:sheetPr>
    <x:tabColor rgb="FF355F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4399995803833" hidden="0" customWidth="1"/>
    <x:col min="2" max="2" width="10" hidden="0" customWidth="1"/>
    <x:col min="3" max="3" width="33.88999938964844" hidden="0" customWidth="1"/>
    <x:col min="4" max="4" width="20" hidden="0" customWidth="1"/>
    <x:col min="5" max="5" width="10" hidden="0" customWidth="1"/>
    <x:col min="6" max="6" width="33.88999938964844" hidden="0" customWidth="1"/>
    <x:col min="7" max="7" width="50.560001373291016" hidden="0" customWidth="1"/>
    <x:col min="8" max="8" width="48.88999938964844" hidden="0" customWidth="1"/>
    <x:col min="9" max="9" width="28.3299999237060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Labelled finance connections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Filter From ID or To ID to inspect a concept. Read each arrow as source - relationship - target.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Link ID</x:v>
      </x:c>
      <x:c r="B5" s="8" t="str">
        <x:v>From ID</x:v>
      </x:c>
      <x:c r="C5" s="8" t="str">
        <x:v>From topic</x:v>
      </x:c>
      <x:c r="D5" s="8" t="str">
        <x:v>Relationship</x:v>
      </x:c>
      <x:c r="E5" s="8" t="str">
        <x:v>To ID</x:v>
      </x:c>
      <x:c r="F5" s="8" t="str">
        <x:v>To topic</x:v>
      </x:c>
      <x:c r="G5" s="8" t="str">
        <x:v>Why follow this connection?</x:v>
      </x:c>
      <x:c r="H5" s="8" t="str">
        <x:v>Conditions / interpretation</x:v>
      </x:c>
      <x:c r="I5" s="8" t="str">
        <x:v>Mapping provenance</x:v>
      </x:c>
    </x:row>
    <x:row r="6" ht="58" customHeight="1">
      <x:c r="A6" s="10" t="str">
        <x:v>E0001</x:v>
      </x:c>
      <x:c r="B6" s="10" t="str">
        <x:v>T01.01</x:v>
      </x:c>
      <x:c r="C6" s="10" t="str">
        <x:v>What finance is: allocating capital across time and uncertainty</x:v>
      </x:c>
      <x:c r="D6" s="14" t="str">
        <x:v>PART_OF</x:v>
      </x:c>
      <x:c r="E6" s="10" t="str">
        <x:v>D01</x:v>
      </x:c>
      <x:c r="F6" s="10" t="str">
        <x:v>Foundations of finance</x:v>
      </x:c>
      <x:c r="G6" s="10" t="str">
        <x:v>Curriculum membership. Use this link to move between the topic and its finance area.</x:v>
      </x:c>
      <x:c r="H6" s="10" t="str">
        <x:v>Classification only; this edge is not a causal or calculation relationship.</x:v>
      </x:c>
      <x:c r="I6" s="10" t="str">
        <x:v>Curated curriculum relationship</x:v>
      </x:c>
    </x:row>
    <x:row r="7" ht="58" customHeight="1">
      <x:c r="A7" s="9" t="str">
        <x:v>E0002</x:v>
      </x:c>
      <x:c r="B7" s="9" t="str">
        <x:v>T01.01</x:v>
      </x:c>
      <x:c r="C7" s="9" t="str">
        <x:v>What finance is: allocating capital across time and uncertainty</x:v>
      </x:c>
      <x:c r="D7" s="15" t="str">
        <x:v>EXPLORE_WITH</x:v>
      </x:c>
      <x:c r="E7" s="9" t="str">
        <x:v>T01.08</x:v>
      </x:c>
      <x:c r="F7" s="9" t="str">
        <x:v>Sources and uses of funds</x:v>
      </x:c>
      <x:c r="G7" s="9" t="str">
        <x:v>Study these together to identify who supplies capital, who uses it, and how value and risk move.</x:v>
      </x:c>
      <x:c r="H7" s="9" t="str">
        <x:v>A topical exploration link, not a claim that one determines the other.</x:v>
      </x:c>
      <x:c r="I7" s="9" t="str">
        <x:v>Curated curriculum relationship</x:v>
      </x:c>
    </x:row>
    <x:row r="8" ht="58" customHeight="1">
      <x:c r="A8" s="10" t="str">
        <x:v>E0003</x:v>
      </x:c>
      <x:c r="B8" s="10" t="str">
        <x:v>T01.02</x:v>
      </x:c>
      <x:c r="C8" s="10" t="str">
        <x:v>Personal finance, corporate finance, public finance, and investment finance</x:v>
      </x:c>
      <x:c r="D8" s="14" t="str">
        <x:v>PART_OF</x:v>
      </x:c>
      <x:c r="E8" s="10" t="str">
        <x:v>D01</x:v>
      </x:c>
      <x:c r="F8" s="10" t="str">
        <x:v>Foundations of finance</x:v>
      </x:c>
      <x:c r="G8" s="10" t="str">
        <x:v>Curriculum membership. Use this link to move between the topic and its finance area.</x:v>
      </x:c>
      <x:c r="H8" s="10" t="str">
        <x:v>Classification only; this edge is not a causal or calculation relationship.</x:v>
      </x:c>
      <x:c r="I8" s="10" t="str">
        <x:v>Curated curriculum relationship</x:v>
      </x:c>
    </x:row>
    <x:row r="9" ht="58" customHeight="1">
      <x:c r="A9" s="9" t="str">
        <x:v>E0004</x:v>
      </x:c>
      <x:c r="B9" s="9" t="str">
        <x:v>T01.02</x:v>
      </x:c>
      <x:c r="C9" s="9" t="str">
        <x:v>Personal finance, corporate finance, public finance, and investment finance</x:v>
      </x:c>
      <x:c r="D9" s="15" t="str">
        <x:v>EXPLORE_WITH</x:v>
      </x:c>
      <x:c r="E9" s="9" t="str">
        <x:v>T01.03</x:v>
      </x:c>
      <x:c r="F9" s="9" t="str">
        <x:v>The financial system: households, businesses, governments, and intermediaries</x:v>
      </x:c>
      <x:c r="G9" s="9" t="str">
        <x:v>Study these together to identify who supplies capital, who uses it, and how value and risk move.</x:v>
      </x:c>
      <x:c r="H9" s="9" t="str">
        <x:v>A topical exploration link, not a claim that one determines the other.</x:v>
      </x:c>
      <x:c r="I9" s="9" t="str">
        <x:v>Curated curriculum relationship</x:v>
      </x:c>
    </x:row>
    <x:row r="10" ht="58" customHeight="1">
      <x:c r="A10" s="10" t="str">
        <x:v>E0005</x:v>
      </x:c>
      <x:c r="B10" s="10" t="str">
        <x:v>T01.01</x:v>
      </x:c>
      <x:c r="C10" s="10" t="str">
        <x:v>What finance is: allocating capital across time and uncertainty</x:v>
      </x:c>
      <x:c r="D10" s="14" t="str">
        <x:v>RECOMMENDED_BEFORE</x:v>
      </x:c>
      <x:c r="E10" s="10" t="str">
        <x:v>T01.02</x:v>
      </x:c>
      <x:c r="F10" s="10" t="str">
        <x:v>Personal finance, corporate finance, public finance, and investment finance</x:v>
      </x:c>
      <x:c r="G10" s="10" t="str">
        <x:v>Suggested starting knowledge: What finance is: allocating capital across time and uncertainty. It helps you identify who supplies capital, who uses it, and how value and risk move.</x:v>
      </x:c>
      <x:c r="H10" s="10" t="str">
        <x:v>Suggested learning order; learners can still explore freely.</x:v>
      </x:c>
      <x:c r="I10" s="10" t="str">
        <x:v>Curated curriculum relationship</x:v>
      </x:c>
    </x:row>
    <x:row r="11" ht="58" customHeight="1">
      <x:c r="A11" s="9" t="str">
        <x:v>E0006</x:v>
      </x:c>
      <x:c r="B11" s="9" t="str">
        <x:v>T01.03</x:v>
      </x:c>
      <x:c r="C11" s="9" t="str">
        <x:v>The financial system: households, businesses, governments, and intermediaries</x:v>
      </x:c>
      <x:c r="D11" s="15" t="str">
        <x:v>PART_OF</x:v>
      </x:c>
      <x:c r="E11" s="9" t="str">
        <x:v>D01</x:v>
      </x:c>
      <x:c r="F11" s="9" t="str">
        <x:v>Foundations of finance</x:v>
      </x:c>
      <x:c r="G11" s="9" t="str">
        <x:v>Curriculum membership. Use this link to move between the topic and its finance area.</x:v>
      </x:c>
      <x:c r="H11" s="9" t="str">
        <x:v>Classification only; this edge is not a causal or calculation relationship.</x:v>
      </x:c>
      <x:c r="I11" s="9" t="str">
        <x:v>Curated curriculum relationship</x:v>
      </x:c>
    </x:row>
    <x:row r="12" ht="58" customHeight="1">
      <x:c r="A12" s="10" t="str">
        <x:v>E0007</x:v>
      </x:c>
      <x:c r="B12" s="10" t="str">
        <x:v>T01.03</x:v>
      </x:c>
      <x:c r="C12" s="10" t="str">
        <x:v>The financial system: households, businesses, governments, and intermediaries</x:v>
      </x:c>
      <x:c r="D12" s="14" t="str">
        <x:v>EXPLORE_WITH</x:v>
      </x:c>
      <x:c r="E12" s="10" t="str">
        <x:v>T01.07</x:v>
      </x:c>
      <x:c r="F12" s="10" t="str">
        <x:v>Saving, investing, borrowing, lending, speculation, and hedging</x:v>
      </x:c>
      <x:c r="G12" s="10" t="str">
        <x:v>Study these together to identify who supplies capital, who uses it, and how value and risk move.</x:v>
      </x:c>
      <x:c r="H12" s="10" t="str">
        <x:v>A topical exploration link, not a claim that one determines the other.</x:v>
      </x:c>
      <x:c r="I12" s="10" t="str">
        <x:v>Curated curriculum relationship</x:v>
      </x:c>
    </x:row>
    <x:row r="13" ht="58" customHeight="1">
      <x:c r="A13" s="9" t="str">
        <x:v>E0008</x:v>
      </x:c>
      <x:c r="B13" s="9" t="str">
        <x:v>T01.01</x:v>
      </x:c>
      <x:c r="C13" s="9" t="str">
        <x:v>What finance is: allocating capital across time and uncertainty</x:v>
      </x:c>
      <x:c r="D13" s="15" t="str">
        <x:v>RECOMMENDED_BEFORE</x:v>
      </x:c>
      <x:c r="E13" s="9" t="str">
        <x:v>T01.03</x:v>
      </x:c>
      <x:c r="F13" s="9" t="str">
        <x:v>The financial system: households, businesses, governments, and intermediaries</x:v>
      </x:c>
      <x:c r="G13" s="9" t="str">
        <x:v>Suggested starting knowledge: What finance is: allocating capital across time and uncertainty. It helps you identify who supplies capital, who uses it, and how value and risk move.</x:v>
      </x:c>
      <x:c r="H13" s="9" t="str">
        <x:v>Suggested learning order; learners can still explore freely.</x:v>
      </x:c>
      <x:c r="I13" s="9" t="str">
        <x:v>Curated curriculum relationship</x:v>
      </x:c>
    </x:row>
    <x:row r="14" ht="58" customHeight="1">
      <x:c r="A14" s="10" t="str">
        <x:v>E0009</x:v>
      </x:c>
      <x:c r="B14" s="10" t="str">
        <x:v>T01.04</x:v>
      </x:c>
      <x:c r="C14" s="10" t="str">
        <x:v>Real assets versus financial assets</x:v>
      </x:c>
      <x:c r="D14" s="14" t="str">
        <x:v>PART_OF</x:v>
      </x:c>
      <x:c r="E14" s="10" t="str">
        <x:v>D01</x:v>
      </x:c>
      <x:c r="F14" s="10" t="str">
        <x:v>Foundations of finance</x:v>
      </x:c>
      <x:c r="G14" s="10" t="str">
        <x:v>Curriculum membership. Use this link to move between the topic and its finance area.</x:v>
      </x:c>
      <x:c r="H14" s="10" t="str">
        <x:v>Classification only; this edge is not a causal or calculation relationship.</x:v>
      </x:c>
      <x:c r="I14" s="10" t="str">
        <x:v>Curated curriculum relationship</x:v>
      </x:c>
    </x:row>
    <x:row r="15" ht="58" customHeight="1">
      <x:c r="A15" s="9" t="str">
        <x:v>E0010</x:v>
      </x:c>
      <x:c r="B15" s="9" t="str">
        <x:v>T01.04</x:v>
      </x:c>
      <x:c r="C15" s="9" t="str">
        <x:v>Real assets versus financial assets</x:v>
      </x:c>
      <x:c r="D15" s="15" t="str">
        <x:v>EXPLORE_WITH</x:v>
      </x:c>
      <x:c r="E15" s="9" t="str">
        <x:v>T01.08</x:v>
      </x:c>
      <x:c r="F15" s="9" t="str">
        <x:v>Sources and uses of funds</x:v>
      </x:c>
      <x:c r="G15" s="9" t="str">
        <x:v>Study these together to identify who supplies capital, who uses it, and how value and risk move.</x:v>
      </x:c>
      <x:c r="H15" s="9" t="str">
        <x:v>A topical exploration link, not a claim that one determines the other.</x:v>
      </x:c>
      <x:c r="I15" s="9" t="str">
        <x:v>Curated curriculum relationship</x:v>
      </x:c>
    </x:row>
    <x:row r="16" ht="58" customHeight="1">
      <x:c r="A16" s="10" t="str">
        <x:v>E0011</x:v>
      </x:c>
      <x:c r="B16" s="10" t="str">
        <x:v>T01.01</x:v>
      </x:c>
      <x:c r="C16" s="10" t="str">
        <x:v>What finance is: allocating capital across time and uncertainty</x:v>
      </x:c>
      <x:c r="D16" s="14" t="str">
        <x:v>RECOMMENDED_BEFORE</x:v>
      </x:c>
      <x:c r="E16" s="10" t="str">
        <x:v>T01.04</x:v>
      </x:c>
      <x:c r="F16" s="10" t="str">
        <x:v>Real assets versus financial assets</x:v>
      </x:c>
      <x:c r="G16" s="10" t="str">
        <x:v>Suggested starting knowledge: What finance is: allocating capital across time and uncertainty. It helps you identify who supplies capital, who uses it, and how value and risk move.</x:v>
      </x:c>
      <x:c r="H16" s="10" t="str">
        <x:v>Suggested learning order; learners can still explore freely.</x:v>
      </x:c>
      <x:c r="I16" s="10" t="str">
        <x:v>Curated curriculum relationship</x:v>
      </x:c>
    </x:row>
    <x:row r="17" ht="58" customHeight="1">
      <x:c r="A17" s="9" t="str">
        <x:v>E0012</x:v>
      </x:c>
      <x:c r="B17" s="9" t="str">
        <x:v>T01.05</x:v>
      </x:c>
      <x:c r="C17" s="9" t="str">
        <x:v>Income, expenses, assets, liabilities, equity, and wealth</x:v>
      </x:c>
      <x:c r="D17" s="15" t="str">
        <x:v>PART_OF</x:v>
      </x:c>
      <x:c r="E17" s="9" t="str">
        <x:v>D01</x:v>
      </x:c>
      <x:c r="F17" s="9" t="str">
        <x:v>Foundations of finance</x:v>
      </x:c>
      <x:c r="G17" s="9" t="str">
        <x:v>Curriculum membership. Use this link to move between the topic and its finance area.</x:v>
      </x:c>
      <x:c r="H17" s="9" t="str">
        <x:v>Classification only; this edge is not a causal or calculation relationship.</x:v>
      </x:c>
      <x:c r="I17" s="9" t="str">
        <x:v>Curated curriculum relationship</x:v>
      </x:c>
    </x:row>
    <x:row r="18" ht="58" customHeight="1">
      <x:c r="A18" s="10" t="str">
        <x:v>E0013</x:v>
      </x:c>
      <x:c r="B18" s="10" t="str">
        <x:v>T01.05</x:v>
      </x:c>
      <x:c r="C18" s="10" t="str">
        <x:v>Income, expenses, assets, liabilities, equity, and wealth</x:v>
      </x:c>
      <x:c r="D18" s="14" t="str">
        <x:v>EXPLORE_WITH</x:v>
      </x:c>
      <x:c r="E18" s="10" t="str">
        <x:v>T01.06</x:v>
      </x:c>
      <x:c r="F18" s="10" t="str">
        <x:v>Stocks versus flows: a balance at a point in time versus activity during a period</x:v>
      </x:c>
      <x:c r="G18" s="10" t="str">
        <x:v>Study these together to identify who supplies capital, who uses it, and how value and risk move.</x:v>
      </x:c>
      <x:c r="H18" s="10" t="str">
        <x:v>A topical exploration link, not a claim that one determines the other.</x:v>
      </x:c>
      <x:c r="I18" s="10" t="str">
        <x:v>Curated curriculum relationship</x:v>
      </x:c>
    </x:row>
    <x:row r="19" ht="58" customHeight="1">
      <x:c r="A19" s="9" t="str">
        <x:v>E0014</x:v>
      </x:c>
      <x:c r="B19" s="9" t="str">
        <x:v>T01.01</x:v>
      </x:c>
      <x:c r="C19" s="9" t="str">
        <x:v>What finance is: allocating capital across time and uncertainty</x:v>
      </x:c>
      <x:c r="D19" s="15" t="str">
        <x:v>RECOMMENDED_BEFORE</x:v>
      </x:c>
      <x:c r="E19" s="9" t="str">
        <x:v>T01.05</x:v>
      </x:c>
      <x:c r="F19" s="9" t="str">
        <x:v>Income, expenses, assets, liabilities, equity, and wealth</x:v>
      </x:c>
      <x:c r="G19" s="9" t="str">
        <x:v>Suggested starting knowledge: What finance is: allocating capital across time and uncertainty. It helps you identify who supplies capital, who uses it, and how value and risk move.</x:v>
      </x:c>
      <x:c r="H19" s="9" t="str">
        <x:v>Suggested learning order; learners can still explore freely.</x:v>
      </x:c>
      <x:c r="I19" s="9" t="str">
        <x:v>Curated curriculum relationship</x:v>
      </x:c>
    </x:row>
    <x:row r="20" ht="58" customHeight="1">
      <x:c r="A20" s="10" t="str">
        <x:v>E0015</x:v>
      </x:c>
      <x:c r="B20" s="10" t="str">
        <x:v>T01.06</x:v>
      </x:c>
      <x:c r="C20" s="10" t="str">
        <x:v>Stocks versus flows: a balance at a point in time versus activity during a period</x:v>
      </x:c>
      <x:c r="D20" s="14" t="str">
        <x:v>PART_OF</x:v>
      </x:c>
      <x:c r="E20" s="10" t="str">
        <x:v>D01</x:v>
      </x:c>
      <x:c r="F20" s="10" t="str">
        <x:v>Foundations of finance</x:v>
      </x:c>
      <x:c r="G20" s="10" t="str">
        <x:v>Curriculum membership. Use this link to move between the topic and its finance area.</x:v>
      </x:c>
      <x:c r="H20" s="10" t="str">
        <x:v>Classification only; this edge is not a causal or calculation relationship.</x:v>
      </x:c>
      <x:c r="I20" s="10" t="str">
        <x:v>Curated curriculum relationship</x:v>
      </x:c>
    </x:row>
    <x:row r="21" ht="58" customHeight="1">
      <x:c r="A21" s="9" t="str">
        <x:v>E0016</x:v>
      </x:c>
      <x:c r="B21" s="9" t="str">
        <x:v>T01.06</x:v>
      </x:c>
      <x:c r="C21" s="9" t="str">
        <x:v>Stocks versus flows: a balance at a point in time versus activity during a period</x:v>
      </x:c>
      <x:c r="D21" s="15" t="str">
        <x:v>EXPLORE_WITH</x:v>
      </x:c>
      <x:c r="E21" s="9" t="str">
        <x:v>T01.05</x:v>
      </x:c>
      <x:c r="F21" s="9" t="str">
        <x:v>Income, expenses, assets, liabilities, equity, and wealth</x:v>
      </x:c>
      <x:c r="G21" s="9" t="str">
        <x:v>Study these together to identify who supplies capital, who uses it, and how value and risk move.</x:v>
      </x:c>
      <x:c r="H21" s="9" t="str">
        <x:v>A topical exploration link, not a claim that one determines the other.</x:v>
      </x:c>
      <x:c r="I21" s="9" t="str">
        <x:v>Curated curriculum relationship</x:v>
      </x:c>
    </x:row>
    <x:row r="22" ht="58" customHeight="1">
      <x:c r="A22" s="10" t="str">
        <x:v>E0017</x:v>
      </x:c>
      <x:c r="B22" s="10" t="str">
        <x:v>T01.01</x:v>
      </x:c>
      <x:c r="C22" s="10" t="str">
        <x:v>What finance is: allocating capital across time and uncertainty</x:v>
      </x:c>
      <x:c r="D22" s="14" t="str">
        <x:v>RECOMMENDED_BEFORE</x:v>
      </x:c>
      <x:c r="E22" s="10" t="str">
        <x:v>T01.06</x:v>
      </x:c>
      <x:c r="F22" s="10" t="str">
        <x:v>Stocks versus flows: a balance at a point in time versus activity during a period</x:v>
      </x:c>
      <x:c r="G22" s="10" t="str">
        <x:v>Suggested starting knowledge: What finance is: allocating capital across time and uncertainty. It helps you identify who supplies capital, who uses it, and how value and risk move.</x:v>
      </x:c>
      <x:c r="H22" s="10" t="str">
        <x:v>Suggested learning order; learners can still explore freely.</x:v>
      </x:c>
      <x:c r="I22" s="10" t="str">
        <x:v>Curated curriculum relationship</x:v>
      </x:c>
    </x:row>
    <x:row r="23" ht="58" customHeight="1">
      <x:c r="A23" s="9" t="str">
        <x:v>E0018</x:v>
      </x:c>
      <x:c r="B23" s="9" t="str">
        <x:v>T01.07</x:v>
      </x:c>
      <x:c r="C23" s="9" t="str">
        <x:v>Saving, investing, borrowing, lending, speculation, and hedging</x:v>
      </x:c>
      <x:c r="D23" s="15" t="str">
        <x:v>PART_OF</x:v>
      </x:c>
      <x:c r="E23" s="9" t="str">
        <x:v>D01</x:v>
      </x:c>
      <x:c r="F23" s="9" t="str">
        <x:v>Foundations of finance</x:v>
      </x:c>
      <x:c r="G23" s="9" t="str">
        <x:v>Curriculum membership. Use this link to move between the topic and its finance area.</x:v>
      </x:c>
      <x:c r="H23" s="9" t="str">
        <x:v>Classification only; this edge is not a causal or calculation relationship.</x:v>
      </x:c>
      <x:c r="I23" s="9" t="str">
        <x:v>Curated curriculum relationship</x:v>
      </x:c>
    </x:row>
    <x:row r="24" ht="58" customHeight="1">
      <x:c r="A24" s="10" t="str">
        <x:v>E0019</x:v>
      </x:c>
      <x:c r="B24" s="10" t="str">
        <x:v>T01.07</x:v>
      </x:c>
      <x:c r="C24" s="10" t="str">
        <x:v>Saving, investing, borrowing, lending, speculation, and hedging</x:v>
      </x:c>
      <x:c r="D24" s="14" t="str">
        <x:v>EXPLORE_WITH</x:v>
      </x:c>
      <x:c r="E24" s="10" t="str">
        <x:v>T01.10</x:v>
      </x:c>
      <x:c r="F24" s="10" t="str">
        <x:v>Risk, return, opportunity cost, and required return</x:v>
      </x:c>
      <x:c r="G24" s="10" t="str">
        <x:v>Study these together to identify who supplies capital, who uses it, and how value and risk move.</x:v>
      </x:c>
      <x:c r="H24" s="10" t="str">
        <x:v>A topical exploration link, not a claim that one determines the other.</x:v>
      </x:c>
      <x:c r="I24" s="10" t="str">
        <x:v>Curated curriculum relationship</x:v>
      </x:c>
    </x:row>
    <x:row r="25" ht="58" customHeight="1">
      <x:c r="A25" s="9" t="str">
        <x:v>E0020</x:v>
      </x:c>
      <x:c r="B25" s="9" t="str">
        <x:v>T01.01</x:v>
      </x:c>
      <x:c r="C25" s="9" t="str">
        <x:v>What finance is: allocating capital across time and uncertainty</x:v>
      </x:c>
      <x:c r="D25" s="15" t="str">
        <x:v>RECOMMENDED_BEFORE</x:v>
      </x:c>
      <x:c r="E25" s="9" t="str">
        <x:v>T01.07</x:v>
      </x:c>
      <x:c r="F25" s="9" t="str">
        <x:v>Saving, investing, borrowing, lending, speculation, and hedging</x:v>
      </x:c>
      <x:c r="G25" s="9" t="str">
        <x:v>Suggested starting knowledge: What finance is: allocating capital across time and uncertainty. It helps you identify who supplies capital, who uses it, and how value and risk move.</x:v>
      </x:c>
      <x:c r="H25" s="9" t="str">
        <x:v>Suggested learning order; learners can still explore freely.</x:v>
      </x:c>
      <x:c r="I25" s="9" t="str">
        <x:v>Curated curriculum relationship</x:v>
      </x:c>
    </x:row>
    <x:row r="26" ht="58" customHeight="1">
      <x:c r="A26" s="10" t="str">
        <x:v>E0021</x:v>
      </x:c>
      <x:c r="B26" s="10" t="str">
        <x:v>T01.08</x:v>
      </x:c>
      <x:c r="C26" s="10" t="str">
        <x:v>Sources and uses of funds</x:v>
      </x:c>
      <x:c r="D26" s="14" t="str">
        <x:v>PART_OF</x:v>
      </x:c>
      <x:c r="E26" s="10" t="str">
        <x:v>D01</x:v>
      </x:c>
      <x:c r="F26" s="10" t="str">
        <x:v>Foundations of finance</x:v>
      </x:c>
      <x:c r="G26" s="10" t="str">
        <x:v>Curriculum membership. Use this link to move between the topic and its finance area.</x:v>
      </x:c>
      <x:c r="H26" s="10" t="str">
        <x:v>Classification only; this edge is not a causal or calculation relationship.</x:v>
      </x:c>
      <x:c r="I26" s="10" t="str">
        <x:v>Curated curriculum relationship</x:v>
      </x:c>
    </x:row>
    <x:row r="27" ht="58" customHeight="1">
      <x:c r="A27" s="9" t="str">
        <x:v>E0022</x:v>
      </x:c>
      <x:c r="B27" s="9" t="str">
        <x:v>T01.08</x:v>
      </x:c>
      <x:c r="C27" s="9" t="str">
        <x:v>Sources and uses of funds</x:v>
      </x:c>
      <x:c r="D27" s="15" t="str">
        <x:v>EXPLORE_WITH</x:v>
      </x:c>
      <x:c r="E27" s="9" t="str">
        <x:v>T01.04</x:v>
      </x:c>
      <x:c r="F27" s="9" t="str">
        <x:v>Real assets versus financial assets</x:v>
      </x:c>
      <x:c r="G27" s="9" t="str">
        <x:v>Study these together to identify who supplies capital, who uses it, and how value and risk move.</x:v>
      </x:c>
      <x:c r="H27" s="9" t="str">
        <x:v>A topical exploration link, not a claim that one determines the other.</x:v>
      </x:c>
      <x:c r="I27" s="9" t="str">
        <x:v>Curated curriculum relationship</x:v>
      </x:c>
    </x:row>
    <x:row r="28" ht="58" customHeight="1">
      <x:c r="A28" s="10" t="str">
        <x:v>E0023</x:v>
      </x:c>
      <x:c r="B28" s="10" t="str">
        <x:v>T01.01</x:v>
      </x:c>
      <x:c r="C28" s="10" t="str">
        <x:v>What finance is: allocating capital across time and uncertainty</x:v>
      </x:c>
      <x:c r="D28" s="14" t="str">
        <x:v>RECOMMENDED_BEFORE</x:v>
      </x:c>
      <x:c r="E28" s="10" t="str">
        <x:v>T01.08</x:v>
      </x:c>
      <x:c r="F28" s="10" t="str">
        <x:v>Sources and uses of funds</x:v>
      </x:c>
      <x:c r="G28" s="10" t="str">
        <x:v>Suggested starting knowledge: What finance is: allocating capital across time and uncertainty. It helps you identify who supplies capital, who uses it, and how value and risk move.</x:v>
      </x:c>
      <x:c r="H28" s="10" t="str">
        <x:v>Suggested learning order; learners can still explore freely.</x:v>
      </x:c>
      <x:c r="I28" s="10" t="str">
        <x:v>Curated curriculum relationship</x:v>
      </x:c>
    </x:row>
    <x:row r="29" ht="58" customHeight="1">
      <x:c r="A29" s="9" t="str">
        <x:v>E0024</x:v>
      </x:c>
      <x:c r="B29" s="9" t="str">
        <x:v>T01.09</x:v>
      </x:c>
      <x:c r="C29" s="9" t="str">
        <x:v>Liquidity, profitability, solvency, and financial flexibility</x:v>
      </x:c>
      <x:c r="D29" s="15" t="str">
        <x:v>PART_OF</x:v>
      </x:c>
      <x:c r="E29" s="9" t="str">
        <x:v>D01</x:v>
      </x:c>
      <x:c r="F29" s="9" t="str">
        <x:v>Foundations of finance</x:v>
      </x:c>
      <x:c r="G29" s="9" t="str">
        <x:v>Curriculum membership. Use this link to move between the topic and its finance area.</x:v>
      </x:c>
      <x:c r="H29" s="9" t="str">
        <x:v>Classification only; this edge is not a causal or calculation relationship.</x:v>
      </x:c>
      <x:c r="I29" s="9" t="str">
        <x:v>Curated curriculum relationship</x:v>
      </x:c>
    </x:row>
    <x:row r="30" ht="58" customHeight="1">
      <x:c r="A30" s="10" t="str">
        <x:v>E0025</x:v>
      </x:c>
      <x:c r="B30" s="10" t="str">
        <x:v>T01.09</x:v>
      </x:c>
      <x:c r="C30" s="10" t="str">
        <x:v>Liquidity, profitability, solvency, and financial flexibility</x:v>
      </x:c>
      <x:c r="D30" s="14" t="str">
        <x:v>EXPLORE_WITH</x:v>
      </x:c>
      <x:c r="E30" s="10" t="str">
        <x:v>T01.08</x:v>
      </x:c>
      <x:c r="F30" s="10" t="str">
        <x:v>Sources and uses of funds</x:v>
      </x:c>
      <x:c r="G30" s="10" t="str">
        <x:v>Study these together to identify who supplies capital, who uses it, and how value and risk move.</x:v>
      </x:c>
      <x:c r="H30" s="10" t="str">
        <x:v>A topical exploration link, not a claim that one determines the other.</x:v>
      </x:c>
      <x:c r="I30" s="10" t="str">
        <x:v>Curated curriculum relationship</x:v>
      </x:c>
    </x:row>
    <x:row r="31" ht="58" customHeight="1">
      <x:c r="A31" s="9" t="str">
        <x:v>E0026</x:v>
      </x:c>
      <x:c r="B31" s="9" t="str">
        <x:v>T01.01</x:v>
      </x:c>
      <x:c r="C31" s="9" t="str">
        <x:v>What finance is: allocating capital across time and uncertainty</x:v>
      </x:c>
      <x:c r="D31" s="15" t="str">
        <x:v>RECOMMENDED_BEFORE</x:v>
      </x:c>
      <x:c r="E31" s="9" t="str">
        <x:v>T01.09</x:v>
      </x:c>
      <x:c r="F31" s="9" t="str">
        <x:v>Liquidity, profitability, solvency, and financial flexibility</x:v>
      </x:c>
      <x:c r="G31" s="9" t="str">
        <x:v>Suggested starting knowledge: What finance is: allocating capital across time and uncertainty. It helps you identify who supplies capital, who uses it, and how value and risk move.</x:v>
      </x:c>
      <x:c r="H31" s="9" t="str">
        <x:v>Suggested learning order; learners can still explore freely.</x:v>
      </x:c>
      <x:c r="I31" s="9" t="str">
        <x:v>Curated curriculum relationship</x:v>
      </x:c>
    </x:row>
    <x:row r="32" ht="58" customHeight="1">
      <x:c r="A32" s="10" t="str">
        <x:v>E0027</x:v>
      </x:c>
      <x:c r="B32" s="10" t="str">
        <x:v>T01.10</x:v>
      </x:c>
      <x:c r="C32" s="10" t="str">
        <x:v>Risk, return, opportunity cost, and required return</x:v>
      </x:c>
      <x:c r="D32" s="14" t="str">
        <x:v>PART_OF</x:v>
      </x:c>
      <x:c r="E32" s="10" t="str">
        <x:v>D01</x:v>
      </x:c>
      <x:c r="F32" s="10" t="str">
        <x:v>Foundations of finance</x:v>
      </x:c>
      <x:c r="G32" s="10" t="str">
        <x:v>Curriculum membership. Use this link to move between the topic and its finance area.</x:v>
      </x:c>
      <x:c r="H32" s="10" t="str">
        <x:v>Classification only; this edge is not a causal or calculation relationship.</x:v>
      </x:c>
      <x:c r="I32" s="10" t="str">
        <x:v>Curated curriculum relationship</x:v>
      </x:c>
    </x:row>
    <x:row r="33" ht="58" customHeight="1">
      <x:c r="A33" s="9" t="str">
        <x:v>E0028</x:v>
      </x:c>
      <x:c r="B33" s="9" t="str">
        <x:v>T01.10</x:v>
      </x:c>
      <x:c r="C33" s="9" t="str">
        <x:v>Risk, return, opportunity cost, and required return</x:v>
      </x:c>
      <x:c r="D33" s="15" t="str">
        <x:v>EXPLORE_WITH</x:v>
      </x:c>
      <x:c r="E33" s="9" t="str">
        <x:v>T01.13</x:v>
      </x:c>
      <x:c r="F33" s="9" t="str">
        <x:v>Financial decisions under certainty, risk, and uncertainty</x:v>
      </x:c>
      <x:c r="G33" s="9" t="str">
        <x:v>Study these together to identify who supplies capital, who uses it, and how value and risk move.</x:v>
      </x:c>
      <x:c r="H33" s="9" t="str">
        <x:v>A topical exploration link, not a claim that one determines the other.</x:v>
      </x:c>
      <x:c r="I33" s="9" t="str">
        <x:v>Curated curriculum relationship</x:v>
      </x:c>
    </x:row>
    <x:row r="34" ht="58" customHeight="1">
      <x:c r="A34" s="10" t="str">
        <x:v>E0029</x:v>
      </x:c>
      <x:c r="B34" s="10" t="str">
        <x:v>T01.01</x:v>
      </x:c>
      <x:c r="C34" s="10" t="str">
        <x:v>What finance is: allocating capital across time and uncertainty</x:v>
      </x:c>
      <x:c r="D34" s="14" t="str">
        <x:v>RECOMMENDED_BEFORE</x:v>
      </x:c>
      <x:c r="E34" s="10" t="str">
        <x:v>T01.10</x:v>
      </x:c>
      <x:c r="F34" s="10" t="str">
        <x:v>Risk, return, opportunity cost, and required return</x:v>
      </x:c>
      <x:c r="G34" s="10" t="str">
        <x:v>Suggested starting knowledge: What finance is: allocating capital across time and uncertainty. It helps you identify who supplies capital, who uses it, and how value and risk move.</x:v>
      </x:c>
      <x:c r="H34" s="10" t="str">
        <x:v>Suggested learning order; learners can still explore freely.</x:v>
      </x:c>
      <x:c r="I34" s="10" t="str">
        <x:v>Curated curriculum relationship</x:v>
      </x:c>
    </x:row>
    <x:row r="35" ht="58" customHeight="1">
      <x:c r="A35" s="9" t="str">
        <x:v>E0030</x:v>
      </x:c>
      <x:c r="B35" s="9" t="str">
        <x:v>T01.11</x:v>
      </x:c>
      <x:c r="C35" s="9" t="str">
        <x:v>Economic profit versus accounting profit</x:v>
      </x:c>
      <x:c r="D35" s="15" t="str">
        <x:v>PART_OF</x:v>
      </x:c>
      <x:c r="E35" s="9" t="str">
        <x:v>D01</x:v>
      </x:c>
      <x:c r="F35" s="9" t="str">
        <x:v>Foundations of finance</x:v>
      </x:c>
      <x:c r="G35" s="9" t="str">
        <x:v>Curriculum membership. Use this link to move between the topic and its finance area.</x:v>
      </x:c>
      <x:c r="H35" s="9" t="str">
        <x:v>Classification only; this edge is not a causal or calculation relationship.</x:v>
      </x:c>
      <x:c r="I35" s="9" t="str">
        <x:v>Curated curriculum relationship</x:v>
      </x:c>
    </x:row>
    <x:row r="36" ht="58" customHeight="1">
      <x:c r="A36" s="10" t="str">
        <x:v>E0031</x:v>
      </x:c>
      <x:c r="B36" s="10" t="str">
        <x:v>T01.11</x:v>
      </x:c>
      <x:c r="C36" s="10" t="str">
        <x:v>Economic profit versus accounting profit</x:v>
      </x:c>
      <x:c r="D36" s="14" t="str">
        <x:v>EXPLORE_WITH</x:v>
      </x:c>
      <x:c r="E36" s="10" t="str">
        <x:v>T01.12</x:v>
      </x:c>
      <x:c r="F36" s="10" t="str">
        <x:v>Value creation versus value transfer</x:v>
      </x:c>
      <x:c r="G36" s="10" t="str">
        <x:v>Study these together to identify who supplies capital, who uses it, and how value and risk move.</x:v>
      </x:c>
      <x:c r="H36" s="10" t="str">
        <x:v>A topical exploration link, not a claim that one determines the other.</x:v>
      </x:c>
      <x:c r="I36" s="10" t="str">
        <x:v>Curated curriculum relationship</x:v>
      </x:c>
    </x:row>
    <x:row r="37" ht="58" customHeight="1">
      <x:c r="A37" s="9" t="str">
        <x:v>E0032</x:v>
      </x:c>
      <x:c r="B37" s="9" t="str">
        <x:v>T01.01</x:v>
      </x:c>
      <x:c r="C37" s="9" t="str">
        <x:v>What finance is: allocating capital across time and uncertainty</x:v>
      </x:c>
      <x:c r="D37" s="15" t="str">
        <x:v>RECOMMENDED_BEFORE</x:v>
      </x:c>
      <x:c r="E37" s="9" t="str">
        <x:v>T01.11</x:v>
      </x:c>
      <x:c r="F37" s="9" t="str">
        <x:v>Economic profit versus accounting profit</x:v>
      </x:c>
      <x:c r="G37" s="9" t="str">
        <x:v>Suggested starting knowledge: What finance is: allocating capital across time and uncertainty. It helps you identify who supplies capital, who uses it, and how value and risk move.</x:v>
      </x:c>
      <x:c r="H37" s="9" t="str">
        <x:v>Suggested learning order; learners can still explore freely.</x:v>
      </x:c>
      <x:c r="I37" s="9" t="str">
        <x:v>Curated curriculum relationship</x:v>
      </x:c>
    </x:row>
    <x:row r="38" ht="58" customHeight="1">
      <x:c r="A38" s="10" t="str">
        <x:v>E0033</x:v>
      </x:c>
      <x:c r="B38" s="10" t="str">
        <x:v>T01.12</x:v>
      </x:c>
      <x:c r="C38" s="10" t="str">
        <x:v>Value creation versus value transfer</x:v>
      </x:c>
      <x:c r="D38" s="14" t="str">
        <x:v>PART_OF</x:v>
      </x:c>
      <x:c r="E38" s="10" t="str">
        <x:v>D01</x:v>
      </x:c>
      <x:c r="F38" s="10" t="str">
        <x:v>Foundations of finance</x:v>
      </x:c>
      <x:c r="G38" s="10" t="str">
        <x:v>Curriculum membership. Use this link to move between the topic and its finance area.</x:v>
      </x:c>
      <x:c r="H38" s="10" t="str">
        <x:v>Classification only; this edge is not a causal or calculation relationship.</x:v>
      </x:c>
      <x:c r="I38" s="10" t="str">
        <x:v>Curated curriculum relationship</x:v>
      </x:c>
    </x:row>
    <x:row r="39" ht="58" customHeight="1">
      <x:c r="A39" s="9" t="str">
        <x:v>E0034</x:v>
      </x:c>
      <x:c r="B39" s="9" t="str">
        <x:v>T01.12</x:v>
      </x:c>
      <x:c r="C39" s="9" t="str">
        <x:v>Value creation versus value transfer</x:v>
      </x:c>
      <x:c r="D39" s="15" t="str">
        <x:v>EXPLORE_WITH</x:v>
      </x:c>
      <x:c r="E39" s="9" t="str">
        <x:v>T01.11</x:v>
      </x:c>
      <x:c r="F39" s="9" t="str">
        <x:v>Economic profit versus accounting profit</x:v>
      </x:c>
      <x:c r="G39" s="9" t="str">
        <x:v>Study these together to identify who supplies capital, who uses it, and how value and risk move.</x:v>
      </x:c>
      <x:c r="H39" s="9" t="str">
        <x:v>A topical exploration link, not a claim that one determines the other.</x:v>
      </x:c>
      <x:c r="I39" s="9" t="str">
        <x:v>Curated curriculum relationship</x:v>
      </x:c>
    </x:row>
    <x:row r="40" ht="58" customHeight="1">
      <x:c r="A40" s="10" t="str">
        <x:v>E0035</x:v>
      </x:c>
      <x:c r="B40" s="10" t="str">
        <x:v>T01.01</x:v>
      </x:c>
      <x:c r="C40" s="10" t="str">
        <x:v>What finance is: allocating capital across time and uncertainty</x:v>
      </x:c>
      <x:c r="D40" s="14" t="str">
        <x:v>RECOMMENDED_BEFORE</x:v>
      </x:c>
      <x:c r="E40" s="10" t="str">
        <x:v>T01.12</x:v>
      </x:c>
      <x:c r="F40" s="10" t="str">
        <x:v>Value creation versus value transfer</x:v>
      </x:c>
      <x:c r="G40" s="10" t="str">
        <x:v>Suggested starting knowledge: What finance is: allocating capital across time and uncertainty. It helps you identify who supplies capital, who uses it, and how value and risk move.</x:v>
      </x:c>
      <x:c r="H40" s="10" t="str">
        <x:v>Suggested learning order; learners can still explore freely.</x:v>
      </x:c>
      <x:c r="I40" s="10" t="str">
        <x:v>Curated curriculum relationship</x:v>
      </x:c>
    </x:row>
    <x:row r="41" ht="58" customHeight="1">
      <x:c r="A41" s="9" t="str">
        <x:v>E0036</x:v>
      </x:c>
      <x:c r="B41" s="9" t="str">
        <x:v>T01.13</x:v>
      </x:c>
      <x:c r="C41" s="9" t="str">
        <x:v>Financial decisions under certainty, risk, and uncertainty</x:v>
      </x:c>
      <x:c r="D41" s="15" t="str">
        <x:v>PART_OF</x:v>
      </x:c>
      <x:c r="E41" s="9" t="str">
        <x:v>D01</x:v>
      </x:c>
      <x:c r="F41" s="9" t="str">
        <x:v>Foundations of finance</x:v>
      </x:c>
      <x:c r="G41" s="9" t="str">
        <x:v>Curriculum membership. Use this link to move between the topic and its finance area.</x:v>
      </x:c>
      <x:c r="H41" s="9" t="str">
        <x:v>Classification only; this edge is not a causal or calculation relationship.</x:v>
      </x:c>
      <x:c r="I41" s="9" t="str">
        <x:v>Curated curriculum relationship</x:v>
      </x:c>
    </x:row>
    <x:row r="42" ht="58" customHeight="1">
      <x:c r="A42" s="10" t="str">
        <x:v>E0037</x:v>
      </x:c>
      <x:c r="B42" s="10" t="str">
        <x:v>T01.13</x:v>
      </x:c>
      <x:c r="C42" s="10" t="str">
        <x:v>Financial decisions under certainty, risk, and uncertainty</x:v>
      </x:c>
      <x:c r="D42" s="14" t="str">
        <x:v>EXPLORE_WITH</x:v>
      </x:c>
      <x:c r="E42" s="10" t="str">
        <x:v>T01.10</x:v>
      </x:c>
      <x:c r="F42" s="10" t="str">
        <x:v>Risk, return, opportunity cost, and required return</x:v>
      </x:c>
      <x:c r="G42" s="10" t="str">
        <x:v>Study these together to identify who supplies capital, who uses it, and how value and risk move.</x:v>
      </x:c>
      <x:c r="H42" s="10" t="str">
        <x:v>A topical exploration link, not a claim that one determines the other.</x:v>
      </x:c>
      <x:c r="I42" s="10" t="str">
        <x:v>Curated curriculum relationship</x:v>
      </x:c>
    </x:row>
    <x:row r="43" ht="58" customHeight="1">
      <x:c r="A43" s="9" t="str">
        <x:v>E0038</x:v>
      </x:c>
      <x:c r="B43" s="9" t="str">
        <x:v>T01.01</x:v>
      </x:c>
      <x:c r="C43" s="9" t="str">
        <x:v>What finance is: allocating capital across time and uncertainty</x:v>
      </x:c>
      <x:c r="D43" s="15" t="str">
        <x:v>RECOMMENDED_BEFORE</x:v>
      </x:c>
      <x:c r="E43" s="9" t="str">
        <x:v>T01.13</x:v>
      </x:c>
      <x:c r="F43" s="9" t="str">
        <x:v>Financial decisions under certainty, risk, and uncertainty</x:v>
      </x:c>
      <x:c r="G43" s="9" t="str">
        <x:v>Suggested starting knowledge: What finance is: allocating capital across time and uncertainty. It helps you identify who supplies capital, who uses it, and how value and risk move.</x:v>
      </x:c>
      <x:c r="H43" s="9" t="str">
        <x:v>Suggested learning order; learners can still explore freely.</x:v>
      </x:c>
      <x:c r="I43" s="9" t="str">
        <x:v>Curated curriculum relationship</x:v>
      </x:c>
    </x:row>
    <x:row r="44" ht="58" customHeight="1">
      <x:c r="A44" s="10" t="str">
        <x:v>E0039</x:v>
      </x:c>
      <x:c r="B44" s="10" t="str">
        <x:v>T01.14</x:v>
      </x:c>
      <x:c r="C44" s="10" t="str">
        <x:v>Agency problems, incentives, information asymmetry, and moral hazard</x:v>
      </x:c>
      <x:c r="D44" s="14" t="str">
        <x:v>PART_OF</x:v>
      </x:c>
      <x:c r="E44" s="10" t="str">
        <x:v>D01</x:v>
      </x:c>
      <x:c r="F44" s="10" t="str">
        <x:v>Foundations of finance</x:v>
      </x:c>
      <x:c r="G44" s="10" t="str">
        <x:v>Curriculum membership. Use this link to move between the topic and its finance area.</x:v>
      </x:c>
      <x:c r="H44" s="10" t="str">
        <x:v>Classification only; this edge is not a causal or calculation relationship.</x:v>
      </x:c>
      <x:c r="I44" s="10" t="str">
        <x:v>Curated curriculum relationship</x:v>
      </x:c>
    </x:row>
    <x:row r="45" ht="58" customHeight="1">
      <x:c r="A45" s="9" t="str">
        <x:v>E0040</x:v>
      </x:c>
      <x:c r="B45" s="9" t="str">
        <x:v>T01.14</x:v>
      </x:c>
      <x:c r="C45" s="9" t="str">
        <x:v>Agency problems, incentives, information asymmetry, and moral hazard</x:v>
      </x:c>
      <x:c r="D45" s="15" t="str">
        <x:v>EXPLORE_WITH</x:v>
      </x:c>
      <x:c r="E45" s="9" t="str">
        <x:v>T01.12</x:v>
      </x:c>
      <x:c r="F45" s="9" t="str">
        <x:v>Value creation versus value transfer</x:v>
      </x:c>
      <x:c r="G45" s="9" t="str">
        <x:v>Study these together to identify who supplies capital, who uses it, and how value and risk move.</x:v>
      </x:c>
      <x:c r="H45" s="9" t="str">
        <x:v>A topical exploration link, not a claim that one determines the other.</x:v>
      </x:c>
      <x:c r="I45" s="9" t="str">
        <x:v>Curated curriculum relationship</x:v>
      </x:c>
    </x:row>
    <x:row r="46" ht="58" customHeight="1">
      <x:c r="A46" s="10" t="str">
        <x:v>E0041</x:v>
      </x:c>
      <x:c r="B46" s="10" t="str">
        <x:v>T01.01</x:v>
      </x:c>
      <x:c r="C46" s="10" t="str">
        <x:v>What finance is: allocating capital across time and uncertainty</x:v>
      </x:c>
      <x:c r="D46" s="14" t="str">
        <x:v>RECOMMENDED_BEFORE</x:v>
      </x:c>
      <x:c r="E46" s="10" t="str">
        <x:v>T01.14</x:v>
      </x:c>
      <x:c r="F46" s="10" t="str">
        <x:v>Agency problems, incentives, information asymmetry, and moral hazard</x:v>
      </x:c>
      <x:c r="G46" s="10" t="str">
        <x:v>Suggested starting knowledge: What finance is: allocating capital across time and uncertainty. It helps you identify who supplies capital, who uses it, and how value and risk move.</x:v>
      </x:c>
      <x:c r="H46" s="10" t="str">
        <x:v>Suggested learning order; learners can still explore freely.</x:v>
      </x:c>
      <x:c r="I46" s="10" t="str">
        <x:v>Curated curriculum relationship</x:v>
      </x:c>
    </x:row>
    <x:row r="47" ht="58" customHeight="1">
      <x:c r="A47" s="9" t="str">
        <x:v>E0042</x:v>
      </x:c>
      <x:c r="B47" s="9" t="str">
        <x:v>T01.15</x:v>
      </x:c>
      <x:c r="C47" s="9" t="str">
        <x:v>Arbitrage, the law of one price, and market efficiency</x:v>
      </x:c>
      <x:c r="D47" s="15" t="str">
        <x:v>PART_OF</x:v>
      </x:c>
      <x:c r="E47" s="9" t="str">
        <x:v>D01</x:v>
      </x:c>
      <x:c r="F47" s="9" t="str">
        <x:v>Foundations of finance</x:v>
      </x:c>
      <x:c r="G47" s="9" t="str">
        <x:v>Curriculum membership. Use this link to move between the topic and its finance area.</x:v>
      </x:c>
      <x:c r="H47" s="9" t="str">
        <x:v>Classification only; this edge is not a causal or calculation relationship.</x:v>
      </x:c>
      <x:c r="I47" s="9" t="str">
        <x:v>Curated curriculum relationship</x:v>
      </x:c>
    </x:row>
    <x:row r="48" ht="58" customHeight="1">
      <x:c r="A48" s="10" t="str">
        <x:v>E0043</x:v>
      </x:c>
      <x:c r="B48" s="10" t="str">
        <x:v>T01.15</x:v>
      </x:c>
      <x:c r="C48" s="10" t="str">
        <x:v>Arbitrage, the law of one price, and market efficiency</x:v>
      </x:c>
      <x:c r="D48" s="14" t="str">
        <x:v>EXPLORE_WITH</x:v>
      </x:c>
      <x:c r="E48" s="10" t="str">
        <x:v>T01.10</x:v>
      </x:c>
      <x:c r="F48" s="10" t="str">
        <x:v>Risk, return, opportunity cost, and required return</x:v>
      </x:c>
      <x:c r="G48" s="10" t="str">
        <x:v>Study these together to identify who supplies capital, who uses it, and how value and risk move.</x:v>
      </x:c>
      <x:c r="H48" s="10" t="str">
        <x:v>A topical exploration link, not a claim that one determines the other.</x:v>
      </x:c>
      <x:c r="I48" s="10" t="str">
        <x:v>Curated curriculum relationship</x:v>
      </x:c>
    </x:row>
    <x:row r="49" ht="58" customHeight="1">
      <x:c r="A49" s="9" t="str">
        <x:v>E0044</x:v>
      </x:c>
      <x:c r="B49" s="9" t="str">
        <x:v>T01.01</x:v>
      </x:c>
      <x:c r="C49" s="9" t="str">
        <x:v>What finance is: allocating capital across time and uncertainty</x:v>
      </x:c>
      <x:c r="D49" s="15" t="str">
        <x:v>RECOMMENDED_BEFORE</x:v>
      </x:c>
      <x:c r="E49" s="9" t="str">
        <x:v>T01.15</x:v>
      </x:c>
      <x:c r="F49" s="9" t="str">
        <x:v>Arbitrage, the law of one price, and market efficiency</x:v>
      </x:c>
      <x:c r="G49" s="9" t="str">
        <x:v>Suggested starting knowledge: What finance is: allocating capital across time and uncertainty. It helps you identify who supplies capital, who uses it, and how value and risk move.</x:v>
      </x:c>
      <x:c r="H49" s="9" t="str">
        <x:v>Suggested learning order; learners can still explore freely.</x:v>
      </x:c>
      <x:c r="I49" s="9" t="str">
        <x:v>Curated curriculum relationship</x:v>
      </x:c>
    </x:row>
    <x:row r="50" ht="58" customHeight="1">
      <x:c r="A50" s="10" t="str">
        <x:v>E0045</x:v>
      </x:c>
      <x:c r="B50" s="10" t="str">
        <x:v>T02.01</x:v>
      </x:c>
      <x:c r="C50" s="10" t="str">
        <x:v>Percentages, percentage changes, percentage points, and basis points</x:v>
      </x:c>
      <x:c r="D50" s="14" t="str">
        <x:v>PART_OF</x:v>
      </x:c>
      <x:c r="E50" s="10" t="str">
        <x:v>D02</x:v>
      </x:c>
      <x:c r="F50" s="10" t="str">
        <x:v>Mathematics and quantitative foundations</x:v>
      </x:c>
      <x:c r="G50" s="10" t="str">
        <x:v>Curriculum membership. Use this link to move between the topic and its finance area.</x:v>
      </x:c>
      <x:c r="H50" s="10" t="str">
        <x:v>Classification only; this edge is not a causal or calculation relationship.</x:v>
      </x:c>
      <x:c r="I50" s="10" t="str">
        <x:v>Curated curriculum relationship</x:v>
      </x:c>
    </x:row>
    <x:row r="51" ht="58" customHeight="1">
      <x:c r="A51" s="9" t="str">
        <x:v>E0046</x:v>
      </x:c>
      <x:c r="B51" s="9" t="str">
        <x:v>T02.01</x:v>
      </x:c>
      <x:c r="C51" s="9" t="str">
        <x:v>Percentages, percentage changes, percentage points, and basis points</x:v>
      </x:c>
      <x:c r="D51" s="15" t="str">
        <x:v>EXPLORE_WITH</x:v>
      </x:c>
      <x:c r="E51" s="9" t="str">
        <x:v>T02.02</x:v>
      </x:c>
      <x:c r="F51" s="9" t="str">
        <x:v>Ratios, proportions, weighted averages, and index numbers</x:v>
      </x:c>
      <x:c r="G51" s="9" t="str">
        <x:v>Study these together to choose the right mathematical or statistical tool and interpret its result.</x:v>
      </x:c>
      <x:c r="H51" s="9" t="str">
        <x:v>A topical exploration link, not a claim that one determines the other.</x:v>
      </x:c>
      <x:c r="I51" s="9" t="str">
        <x:v>Curated curriculum relationship</x:v>
      </x:c>
    </x:row>
    <x:row r="52" ht="58" customHeight="1">
      <x:c r="A52" s="10" t="str">
        <x:v>E0047</x:v>
      </x:c>
      <x:c r="B52" s="10" t="str">
        <x:v>T01.10</x:v>
      </x:c>
      <x:c r="C52" s="10" t="str">
        <x:v>Risk, return, opportunity cost, and required return</x:v>
      </x:c>
      <x:c r="D52" s="14" t="str">
        <x:v>RECOMMENDED_BEFORE</x:v>
      </x:c>
      <x:c r="E52" s="10" t="str">
        <x:v>T02.01</x:v>
      </x:c>
      <x:c r="F52" s="10" t="str">
        <x:v>Percentages, percentage changes, percentage points, and basis points</x:v>
      </x:c>
      <x:c r="G52" s="10" t="str">
        <x:v>Suggested starting knowledge: Risk, return, opportunity cost, and required return. It helps you choose the right mathematical or statistical tool and interpret its result.</x:v>
      </x:c>
      <x:c r="H52" s="10" t="str">
        <x:v>Suggested learning order; learners can still explore freely.</x:v>
      </x:c>
      <x:c r="I52" s="10" t="str">
        <x:v>Curated curriculum relationship</x:v>
      </x:c>
    </x:row>
    <x:row r="53" ht="58" customHeight="1">
      <x:c r="A53" s="9" t="str">
        <x:v>E0048</x:v>
      </x:c>
      <x:c r="B53" s="9" t="str">
        <x:v>T02.02</x:v>
      </x:c>
      <x:c r="C53" s="9" t="str">
        <x:v>Ratios, proportions, weighted averages, and index numbers</x:v>
      </x:c>
      <x:c r="D53" s="15" t="str">
        <x:v>PART_OF</x:v>
      </x:c>
      <x:c r="E53" s="9" t="str">
        <x:v>D02</x:v>
      </x:c>
      <x:c r="F53" s="9" t="str">
        <x:v>Mathematics and quantitative foundations</x:v>
      </x:c>
      <x:c r="G53" s="9" t="str">
        <x:v>Curriculum membership. Use this link to move between the topic and its finance area.</x:v>
      </x:c>
      <x:c r="H53" s="9" t="str">
        <x:v>Classification only; this edge is not a causal or calculation relationship.</x:v>
      </x:c>
      <x:c r="I53" s="9" t="str">
        <x:v>Curated curriculum relationship</x:v>
      </x:c>
    </x:row>
    <x:row r="54" ht="58" customHeight="1">
      <x:c r="A54" s="10" t="str">
        <x:v>E0049</x:v>
      </x:c>
      <x:c r="B54" s="10" t="str">
        <x:v>T02.02</x:v>
      </x:c>
      <x:c r="C54" s="10" t="str">
        <x:v>Ratios, proportions, weighted averages, and index numbers</x:v>
      </x:c>
      <x:c r="D54" s="14" t="str">
        <x:v>EXPLORE_WITH</x:v>
      </x:c>
      <x:c r="E54" s="10" t="str">
        <x:v>T02.01</x:v>
      </x:c>
      <x:c r="F54" s="10" t="str">
        <x:v>Percentages, percentage changes, percentage points, and basis points</x:v>
      </x:c>
      <x:c r="G54" s="10" t="str">
        <x:v>Study these together to choose the right mathematical or statistical tool and interpret its result.</x:v>
      </x:c>
      <x:c r="H54" s="10" t="str">
        <x:v>A topical exploration link, not a claim that one determines the other.</x:v>
      </x:c>
      <x:c r="I54" s="10" t="str">
        <x:v>Curated curriculum relationship</x:v>
      </x:c>
    </x:row>
    <x:row r="55" ht="58" customHeight="1">
      <x:c r="A55" s="9" t="str">
        <x:v>E0050</x:v>
      </x:c>
      <x:c r="B55" s="9" t="str">
        <x:v>T01.10</x:v>
      </x:c>
      <x:c r="C55" s="9" t="str">
        <x:v>Risk, return, opportunity cost, and required return</x:v>
      </x:c>
      <x:c r="D55" s="15" t="str">
        <x:v>RECOMMENDED_BEFORE</x:v>
      </x:c>
      <x:c r="E55" s="9" t="str">
        <x:v>T02.02</x:v>
      </x:c>
      <x:c r="F55" s="9" t="str">
        <x:v>Ratios, proportions, weighted averages, and index numbers</x:v>
      </x:c>
      <x:c r="G55" s="9" t="str">
        <x:v>Suggested starting knowledge: Risk, return, opportunity cost, and required return. It helps you choose the right mathematical or statistical tool and interpret its result.</x:v>
      </x:c>
      <x:c r="H55" s="9" t="str">
        <x:v>Suggested learning order; learners can still explore freely.</x:v>
      </x:c>
      <x:c r="I55" s="9" t="str">
        <x:v>Curated curriculum relationship</x:v>
      </x:c>
    </x:row>
    <x:row r="56" ht="58" customHeight="1">
      <x:c r="A56" s="10" t="str">
        <x:v>E0051</x:v>
      </x:c>
      <x:c r="B56" s="10" t="str">
        <x:v>T02.03</x:v>
      </x:c>
      <x:c r="C56" s="10" t="str">
        <x:v>Simple interest and compound interest</x:v>
      </x:c>
      <x:c r="D56" s="14" t="str">
        <x:v>PART_OF</x:v>
      </x:c>
      <x:c r="E56" s="10" t="str">
        <x:v>D02</x:v>
      </x:c>
      <x:c r="F56" s="10" t="str">
        <x:v>Mathematics and quantitative foundations</x:v>
      </x:c>
      <x:c r="G56" s="10" t="str">
        <x:v>Curriculum membership. Use this link to move between the topic and its finance area.</x:v>
      </x:c>
      <x:c r="H56" s="10" t="str">
        <x:v>Classification only; this edge is not a causal or calculation relationship.</x:v>
      </x:c>
      <x:c r="I56" s="10" t="str">
        <x:v>Curated curriculum relationship</x:v>
      </x:c>
    </x:row>
    <x:row r="57" ht="58" customHeight="1">
      <x:c r="A57" s="9" t="str">
        <x:v>E0052</x:v>
      </x:c>
      <x:c r="B57" s="9" t="str">
        <x:v>T02.03</x:v>
      </x:c>
      <x:c r="C57" s="9" t="str">
        <x:v>Simple interest and compound interest</x:v>
      </x:c>
      <x:c r="D57" s="15" t="str">
        <x:v>EXPLORE_WITH</x:v>
      </x:c>
      <x:c r="E57" s="9" t="str">
        <x:v>T02.05</x:v>
      </x:c>
      <x:c r="F57" s="9" t="str">
        <x:v>CAGR and annualisation</x:v>
      </x:c>
      <x:c r="G57" s="9" t="str">
        <x:v>Study these together to choose the right mathematical or statistical tool and interpret its result.</x:v>
      </x:c>
      <x:c r="H57" s="9" t="str">
        <x:v>A topical exploration link, not a claim that one determines the other.</x:v>
      </x:c>
      <x:c r="I57" s="9" t="str">
        <x:v>Curated curriculum relationship</x:v>
      </x:c>
    </x:row>
    <x:row r="58" ht="58" customHeight="1">
      <x:c r="A58" s="10" t="str">
        <x:v>E0053</x:v>
      </x:c>
      <x:c r="B58" s="10" t="str">
        <x:v>T01.10</x:v>
      </x:c>
      <x:c r="C58" s="10" t="str">
        <x:v>Risk, return, opportunity cost, and required return</x:v>
      </x:c>
      <x:c r="D58" s="14" t="str">
        <x:v>RECOMMENDED_BEFORE</x:v>
      </x:c>
      <x:c r="E58" s="10" t="str">
        <x:v>T02.03</x:v>
      </x:c>
      <x:c r="F58" s="10" t="str">
        <x:v>Simple interest and compound interest</x:v>
      </x:c>
      <x:c r="G58" s="10" t="str">
        <x:v>Suggested starting knowledge: Risk, return, opportunity cost, and required return. It helps you choose the right mathematical or statistical tool and interpret its result.</x:v>
      </x:c>
      <x:c r="H58" s="10" t="str">
        <x:v>Suggested learning order; learners can still explore freely.</x:v>
      </x:c>
      <x:c r="I58" s="10" t="str">
        <x:v>Curated curriculum relationship</x:v>
      </x:c>
    </x:row>
    <x:row r="59" ht="58" customHeight="1">
      <x:c r="A59" s="9" t="str">
        <x:v>E0054</x:v>
      </x:c>
      <x:c r="B59" s="9" t="str">
        <x:v>T02.04</x:v>
      </x:c>
      <x:c r="C59" s="9" t="str">
        <x:v>Arithmetic returns, geometric returns, and logarithmic returns</x:v>
      </x:c>
      <x:c r="D59" s="15" t="str">
        <x:v>PART_OF</x:v>
      </x:c>
      <x:c r="E59" s="9" t="str">
        <x:v>D02</x:v>
      </x:c>
      <x:c r="F59" s="9" t="str">
        <x:v>Mathematics and quantitative foundations</x:v>
      </x:c>
      <x:c r="G59" s="9" t="str">
        <x:v>Curriculum membership. Use this link to move between the topic and its finance area.</x:v>
      </x:c>
      <x:c r="H59" s="9" t="str">
        <x:v>Classification only; this edge is not a causal or calculation relationship.</x:v>
      </x:c>
      <x:c r="I59" s="9" t="str">
        <x:v>Curated curriculum relationship</x:v>
      </x:c>
    </x:row>
    <x:row r="60" ht="58" customHeight="1">
      <x:c r="A60" s="10" t="str">
        <x:v>E0055</x:v>
      </x:c>
      <x:c r="B60" s="10" t="str">
        <x:v>T02.04</x:v>
      </x:c>
      <x:c r="C60" s="10" t="str">
        <x:v>Arithmetic returns, geometric returns, and logarithmic returns</x:v>
      </x:c>
      <x:c r="D60" s="14" t="str">
        <x:v>EXPLORE_WITH</x:v>
      </x:c>
      <x:c r="E60" s="10" t="str">
        <x:v>T02.05</x:v>
      </x:c>
      <x:c r="F60" s="10" t="str">
        <x:v>CAGR and annualisation</x:v>
      </x:c>
      <x:c r="G60" s="10" t="str">
        <x:v>Study these together to choose the right mathematical or statistical tool and interpret its result.</x:v>
      </x:c>
      <x:c r="H60" s="10" t="str">
        <x:v>A topical exploration link, not a claim that one determines the other.</x:v>
      </x:c>
      <x:c r="I60" s="10" t="str">
        <x:v>Curated curriculum relationship</x:v>
      </x:c>
    </x:row>
    <x:row r="61" ht="58" customHeight="1">
      <x:c r="A61" s="9" t="str">
        <x:v>E0056</x:v>
      </x:c>
      <x:c r="B61" s="9" t="str">
        <x:v>T01.10</x:v>
      </x:c>
      <x:c r="C61" s="9" t="str">
        <x:v>Risk, return, opportunity cost, and required return</x:v>
      </x:c>
      <x:c r="D61" s="15" t="str">
        <x:v>RECOMMENDED_BEFORE</x:v>
      </x:c>
      <x:c r="E61" s="9" t="str">
        <x:v>T02.04</x:v>
      </x:c>
      <x:c r="F61" s="9" t="str">
        <x:v>Arithmetic returns, geometric returns, and logarithmic returns</x:v>
      </x:c>
      <x:c r="G61" s="9" t="str">
        <x:v>Suggested starting knowledge: Risk, return, opportunity cost, and required return. It helps you choose the right mathematical or statistical tool and interpret its result.</x:v>
      </x:c>
      <x:c r="H61" s="9" t="str">
        <x:v>Suggested learning order; learners can still explore freely.</x:v>
      </x:c>
      <x:c r="I61" s="9" t="str">
        <x:v>Curated curriculum relationship</x:v>
      </x:c>
    </x:row>
    <x:row r="62" ht="58" customHeight="1">
      <x:c r="A62" s="10" t="str">
        <x:v>E0057</x:v>
      </x:c>
      <x:c r="B62" s="10" t="str">
        <x:v>T02.05</x:v>
      </x:c>
      <x:c r="C62" s="10" t="str">
        <x:v>CAGR and annualisation</x:v>
      </x:c>
      <x:c r="D62" s="14" t="str">
        <x:v>PART_OF</x:v>
      </x:c>
      <x:c r="E62" s="10" t="str">
        <x:v>D02</x:v>
      </x:c>
      <x:c r="F62" s="10" t="str">
        <x:v>Mathematics and quantitative foundations</x:v>
      </x:c>
      <x:c r="G62" s="10" t="str">
        <x:v>Curriculum membership. Use this link to move between the topic and its finance area.</x:v>
      </x:c>
      <x:c r="H62" s="10" t="str">
        <x:v>Classification only; this edge is not a causal or calculation relationship.</x:v>
      </x:c>
      <x:c r="I62" s="10" t="str">
        <x:v>Curated curriculum relationship</x:v>
      </x:c>
    </x:row>
    <x:row r="63" ht="58" customHeight="1">
      <x:c r="A63" s="9" t="str">
        <x:v>E0058</x:v>
      </x:c>
      <x:c r="B63" s="9" t="str">
        <x:v>T02.05</x:v>
      </x:c>
      <x:c r="C63" s="9" t="str">
        <x:v>CAGR and annualisation</x:v>
      </x:c>
      <x:c r="D63" s="15" t="str">
        <x:v>EXPLORE_WITH</x:v>
      </x:c>
      <x:c r="E63" s="9" t="str">
        <x:v>T02.04</x:v>
      </x:c>
      <x:c r="F63" s="9" t="str">
        <x:v>Arithmetic returns, geometric returns, and logarithmic returns</x:v>
      </x:c>
      <x:c r="G63" s="9" t="str">
        <x:v>Study these together to choose the right mathematical or statistical tool and interpret its result.</x:v>
      </x:c>
      <x:c r="H63" s="9" t="str">
        <x:v>A topical exploration link, not a claim that one determines the other.</x:v>
      </x:c>
      <x:c r="I63" s="9" t="str">
        <x:v>Curated curriculum relationship</x:v>
      </x:c>
    </x:row>
    <x:row r="64" ht="58" customHeight="1">
      <x:c r="A64" s="10" t="str">
        <x:v>E0059</x:v>
      </x:c>
      <x:c r="B64" s="10" t="str">
        <x:v>T01.10</x:v>
      </x:c>
      <x:c r="C64" s="10" t="str">
        <x:v>Risk, return, opportunity cost, and required return</x:v>
      </x:c>
      <x:c r="D64" s="14" t="str">
        <x:v>RECOMMENDED_BEFORE</x:v>
      </x:c>
      <x:c r="E64" s="10" t="str">
        <x:v>T02.05</x:v>
      </x:c>
      <x:c r="F64" s="10" t="str">
        <x:v>CAGR and annualisation</x:v>
      </x:c>
      <x:c r="G64" s="10" t="str">
        <x:v>Suggested starting knowledge: Risk, return, opportunity cost, and required return. It helps you choose the right mathematical or statistical tool and interpret its result.</x:v>
      </x:c>
      <x:c r="H64" s="10" t="str">
        <x:v>Suggested learning order; learners can still explore freely.</x:v>
      </x:c>
      <x:c r="I64" s="10" t="str">
        <x:v>Curated curriculum relationship</x:v>
      </x:c>
    </x:row>
    <x:row r="65" ht="58" customHeight="1">
      <x:c r="A65" s="9" t="str">
        <x:v>E0060</x:v>
      </x:c>
      <x:c r="B65" s="9" t="str">
        <x:v>T02.06</x:v>
      </x:c>
      <x:c r="C65" s="9" t="str">
        <x:v>Exponents, logarithms, and growth equations</x:v>
      </x:c>
      <x:c r="D65" s="15" t="str">
        <x:v>PART_OF</x:v>
      </x:c>
      <x:c r="E65" s="9" t="str">
        <x:v>D02</x:v>
      </x:c>
      <x:c r="F65" s="9" t="str">
        <x:v>Mathematics and quantitative foundations</x:v>
      </x:c>
      <x:c r="G65" s="9" t="str">
        <x:v>Curriculum membership. Use this link to move between the topic and its finance area.</x:v>
      </x:c>
      <x:c r="H65" s="9" t="str">
        <x:v>Classification only; this edge is not a causal or calculation relationship.</x:v>
      </x:c>
      <x:c r="I65" s="9" t="str">
        <x:v>Curated curriculum relationship</x:v>
      </x:c>
    </x:row>
    <x:row r="66" ht="58" customHeight="1">
      <x:c r="A66" s="10" t="str">
        <x:v>E0061</x:v>
      </x:c>
      <x:c r="B66" s="10" t="str">
        <x:v>T02.06</x:v>
      </x:c>
      <x:c r="C66" s="10" t="str">
        <x:v>Exponents, logarithms, and growth equations</x:v>
      </x:c>
      <x:c r="D66" s="14" t="str">
        <x:v>EXPLORE_WITH</x:v>
      </x:c>
      <x:c r="E66" s="10" t="str">
        <x:v>T02.05</x:v>
      </x:c>
      <x:c r="F66" s="10" t="str">
        <x:v>CAGR and annualisation</x:v>
      </x:c>
      <x:c r="G66" s="10" t="str">
        <x:v>Study these together to choose the right mathematical or statistical tool and interpret its result.</x:v>
      </x:c>
      <x:c r="H66" s="10" t="str">
        <x:v>A topical exploration link, not a claim that one determines the other.</x:v>
      </x:c>
      <x:c r="I66" s="10" t="str">
        <x:v>Curated curriculum relationship</x:v>
      </x:c>
    </x:row>
    <x:row r="67" ht="58" customHeight="1">
      <x:c r="A67" s="9" t="str">
        <x:v>E0062</x:v>
      </x:c>
      <x:c r="B67" s="9" t="str">
        <x:v>T01.10</x:v>
      </x:c>
      <x:c r="C67" s="9" t="str">
        <x:v>Risk, return, opportunity cost, and required return</x:v>
      </x:c>
      <x:c r="D67" s="15" t="str">
        <x:v>RECOMMENDED_BEFORE</x:v>
      </x:c>
      <x:c r="E67" s="9" t="str">
        <x:v>T02.06</x:v>
      </x:c>
      <x:c r="F67" s="9" t="str">
        <x:v>Exponents, logarithms, and growth equations</x:v>
      </x:c>
      <x:c r="G67" s="9" t="str">
        <x:v>Suggested starting knowledge: Risk, return, opportunity cost, and required return. It helps you choose the right mathematical or statistical tool and interpret its result.</x:v>
      </x:c>
      <x:c r="H67" s="9" t="str">
        <x:v>Suggested learning order; learners can still explore freely.</x:v>
      </x:c>
      <x:c r="I67" s="9" t="str">
        <x:v>Curated curriculum relationship</x:v>
      </x:c>
    </x:row>
    <x:row r="68" ht="58" customHeight="1">
      <x:c r="A68" s="10" t="str">
        <x:v>E0063</x:v>
      </x:c>
      <x:c r="B68" s="10" t="str">
        <x:v>T02.07</x:v>
      </x:c>
      <x:c r="C68" s="10" t="str">
        <x:v>Probability, conditional probability, and Bayes' theorem</x:v>
      </x:c>
      <x:c r="D68" s="14" t="str">
        <x:v>PART_OF</x:v>
      </x:c>
      <x:c r="E68" s="10" t="str">
        <x:v>D02</x:v>
      </x:c>
      <x:c r="F68" s="10" t="str">
        <x:v>Mathematics and quantitative foundations</x:v>
      </x:c>
      <x:c r="G68" s="10" t="str">
        <x:v>Curriculum membership. Use this link to move between the topic and its finance area.</x:v>
      </x:c>
      <x:c r="H68" s="10" t="str">
        <x:v>Classification only; this edge is not a causal or calculation relationship.</x:v>
      </x:c>
      <x:c r="I68" s="10" t="str">
        <x:v>Curated curriculum relationship</x:v>
      </x:c>
    </x:row>
    <x:row r="69" ht="58" customHeight="1">
      <x:c r="A69" s="9" t="str">
        <x:v>E0064</x:v>
      </x:c>
      <x:c r="B69" s="9" t="str">
        <x:v>T02.07</x:v>
      </x:c>
      <x:c r="C69" s="9" t="str">
        <x:v>Probability, conditional probability, and Bayes' theorem</x:v>
      </x:c>
      <x:c r="D69" s="15" t="str">
        <x:v>EXPLORE_WITH</x:v>
      </x:c>
      <x:c r="E69" s="9" t="str">
        <x:v>T02.08</x:v>
      </x:c>
      <x:c r="F69" s="9" t="str">
        <x:v>Expected value, variance, standard deviation, and covariance</x:v>
      </x:c>
      <x:c r="G69" s="9" t="str">
        <x:v>Study these together to choose the right mathematical or statistical tool and interpret its result.</x:v>
      </x:c>
      <x:c r="H69" s="9" t="str">
        <x:v>A topical exploration link, not a claim that one determines the other.</x:v>
      </x:c>
      <x:c r="I69" s="9" t="str">
        <x:v>Curated curriculum relationship</x:v>
      </x:c>
    </x:row>
    <x:row r="70" ht="58" customHeight="1">
      <x:c r="A70" s="10" t="str">
        <x:v>E0065</x:v>
      </x:c>
      <x:c r="B70" s="10" t="str">
        <x:v>T01.10</x:v>
      </x:c>
      <x:c r="C70" s="10" t="str">
        <x:v>Risk, return, opportunity cost, and required return</x:v>
      </x:c>
      <x:c r="D70" s="14" t="str">
        <x:v>RECOMMENDED_BEFORE</x:v>
      </x:c>
      <x:c r="E70" s="10" t="str">
        <x:v>T02.07</x:v>
      </x:c>
      <x:c r="F70" s="10" t="str">
        <x:v>Probability, conditional probability, and Bayes' theorem</x:v>
      </x:c>
      <x:c r="G70" s="10" t="str">
        <x:v>Suggested starting knowledge: Risk, return, opportunity cost, and required return. It helps you choose the right mathematical or statistical tool and interpret its result.</x:v>
      </x:c>
      <x:c r="H70" s="10" t="str">
        <x:v>Suggested learning order; learners can still explore freely.</x:v>
      </x:c>
      <x:c r="I70" s="10" t="str">
        <x:v>Curated curriculum relationship</x:v>
      </x:c>
    </x:row>
    <x:row r="71" ht="58" customHeight="1">
      <x:c r="A71" s="9" t="str">
        <x:v>E0066</x:v>
      </x:c>
      <x:c r="B71" s="9" t="str">
        <x:v>T02.08</x:v>
      </x:c>
      <x:c r="C71" s="9" t="str">
        <x:v>Expected value, variance, standard deviation, and covariance</x:v>
      </x:c>
      <x:c r="D71" s="15" t="str">
        <x:v>PART_OF</x:v>
      </x:c>
      <x:c r="E71" s="9" t="str">
        <x:v>D02</x:v>
      </x:c>
      <x:c r="F71" s="9" t="str">
        <x:v>Mathematics and quantitative foundations</x:v>
      </x:c>
      <x:c r="G71" s="9" t="str">
        <x:v>Curriculum membership. Use this link to move between the topic and its finance area.</x:v>
      </x:c>
      <x:c r="H71" s="9" t="str">
        <x:v>Classification only; this edge is not a causal or calculation relationship.</x:v>
      </x:c>
      <x:c r="I71" s="9" t="str">
        <x:v>Curated curriculum relationship</x:v>
      </x:c>
    </x:row>
    <x:row r="72" ht="58" customHeight="1">
      <x:c r="A72" s="10" t="str">
        <x:v>E0067</x:v>
      </x:c>
      <x:c r="B72" s="10" t="str">
        <x:v>T02.08</x:v>
      </x:c>
      <x:c r="C72" s="10" t="str">
        <x:v>Expected value, variance, standard deviation, and covariance</x:v>
      </x:c>
      <x:c r="D72" s="14" t="str">
        <x:v>EXPLORE_WITH</x:v>
      </x:c>
      <x:c r="E72" s="10" t="str">
        <x:v>T02.09</x:v>
      </x:c>
      <x:c r="F72" s="10" t="str">
        <x:v>Correlation and its limitations</x:v>
      </x:c>
      <x:c r="G72" s="10" t="str">
        <x:v>Study these together to choose the right mathematical or statistical tool and interpret its result.</x:v>
      </x:c>
      <x:c r="H72" s="10" t="str">
        <x:v>A topical exploration link, not a claim that one determines the other.</x:v>
      </x:c>
      <x:c r="I72" s="10" t="str">
        <x:v>Curated curriculum relationship</x:v>
      </x:c>
    </x:row>
    <x:row r="73" ht="58" customHeight="1">
      <x:c r="A73" s="9" t="str">
        <x:v>E0068</x:v>
      </x:c>
      <x:c r="B73" s="9" t="str">
        <x:v>T01.10</x:v>
      </x:c>
      <x:c r="C73" s="9" t="str">
        <x:v>Risk, return, opportunity cost, and required return</x:v>
      </x:c>
      <x:c r="D73" s="15" t="str">
        <x:v>RECOMMENDED_BEFORE</x:v>
      </x:c>
      <x:c r="E73" s="9" t="str">
        <x:v>T02.08</x:v>
      </x:c>
      <x:c r="F73" s="9" t="str">
        <x:v>Expected value, variance, standard deviation, and covariance</x:v>
      </x:c>
      <x:c r="G73" s="9" t="str">
        <x:v>Suggested starting knowledge: Risk, return, opportunity cost, and required return. It helps you choose the right mathematical or statistical tool and interpret its result.</x:v>
      </x:c>
      <x:c r="H73" s="9" t="str">
        <x:v>Suggested learning order; learners can still explore freely.</x:v>
      </x:c>
      <x:c r="I73" s="9" t="str">
        <x:v>Curated curriculum relationship</x:v>
      </x:c>
    </x:row>
    <x:row r="74" ht="58" customHeight="1">
      <x:c r="A74" s="10" t="str">
        <x:v>E0069</x:v>
      </x:c>
      <x:c r="B74" s="10" t="str">
        <x:v>T02.09</x:v>
      </x:c>
      <x:c r="C74" s="10" t="str">
        <x:v>Correlation and its limitations</x:v>
      </x:c>
      <x:c r="D74" s="14" t="str">
        <x:v>PART_OF</x:v>
      </x:c>
      <x:c r="E74" s="10" t="str">
        <x:v>D02</x:v>
      </x:c>
      <x:c r="F74" s="10" t="str">
        <x:v>Mathematics and quantitative foundations</x:v>
      </x:c>
      <x:c r="G74" s="10" t="str">
        <x:v>Curriculum membership. Use this link to move between the topic and its finance area.</x:v>
      </x:c>
      <x:c r="H74" s="10" t="str">
        <x:v>Classification only; this edge is not a causal or calculation relationship.</x:v>
      </x:c>
      <x:c r="I74" s="10" t="str">
        <x:v>Curated curriculum relationship</x:v>
      </x:c>
    </x:row>
    <x:row r="75" ht="58" customHeight="1">
      <x:c r="A75" s="9" t="str">
        <x:v>E0070</x:v>
      </x:c>
      <x:c r="B75" s="9" t="str">
        <x:v>T02.09</x:v>
      </x:c>
      <x:c r="C75" s="9" t="str">
        <x:v>Correlation and its limitations</x:v>
      </x:c>
      <x:c r="D75" s="15" t="str">
        <x:v>EXPLORE_WITH</x:v>
      </x:c>
      <x:c r="E75" s="9" t="str">
        <x:v>T02.08</x:v>
      </x:c>
      <x:c r="F75" s="9" t="str">
        <x:v>Expected value, variance, standard deviation, and covariance</x:v>
      </x:c>
      <x:c r="G75" s="9" t="str">
        <x:v>Study these together to choose the right mathematical or statistical tool and interpret its result.</x:v>
      </x:c>
      <x:c r="H75" s="9" t="str">
        <x:v>A topical exploration link, not a claim that one determines the other.</x:v>
      </x:c>
      <x:c r="I75" s="9" t="str">
        <x:v>Curated curriculum relationship</x:v>
      </x:c>
    </x:row>
    <x:row r="76" ht="58" customHeight="1">
      <x:c r="A76" s="10" t="str">
        <x:v>E0071</x:v>
      </x:c>
      <x:c r="B76" s="10" t="str">
        <x:v>T01.10</x:v>
      </x:c>
      <x:c r="C76" s="10" t="str">
        <x:v>Risk, return, opportunity cost, and required return</x:v>
      </x:c>
      <x:c r="D76" s="14" t="str">
        <x:v>RECOMMENDED_BEFORE</x:v>
      </x:c>
      <x:c r="E76" s="10" t="str">
        <x:v>T02.09</x:v>
      </x:c>
      <x:c r="F76" s="10" t="str">
        <x:v>Correlation and its limitations</x:v>
      </x:c>
      <x:c r="G76" s="10" t="str">
        <x:v>Suggested starting knowledge: Risk, return, opportunity cost, and required return. It helps you choose the right mathematical or statistical tool and interpret its result.</x:v>
      </x:c>
      <x:c r="H76" s="10" t="str">
        <x:v>Suggested learning order; learners can still explore freely.</x:v>
      </x:c>
      <x:c r="I76" s="10" t="str">
        <x:v>Curated curriculum relationship</x:v>
      </x:c>
    </x:row>
    <x:row r="77" ht="58" customHeight="1">
      <x:c r="A77" s="9" t="str">
        <x:v>E0072</x:v>
      </x:c>
      <x:c r="B77" s="9" t="str">
        <x:v>T02.10</x:v>
      </x:c>
      <x:c r="C77" s="9" t="str">
        <x:v>Probability distributions, skewness, kurtosis, and tail risk</x:v>
      </x:c>
      <x:c r="D77" s="15" t="str">
        <x:v>PART_OF</x:v>
      </x:c>
      <x:c r="E77" s="9" t="str">
        <x:v>D02</x:v>
      </x:c>
      <x:c r="F77" s="9" t="str">
        <x:v>Mathematics and quantitative foundations</x:v>
      </x:c>
      <x:c r="G77" s="9" t="str">
        <x:v>Curriculum membership. Use this link to move between the topic and its finance area.</x:v>
      </x:c>
      <x:c r="H77" s="9" t="str">
        <x:v>Classification only; this edge is not a causal or calculation relationship.</x:v>
      </x:c>
      <x:c r="I77" s="9" t="str">
        <x:v>Curated curriculum relationship</x:v>
      </x:c>
    </x:row>
    <x:row r="78" ht="58" customHeight="1">
      <x:c r="A78" s="10" t="str">
        <x:v>E0073</x:v>
      </x:c>
      <x:c r="B78" s="10" t="str">
        <x:v>T02.10</x:v>
      </x:c>
      <x:c r="C78" s="10" t="str">
        <x:v>Probability distributions, skewness, kurtosis, and tail risk</x:v>
      </x:c>
      <x:c r="D78" s="14" t="str">
        <x:v>EXPLORE_WITH</x:v>
      </x:c>
      <x:c r="E78" s="10" t="str">
        <x:v>T02.08</x:v>
      </x:c>
      <x:c r="F78" s="10" t="str">
        <x:v>Expected value, variance, standard deviation, and covariance</x:v>
      </x:c>
      <x:c r="G78" s="10" t="str">
        <x:v>Study these together to choose the right mathematical or statistical tool and interpret its result.</x:v>
      </x:c>
      <x:c r="H78" s="10" t="str">
        <x:v>A topical exploration link, not a claim that one determines the other.</x:v>
      </x:c>
      <x:c r="I78" s="10" t="str">
        <x:v>Curated curriculum relationship</x:v>
      </x:c>
    </x:row>
    <x:row r="79" ht="58" customHeight="1">
      <x:c r="A79" s="9" t="str">
        <x:v>E0074</x:v>
      </x:c>
      <x:c r="B79" s="9" t="str">
        <x:v>T01.10</x:v>
      </x:c>
      <x:c r="C79" s="9" t="str">
        <x:v>Risk, return, opportunity cost, and required return</x:v>
      </x:c>
      <x:c r="D79" s="15" t="str">
        <x:v>RECOMMENDED_BEFORE</x:v>
      </x:c>
      <x:c r="E79" s="9" t="str">
        <x:v>T02.10</x:v>
      </x:c>
      <x:c r="F79" s="9" t="str">
        <x:v>Probability distributions, skewness, kurtosis, and tail risk</x:v>
      </x:c>
      <x:c r="G79" s="9" t="str">
        <x:v>Suggested starting knowledge: Risk, return, opportunity cost, and required return. It helps you choose the right mathematical or statistical tool and interpret its result.</x:v>
      </x:c>
      <x:c r="H79" s="9" t="str">
        <x:v>Suggested learning order; learners can still explore freely.</x:v>
      </x:c>
      <x:c r="I79" s="9" t="str">
        <x:v>Curated curriculum relationship</x:v>
      </x:c>
    </x:row>
    <x:row r="80" ht="58" customHeight="1">
      <x:c r="A80" s="10" t="str">
        <x:v>E0075</x:v>
      </x:c>
      <x:c r="B80" s="10" t="str">
        <x:v>T02.11</x:v>
      </x:c>
      <x:c r="C80" s="10" t="str">
        <x:v>Sampling, estimation, confidence intervals, and hypothesis testing</x:v>
      </x:c>
      <x:c r="D80" s="14" t="str">
        <x:v>PART_OF</x:v>
      </x:c>
      <x:c r="E80" s="10" t="str">
        <x:v>D02</x:v>
      </x:c>
      <x:c r="F80" s="10" t="str">
        <x:v>Mathematics and quantitative foundations</x:v>
      </x:c>
      <x:c r="G80" s="10" t="str">
        <x:v>Curriculum membership. Use this link to move between the topic and its finance area.</x:v>
      </x:c>
      <x:c r="H80" s="10" t="str">
        <x:v>Classification only; this edge is not a causal or calculation relationship.</x:v>
      </x:c>
      <x:c r="I80" s="10" t="str">
        <x:v>Curated curriculum relationship</x:v>
      </x:c>
    </x:row>
    <x:row r="81" ht="58" customHeight="1">
      <x:c r="A81" s="9" t="str">
        <x:v>E0076</x:v>
      </x:c>
      <x:c r="B81" s="9" t="str">
        <x:v>T02.11</x:v>
      </x:c>
      <x:c r="C81" s="9" t="str">
        <x:v>Sampling, estimation, confidence intervals, and hypothesis testing</x:v>
      </x:c>
      <x:c r="D81" s="15" t="str">
        <x:v>EXPLORE_WITH</x:v>
      </x:c>
      <x:c r="E81" s="9" t="str">
        <x:v>T02.12</x:v>
      </x:c>
      <x:c r="F81" s="9" t="str">
        <x:v>Regression, statistical significance, and economic significance</x:v>
      </x:c>
      <x:c r="G81" s="9" t="str">
        <x:v>Study these together to choose the right mathematical or statistical tool and interpret its result.</x:v>
      </x:c>
      <x:c r="H81" s="9" t="str">
        <x:v>A topical exploration link, not a claim that one determines the other.</x:v>
      </x:c>
      <x:c r="I81" s="9" t="str">
        <x:v>Curated curriculum relationship</x:v>
      </x:c>
    </x:row>
    <x:row r="82" ht="58" customHeight="1">
      <x:c r="A82" s="10" t="str">
        <x:v>E0077</x:v>
      </x:c>
      <x:c r="B82" s="10" t="str">
        <x:v>T01.10</x:v>
      </x:c>
      <x:c r="C82" s="10" t="str">
        <x:v>Risk, return, opportunity cost, and required return</x:v>
      </x:c>
      <x:c r="D82" s="14" t="str">
        <x:v>RECOMMENDED_BEFORE</x:v>
      </x:c>
      <x:c r="E82" s="10" t="str">
        <x:v>T02.11</x:v>
      </x:c>
      <x:c r="F82" s="10" t="str">
        <x:v>Sampling, estimation, confidence intervals, and hypothesis testing</x:v>
      </x:c>
      <x:c r="G82" s="10" t="str">
        <x:v>Suggested starting knowledge: Risk, return, opportunity cost, and required return. It helps you choose the right mathematical or statistical tool and interpret its result.</x:v>
      </x:c>
      <x:c r="H82" s="10" t="str">
        <x:v>Suggested learning order; learners can still explore freely.</x:v>
      </x:c>
      <x:c r="I82" s="10" t="str">
        <x:v>Curated curriculum relationship</x:v>
      </x:c>
    </x:row>
    <x:row r="83" ht="58" customHeight="1">
      <x:c r="A83" s="9" t="str">
        <x:v>E0078</x:v>
      </x:c>
      <x:c r="B83" s="9" t="str">
        <x:v>T02.12</x:v>
      </x:c>
      <x:c r="C83" s="9" t="str">
        <x:v>Regression, statistical significance, and economic significance</x:v>
      </x:c>
      <x:c r="D83" s="15" t="str">
        <x:v>PART_OF</x:v>
      </x:c>
      <x:c r="E83" s="9" t="str">
        <x:v>D02</x:v>
      </x:c>
      <x:c r="F83" s="9" t="str">
        <x:v>Mathematics and quantitative foundations</x:v>
      </x:c>
      <x:c r="G83" s="9" t="str">
        <x:v>Curriculum membership. Use this link to move between the topic and its finance area.</x:v>
      </x:c>
      <x:c r="H83" s="9" t="str">
        <x:v>Classification only; this edge is not a causal or calculation relationship.</x:v>
      </x:c>
      <x:c r="I83" s="9" t="str">
        <x:v>Curated curriculum relationship</x:v>
      </x:c>
    </x:row>
    <x:row r="84" ht="58" customHeight="1">
      <x:c r="A84" s="10" t="str">
        <x:v>E0079</x:v>
      </x:c>
      <x:c r="B84" s="10" t="str">
        <x:v>T02.12</x:v>
      </x:c>
      <x:c r="C84" s="10" t="str">
        <x:v>Regression, statistical significance, and economic significance</x:v>
      </x:c>
      <x:c r="D84" s="14" t="str">
        <x:v>EXPLORE_WITH</x:v>
      </x:c>
      <x:c r="E84" s="10" t="str">
        <x:v>T02.11</x:v>
      </x:c>
      <x:c r="F84" s="10" t="str">
        <x:v>Sampling, estimation, confidence intervals, and hypothesis testing</x:v>
      </x:c>
      <x:c r="G84" s="10" t="str">
        <x:v>Study these together to choose the right mathematical or statistical tool and interpret its result.</x:v>
      </x:c>
      <x:c r="H84" s="10" t="str">
        <x:v>A topical exploration link, not a claim that one determines the other.</x:v>
      </x:c>
      <x:c r="I84" s="10" t="str">
        <x:v>Curated curriculum relationship</x:v>
      </x:c>
    </x:row>
    <x:row r="85" ht="58" customHeight="1">
      <x:c r="A85" s="9" t="str">
        <x:v>E0080</x:v>
      </x:c>
      <x:c r="B85" s="9" t="str">
        <x:v>T01.10</x:v>
      </x:c>
      <x:c r="C85" s="9" t="str">
        <x:v>Risk, return, opportunity cost, and required return</x:v>
      </x:c>
      <x:c r="D85" s="15" t="str">
        <x:v>RECOMMENDED_BEFORE</x:v>
      </x:c>
      <x:c r="E85" s="9" t="str">
        <x:v>T02.12</x:v>
      </x:c>
      <x:c r="F85" s="9" t="str">
        <x:v>Regression, statistical significance, and economic significance</x:v>
      </x:c>
      <x:c r="G85" s="9" t="str">
        <x:v>Suggested starting knowledge: Risk, return, opportunity cost, and required return. It helps you choose the right mathematical or statistical tool and interpret its result.</x:v>
      </x:c>
      <x:c r="H85" s="9" t="str">
        <x:v>Suggested learning order; learners can still explore freely.</x:v>
      </x:c>
      <x:c r="I85" s="9" t="str">
        <x:v>Curated curriculum relationship</x:v>
      </x:c>
    </x:row>
    <x:row r="86" ht="58" customHeight="1">
      <x:c r="A86" s="10" t="str">
        <x:v>E0081</x:v>
      </x:c>
      <x:c r="B86" s="10" t="str">
        <x:v>T02.13</x:v>
      </x:c>
      <x:c r="C86" s="10" t="str">
        <x:v>Time-series foundations, stationarity, autocorrelation, and volatility</x:v>
      </x:c>
      <x:c r="D86" s="14" t="str">
        <x:v>PART_OF</x:v>
      </x:c>
      <x:c r="E86" s="10" t="str">
        <x:v>D02</x:v>
      </x:c>
      <x:c r="F86" s="10" t="str">
        <x:v>Mathematics and quantitative foundations</x:v>
      </x:c>
      <x:c r="G86" s="10" t="str">
        <x:v>Curriculum membership. Use this link to move between the topic and its finance area.</x:v>
      </x:c>
      <x:c r="H86" s="10" t="str">
        <x:v>Classification only; this edge is not a causal or calculation relationship.</x:v>
      </x:c>
      <x:c r="I86" s="10" t="str">
        <x:v>Curated curriculum relationship</x:v>
      </x:c>
    </x:row>
    <x:row r="87" ht="58" customHeight="1">
      <x:c r="A87" s="9" t="str">
        <x:v>E0082</x:v>
      </x:c>
      <x:c r="B87" s="9" t="str">
        <x:v>T02.13</x:v>
      </x:c>
      <x:c r="C87" s="9" t="str">
        <x:v>Time-series foundations, stationarity, autocorrelation, and volatility</x:v>
      </x:c>
      <x:c r="D87" s="15" t="str">
        <x:v>EXPLORE_WITH</x:v>
      </x:c>
      <x:c r="E87" s="9" t="str">
        <x:v>T02.12</x:v>
      </x:c>
      <x:c r="F87" s="9" t="str">
        <x:v>Regression, statistical significance, and economic significance</x:v>
      </x:c>
      <x:c r="G87" s="9" t="str">
        <x:v>Study these together to choose the right mathematical or statistical tool and interpret its result.</x:v>
      </x:c>
      <x:c r="H87" s="9" t="str">
        <x:v>A topical exploration link, not a claim that one determines the other.</x:v>
      </x:c>
      <x:c r="I87" s="9" t="str">
        <x:v>Curated curriculum relationship</x:v>
      </x:c>
    </x:row>
    <x:row r="88" ht="58" customHeight="1">
      <x:c r="A88" s="10" t="str">
        <x:v>E0083</x:v>
      </x:c>
      <x:c r="B88" s="10" t="str">
        <x:v>T01.10</x:v>
      </x:c>
      <x:c r="C88" s="10" t="str">
        <x:v>Risk, return, opportunity cost, and required return</x:v>
      </x:c>
      <x:c r="D88" s="14" t="str">
        <x:v>RECOMMENDED_BEFORE</x:v>
      </x:c>
      <x:c r="E88" s="10" t="str">
        <x:v>T02.13</x:v>
      </x:c>
      <x:c r="F88" s="10" t="str">
        <x:v>Time-series foundations, stationarity, autocorrelation, and volatility</x:v>
      </x:c>
      <x:c r="G88" s="10" t="str">
        <x:v>Suggested starting knowledge: Risk, return, opportunity cost, and required return. It helps you choose the right mathematical or statistical tool and interpret its result.</x:v>
      </x:c>
      <x:c r="H88" s="10" t="str">
        <x:v>Suggested learning order; learners can still explore freely.</x:v>
      </x:c>
      <x:c r="I88" s="10" t="str">
        <x:v>Curated curriculum relationship</x:v>
      </x:c>
    </x:row>
    <x:row r="89" ht="58" customHeight="1">
      <x:c r="A89" s="9" t="str">
        <x:v>E0084</x:v>
      </x:c>
      <x:c r="B89" s="9" t="str">
        <x:v>T02.14</x:v>
      </x:c>
      <x:c r="C89" s="9" t="str">
        <x:v>Optimisation, linear algebra, and calculus for finance</x:v>
      </x:c>
      <x:c r="D89" s="15" t="str">
        <x:v>PART_OF</x:v>
      </x:c>
      <x:c r="E89" s="9" t="str">
        <x:v>D02</x:v>
      </x:c>
      <x:c r="F89" s="9" t="str">
        <x:v>Mathematics and quantitative foundations</x:v>
      </x:c>
      <x:c r="G89" s="9" t="str">
        <x:v>Curriculum membership. Use this link to move between the topic and its finance area.</x:v>
      </x:c>
      <x:c r="H89" s="9" t="str">
        <x:v>Classification only; this edge is not a causal or calculation relationship.</x:v>
      </x:c>
      <x:c r="I89" s="9" t="str">
        <x:v>Curated curriculum relationship</x:v>
      </x:c>
    </x:row>
    <x:row r="90" ht="58" customHeight="1">
      <x:c r="A90" s="10" t="str">
        <x:v>E0085</x:v>
      </x:c>
      <x:c r="B90" s="10" t="str">
        <x:v>T02.14</x:v>
      </x:c>
      <x:c r="C90" s="10" t="str">
        <x:v>Optimisation, linear algebra, and calculus for finance</x:v>
      </x:c>
      <x:c r="D90" s="14" t="str">
        <x:v>EXPLORE_WITH</x:v>
      </x:c>
      <x:c r="E90" s="10" t="str">
        <x:v>T02.15</x:v>
      </x:c>
      <x:c r="F90" s="10" t="str">
        <x:v>Simulation, sensitivity analysis, and scenario analysis</x:v>
      </x:c>
      <x:c r="G90" s="10" t="str">
        <x:v>Study these together to choose the right mathematical or statistical tool and interpret its result.</x:v>
      </x:c>
      <x:c r="H90" s="10" t="str">
        <x:v>A topical exploration link, not a claim that one determines the other.</x:v>
      </x:c>
      <x:c r="I90" s="10" t="str">
        <x:v>Curated curriculum relationship</x:v>
      </x:c>
    </x:row>
    <x:row r="91" ht="58" customHeight="1">
      <x:c r="A91" s="9" t="str">
        <x:v>E0086</x:v>
      </x:c>
      <x:c r="B91" s="9" t="str">
        <x:v>T01.10</x:v>
      </x:c>
      <x:c r="C91" s="9" t="str">
        <x:v>Risk, return, opportunity cost, and required return</x:v>
      </x:c>
      <x:c r="D91" s="15" t="str">
        <x:v>RECOMMENDED_BEFORE</x:v>
      </x:c>
      <x:c r="E91" s="9" t="str">
        <x:v>T02.14</x:v>
      </x:c>
      <x:c r="F91" s="9" t="str">
        <x:v>Optimisation, linear algebra, and calculus for finance</x:v>
      </x:c>
      <x:c r="G91" s="9" t="str">
        <x:v>Suggested starting knowledge: Risk, return, opportunity cost, and required return. It helps you choose the right mathematical or statistical tool and interpret its result.</x:v>
      </x:c>
      <x:c r="H91" s="9" t="str">
        <x:v>Suggested learning order; learners can still explore freely.</x:v>
      </x:c>
      <x:c r="I91" s="9" t="str">
        <x:v>Curated curriculum relationship</x:v>
      </x:c>
    </x:row>
    <x:row r="92" ht="58" customHeight="1">
      <x:c r="A92" s="10" t="str">
        <x:v>E0087</x:v>
      </x:c>
      <x:c r="B92" s="10" t="str">
        <x:v>T02.15</x:v>
      </x:c>
      <x:c r="C92" s="10" t="str">
        <x:v>Simulation, sensitivity analysis, and scenario analysis</x:v>
      </x:c>
      <x:c r="D92" s="14" t="str">
        <x:v>PART_OF</x:v>
      </x:c>
      <x:c r="E92" s="10" t="str">
        <x:v>D02</x:v>
      </x:c>
      <x:c r="F92" s="10" t="str">
        <x:v>Mathematics and quantitative foundations</x:v>
      </x:c>
      <x:c r="G92" s="10" t="str">
        <x:v>Curriculum membership. Use this link to move between the topic and its finance area.</x:v>
      </x:c>
      <x:c r="H92" s="10" t="str">
        <x:v>Classification only; this edge is not a causal or calculation relationship.</x:v>
      </x:c>
      <x:c r="I92" s="10" t="str">
        <x:v>Curated curriculum relationship</x:v>
      </x:c>
    </x:row>
    <x:row r="93" ht="58" customHeight="1">
      <x:c r="A93" s="9" t="str">
        <x:v>E0088</x:v>
      </x:c>
      <x:c r="B93" s="9" t="str">
        <x:v>T02.15</x:v>
      </x:c>
      <x:c r="C93" s="9" t="str">
        <x:v>Simulation, sensitivity analysis, and scenario analysis</x:v>
      </x:c>
      <x:c r="D93" s="15" t="str">
        <x:v>EXPLORE_WITH</x:v>
      </x:c>
      <x:c r="E93" s="9" t="str">
        <x:v>T02.14</x:v>
      </x:c>
      <x:c r="F93" s="9" t="str">
        <x:v>Optimisation, linear algebra, and calculus for finance</x:v>
      </x:c>
      <x:c r="G93" s="9" t="str">
        <x:v>Study these together to choose the right mathematical or statistical tool and interpret its result.</x:v>
      </x:c>
      <x:c r="H93" s="9" t="str">
        <x:v>A topical exploration link, not a claim that one determines the other.</x:v>
      </x:c>
      <x:c r="I93" s="9" t="str">
        <x:v>Curated curriculum relationship</x:v>
      </x:c>
    </x:row>
    <x:row r="94" ht="58" customHeight="1">
      <x:c r="A94" s="10" t="str">
        <x:v>E0089</x:v>
      </x:c>
      <x:c r="B94" s="10" t="str">
        <x:v>T01.10</x:v>
      </x:c>
      <x:c r="C94" s="10" t="str">
        <x:v>Risk, return, opportunity cost, and required return</x:v>
      </x:c>
      <x:c r="D94" s="14" t="str">
        <x:v>RECOMMENDED_BEFORE</x:v>
      </x:c>
      <x:c r="E94" s="10" t="str">
        <x:v>T02.15</x:v>
      </x:c>
      <x:c r="F94" s="10" t="str">
        <x:v>Simulation, sensitivity analysis, and scenario analysis</x:v>
      </x:c>
      <x:c r="G94" s="10" t="str">
        <x:v>Suggested starting knowledge: Risk, return, opportunity cost, and required return. It helps you choose the right mathematical or statistical tool and interpret its result.</x:v>
      </x:c>
      <x:c r="H94" s="10" t="str">
        <x:v>Suggested learning order; learners can still explore freely.</x:v>
      </x:c>
      <x:c r="I94" s="10" t="str">
        <x:v>Curated curriculum relationship</x:v>
      </x:c>
    </x:row>
    <x:row r="95" ht="58" customHeight="1">
      <x:c r="A95" s="9" t="str">
        <x:v>E0090</x:v>
      </x:c>
      <x:c r="B95" s="9" t="str">
        <x:v>T03.01</x:v>
      </x:c>
      <x:c r="C95" s="9" t="str">
        <x:v>Present value and future value</x:v>
      </x:c>
      <x:c r="D95" s="15" t="str">
        <x:v>PART_OF</x:v>
      </x:c>
      <x:c r="E95" s="9" t="str">
        <x:v>D03</x:v>
      </x:c>
      <x:c r="F95" s="9" t="str">
        <x:v>Time value of money</x:v>
      </x:c>
      <x:c r="G95" s="9" t="str">
        <x:v>Curriculum membership. Use this link to move between the topic and its finance area.</x:v>
      </x:c>
      <x:c r="H95" s="9" t="str">
        <x:v>Classification only; this edge is not a causal or calculation relationship.</x:v>
      </x:c>
      <x:c r="I95" s="9" t="str">
        <x:v>Curated curriculum relationship</x:v>
      </x:c>
    </x:row>
    <x:row r="96" ht="58" customHeight="1">
      <x:c r="A96" s="10" t="str">
        <x:v>E0091</x:v>
      </x:c>
      <x:c r="B96" s="10" t="str">
        <x:v>T03.01</x:v>
      </x:c>
      <x:c r="C96" s="10" t="str">
        <x:v>Present value and future value</x:v>
      </x:c>
      <x:c r="D96" s="14" t="str">
        <x:v>EXPLORE_WITH</x:v>
      </x:c>
      <x:c r="E96" s="10" t="str">
        <x:v>T03.02</x:v>
      </x:c>
      <x:c r="F96" s="10" t="str">
        <x:v>Discounting and compounding</x:v>
      </x:c>
      <x:c r="G96" s="10" t="str">
        <x:v>Study these together to compare amounts received or paid at different times on a consistent basis.</x:v>
      </x:c>
      <x:c r="H96" s="10" t="str">
        <x:v>A topical exploration link, not a claim that one determines the other.</x:v>
      </x:c>
      <x:c r="I96" s="10" t="str">
        <x:v>Curated curriculum relationship</x:v>
      </x:c>
    </x:row>
    <x:row r="97" ht="58" customHeight="1">
      <x:c r="A97" s="9" t="str">
        <x:v>E0092</x:v>
      </x:c>
      <x:c r="B97" s="9" t="str">
        <x:v>T02.03</x:v>
      </x:c>
      <x:c r="C97" s="9" t="str">
        <x:v>Simple interest and compound interest</x:v>
      </x:c>
      <x:c r="D97" s="15" t="str">
        <x:v>RECOMMENDED_BEFORE</x:v>
      </x:c>
      <x:c r="E97" s="9" t="str">
        <x:v>T03.01</x:v>
      </x:c>
      <x:c r="F97" s="9" t="str">
        <x:v>Present value and future value</x:v>
      </x:c>
      <x:c r="G97" s="9" t="str">
        <x:v>Suggested starting knowledge: Simple interest and compound interest. It helps you compare amounts received or paid at different times on a consistent basis.</x:v>
      </x:c>
      <x:c r="H97" s="9" t="str">
        <x:v>Suggested learning order; learners can still explore freely.</x:v>
      </x:c>
      <x:c r="I97" s="9" t="str">
        <x:v>Curated curriculum relationship</x:v>
      </x:c>
    </x:row>
    <x:row r="98" ht="58" customHeight="1">
      <x:c r="A98" s="10" t="str">
        <x:v>E0093</x:v>
      </x:c>
      <x:c r="B98" s="10" t="str">
        <x:v>T03.02</x:v>
      </x:c>
      <x:c r="C98" s="10" t="str">
        <x:v>Discounting and compounding</x:v>
      </x:c>
      <x:c r="D98" s="14" t="str">
        <x:v>PART_OF</x:v>
      </x:c>
      <x:c r="E98" s="10" t="str">
        <x:v>D03</x:v>
      </x:c>
      <x:c r="F98" s="10" t="str">
        <x:v>Time value of money</x:v>
      </x:c>
      <x:c r="G98" s="10" t="str">
        <x:v>Curriculum membership. Use this link to move between the topic and its finance area.</x:v>
      </x:c>
      <x:c r="H98" s="10" t="str">
        <x:v>Classification only; this edge is not a causal or calculation relationship.</x:v>
      </x:c>
      <x:c r="I98" s="10" t="str">
        <x:v>Curated curriculum relationship</x:v>
      </x:c>
    </x:row>
    <x:row r="99" ht="58" customHeight="1">
      <x:c r="A99" s="9" t="str">
        <x:v>E0094</x:v>
      </x:c>
      <x:c r="B99" s="9" t="str">
        <x:v>T03.02</x:v>
      </x:c>
      <x:c r="C99" s="9" t="str">
        <x:v>Discounting and compounding</x:v>
      </x:c>
      <x:c r="D99" s="15" t="str">
        <x:v>EXPLORE_WITH</x:v>
      </x:c>
      <x:c r="E99" s="9" t="str">
        <x:v>T03.01</x:v>
      </x:c>
      <x:c r="F99" s="9" t="str">
        <x:v>Present value and future value</x:v>
      </x:c>
      <x:c r="G99" s="9" t="str">
        <x:v>Study these together to compare amounts received or paid at different times on a consistent basis.</x:v>
      </x:c>
      <x:c r="H99" s="9" t="str">
        <x:v>A topical exploration link, not a claim that one determines the other.</x:v>
      </x:c>
      <x:c r="I99" s="9" t="str">
        <x:v>Curated curriculum relationship</x:v>
      </x:c>
    </x:row>
    <x:row r="100" ht="58" customHeight="1">
      <x:c r="A100" s="10" t="str">
        <x:v>E0095</x:v>
      </x:c>
      <x:c r="B100" s="10" t="str">
        <x:v>T02.03</x:v>
      </x:c>
      <x:c r="C100" s="10" t="str">
        <x:v>Simple interest and compound interest</x:v>
      </x:c>
      <x:c r="D100" s="14" t="str">
        <x:v>RECOMMENDED_BEFORE</x:v>
      </x:c>
      <x:c r="E100" s="10" t="str">
        <x:v>T03.02</x:v>
      </x:c>
      <x:c r="F100" s="10" t="str">
        <x:v>Discounting and compounding</x:v>
      </x:c>
      <x:c r="G100" s="10" t="str">
        <x:v>Suggested starting knowledge: Simple interest and compound interest. It helps you compare amounts received or paid at different times on a consistent basis.</x:v>
      </x:c>
      <x:c r="H100" s="10" t="str">
        <x:v>Suggested learning order; learners can still explore freely.</x:v>
      </x:c>
      <x:c r="I100" s="10" t="str">
        <x:v>Curated curriculum relationship</x:v>
      </x:c>
    </x:row>
    <x:row r="101" ht="58" customHeight="1">
      <x:c r="A101" s="9" t="str">
        <x:v>E0096</x:v>
      </x:c>
      <x:c r="B101" s="9" t="str">
        <x:v>T03.03</x:v>
      </x:c>
      <x:c r="C101" s="9" t="str">
        <x:v>Discount factors and cash-flow timelines</x:v>
      </x:c>
      <x:c r="D101" s="15" t="str">
        <x:v>PART_OF</x:v>
      </x:c>
      <x:c r="E101" s="9" t="str">
        <x:v>D03</x:v>
      </x:c>
      <x:c r="F101" s="9" t="str">
        <x:v>Time value of money</x:v>
      </x:c>
      <x:c r="G101" s="9" t="str">
        <x:v>Curriculum membership. Use this link to move between the topic and its finance area.</x:v>
      </x:c>
      <x:c r="H101" s="9" t="str">
        <x:v>Classification only; this edge is not a causal or calculation relationship.</x:v>
      </x:c>
      <x:c r="I101" s="9" t="str">
        <x:v>Curated curriculum relationship</x:v>
      </x:c>
    </x:row>
    <x:row r="102" ht="58" customHeight="1">
      <x:c r="A102" s="10" t="str">
        <x:v>E0097</x:v>
      </x:c>
      <x:c r="B102" s="10" t="str">
        <x:v>T03.03</x:v>
      </x:c>
      <x:c r="C102" s="10" t="str">
        <x:v>Discount factors and cash-flow timelines</x:v>
      </x:c>
      <x:c r="D102" s="14" t="str">
        <x:v>EXPLORE_WITH</x:v>
      </x:c>
      <x:c r="E102" s="10" t="str">
        <x:v>T03.07</x:v>
      </x:c>
      <x:c r="F102" s="10" t="str">
        <x:v>Uneven cash flows</x:v>
      </x:c>
      <x:c r="G102" s="10" t="str">
        <x:v>Study these together to compare amounts received or paid at different times on a consistent basis.</x:v>
      </x:c>
      <x:c r="H102" s="10" t="str">
        <x:v>A topical exploration link, not a claim that one determines the other.</x:v>
      </x:c>
      <x:c r="I102" s="10" t="str">
        <x:v>Curated curriculum relationship</x:v>
      </x:c>
    </x:row>
    <x:row r="103" ht="58" customHeight="1">
      <x:c r="A103" s="9" t="str">
        <x:v>E0098</x:v>
      </x:c>
      <x:c r="B103" s="9" t="str">
        <x:v>T02.03</x:v>
      </x:c>
      <x:c r="C103" s="9" t="str">
        <x:v>Simple interest and compound interest</x:v>
      </x:c>
      <x:c r="D103" s="15" t="str">
        <x:v>RECOMMENDED_BEFORE</x:v>
      </x:c>
      <x:c r="E103" s="9" t="str">
        <x:v>T03.03</x:v>
      </x:c>
      <x:c r="F103" s="9" t="str">
        <x:v>Discount factors and cash-flow timelines</x:v>
      </x:c>
      <x:c r="G103" s="9" t="str">
        <x:v>Suggested starting knowledge: Simple interest and compound interest. It helps you compare amounts received or paid at different times on a consistent basis.</x:v>
      </x:c>
      <x:c r="H103" s="9" t="str">
        <x:v>Suggested learning order; learners can still explore freely.</x:v>
      </x:c>
      <x:c r="I103" s="9" t="str">
        <x:v>Curated curriculum relationship</x:v>
      </x:c>
    </x:row>
    <x:row r="104" ht="58" customHeight="1">
      <x:c r="A104" s="10" t="str">
        <x:v>E0099</x:v>
      </x:c>
      <x:c r="B104" s="10" t="str">
        <x:v>T03.04</x:v>
      </x:c>
      <x:c r="C104" s="10" t="str">
        <x:v>Ordinary annuities and annuities due</x:v>
      </x:c>
      <x:c r="D104" s="14" t="str">
        <x:v>PART_OF</x:v>
      </x:c>
      <x:c r="E104" s="10" t="str">
        <x:v>D03</x:v>
      </x:c>
      <x:c r="F104" s="10" t="str">
        <x:v>Time value of money</x:v>
      </x:c>
      <x:c r="G104" s="10" t="str">
        <x:v>Curriculum membership. Use this link to move between the topic and its finance area.</x:v>
      </x:c>
      <x:c r="H104" s="10" t="str">
        <x:v>Classification only; this edge is not a causal or calculation relationship.</x:v>
      </x:c>
      <x:c r="I104" s="10" t="str">
        <x:v>Curated curriculum relationship</x:v>
      </x:c>
    </x:row>
    <x:row r="105" ht="58" customHeight="1">
      <x:c r="A105" s="9" t="str">
        <x:v>E0100</x:v>
      </x:c>
      <x:c r="B105" s="9" t="str">
        <x:v>T03.04</x:v>
      </x:c>
      <x:c r="C105" s="9" t="str">
        <x:v>Ordinary annuities and annuities due</x:v>
      </x:c>
      <x:c r="D105" s="15" t="str">
        <x:v>EXPLORE_WITH</x:v>
      </x:c>
      <x:c r="E105" s="9" t="str">
        <x:v>T03.05</x:v>
      </x:c>
      <x:c r="F105" s="9" t="str">
        <x:v>Growing annuities</x:v>
      </x:c>
      <x:c r="G105" s="9" t="str">
        <x:v>Study these together to compare amounts received or paid at different times on a consistent basis.</x:v>
      </x:c>
      <x:c r="H105" s="9" t="str">
        <x:v>A topical exploration link, not a claim that one determines the other.</x:v>
      </x:c>
      <x:c r="I105" s="9" t="str">
        <x:v>Curated curriculum relationship</x:v>
      </x:c>
    </x:row>
    <x:row r="106" ht="58" customHeight="1">
      <x:c r="A106" s="10" t="str">
        <x:v>E0101</x:v>
      </x:c>
      <x:c r="B106" s="10" t="str">
        <x:v>T02.03</x:v>
      </x:c>
      <x:c r="C106" s="10" t="str">
        <x:v>Simple interest and compound interest</x:v>
      </x:c>
      <x:c r="D106" s="14" t="str">
        <x:v>RECOMMENDED_BEFORE</x:v>
      </x:c>
      <x:c r="E106" s="10" t="str">
        <x:v>T03.04</x:v>
      </x:c>
      <x:c r="F106" s="10" t="str">
        <x:v>Ordinary annuities and annuities due</x:v>
      </x:c>
      <x:c r="G106" s="10" t="str">
        <x:v>Suggested starting knowledge: Simple interest and compound interest. It helps you compare amounts received or paid at different times on a consistent basis.</x:v>
      </x:c>
      <x:c r="H106" s="10" t="str">
        <x:v>Suggested learning order; learners can still explore freely.</x:v>
      </x:c>
      <x:c r="I106" s="10" t="str">
        <x:v>Curated curriculum relationship</x:v>
      </x:c>
    </x:row>
    <x:row r="107" ht="58" customHeight="1">
      <x:c r="A107" s="9" t="str">
        <x:v>E0102</x:v>
      </x:c>
      <x:c r="B107" s="9" t="str">
        <x:v>T03.05</x:v>
      </x:c>
      <x:c r="C107" s="9" t="str">
        <x:v>Growing annuities</x:v>
      </x:c>
      <x:c r="D107" s="15" t="str">
        <x:v>PART_OF</x:v>
      </x:c>
      <x:c r="E107" s="9" t="str">
        <x:v>D03</x:v>
      </x:c>
      <x:c r="F107" s="9" t="str">
        <x:v>Time value of money</x:v>
      </x:c>
      <x:c r="G107" s="9" t="str">
        <x:v>Curriculum membership. Use this link to move between the topic and its finance area.</x:v>
      </x:c>
      <x:c r="H107" s="9" t="str">
        <x:v>Classification only; this edge is not a causal or calculation relationship.</x:v>
      </x:c>
      <x:c r="I107" s="9" t="str">
        <x:v>Curated curriculum relationship</x:v>
      </x:c>
    </x:row>
    <x:row r="108" ht="58" customHeight="1">
      <x:c r="A108" s="10" t="str">
        <x:v>E0103</x:v>
      </x:c>
      <x:c r="B108" s="10" t="str">
        <x:v>T03.05</x:v>
      </x:c>
      <x:c r="C108" s="10" t="str">
        <x:v>Growing annuities</x:v>
      </x:c>
      <x:c r="D108" s="14" t="str">
        <x:v>EXPLORE_WITH</x:v>
      </x:c>
      <x:c r="E108" s="10" t="str">
        <x:v>T03.04</x:v>
      </x:c>
      <x:c r="F108" s="10" t="str">
        <x:v>Ordinary annuities and annuities due</x:v>
      </x:c>
      <x:c r="G108" s="10" t="str">
        <x:v>Study these together to compare amounts received or paid at different times on a consistent basis.</x:v>
      </x:c>
      <x:c r="H108" s="10" t="str">
        <x:v>A topical exploration link, not a claim that one determines the other.</x:v>
      </x:c>
      <x:c r="I108" s="10" t="str">
        <x:v>Curated curriculum relationship</x:v>
      </x:c>
    </x:row>
    <x:row r="109" ht="58" customHeight="1">
      <x:c r="A109" s="9" t="str">
        <x:v>E0104</x:v>
      </x:c>
      <x:c r="B109" s="9" t="str">
        <x:v>T02.03</x:v>
      </x:c>
      <x:c r="C109" s="9" t="str">
        <x:v>Simple interest and compound interest</x:v>
      </x:c>
      <x:c r="D109" s="15" t="str">
        <x:v>RECOMMENDED_BEFORE</x:v>
      </x:c>
      <x:c r="E109" s="9" t="str">
        <x:v>T03.05</x:v>
      </x:c>
      <x:c r="F109" s="9" t="str">
        <x:v>Growing annuities</x:v>
      </x:c>
      <x:c r="G109" s="9" t="str">
        <x:v>Suggested starting knowledge: Simple interest and compound interest. It helps you compare amounts received or paid at different times on a consistent basis.</x:v>
      </x:c>
      <x:c r="H109" s="9" t="str">
        <x:v>Suggested learning order; learners can still explore freely.</x:v>
      </x:c>
      <x:c r="I109" s="9" t="str">
        <x:v>Curated curriculum relationship</x:v>
      </x:c>
    </x:row>
    <x:row r="110" ht="58" customHeight="1">
      <x:c r="A110" s="10" t="str">
        <x:v>E0105</x:v>
      </x:c>
      <x:c r="B110" s="10" t="str">
        <x:v>T03.06</x:v>
      </x:c>
      <x:c r="C110" s="10" t="str">
        <x:v>Perpetuities and growing perpetuities</x:v>
      </x:c>
      <x:c r="D110" s="14" t="str">
        <x:v>PART_OF</x:v>
      </x:c>
      <x:c r="E110" s="10" t="str">
        <x:v>D03</x:v>
      </x:c>
      <x:c r="F110" s="10" t="str">
        <x:v>Time value of money</x:v>
      </x:c>
      <x:c r="G110" s="10" t="str">
        <x:v>Curriculum membership. Use this link to move between the topic and its finance area.</x:v>
      </x:c>
      <x:c r="H110" s="10" t="str">
        <x:v>Classification only; this edge is not a causal or calculation relationship.</x:v>
      </x:c>
      <x:c r="I110" s="10" t="str">
        <x:v>Curated curriculum relationship</x:v>
      </x:c>
    </x:row>
    <x:row r="111" ht="58" customHeight="1">
      <x:c r="A111" s="9" t="str">
        <x:v>E0106</x:v>
      </x:c>
      <x:c r="B111" s="9" t="str">
        <x:v>T03.06</x:v>
      </x:c>
      <x:c r="C111" s="9" t="str">
        <x:v>Perpetuities and growing perpetuities</x:v>
      </x:c>
      <x:c r="D111" s="15" t="str">
        <x:v>EXPLORE_WITH</x:v>
      </x:c>
      <x:c r="E111" s="9" t="str">
        <x:v>T03.05</x:v>
      </x:c>
      <x:c r="F111" s="9" t="str">
        <x:v>Growing annuities</x:v>
      </x:c>
      <x:c r="G111" s="9" t="str">
        <x:v>Study these together to compare amounts received or paid at different times on a consistent basis.</x:v>
      </x:c>
      <x:c r="H111" s="9" t="str">
        <x:v>A topical exploration link, not a claim that one determines the other.</x:v>
      </x:c>
      <x:c r="I111" s="9" t="str">
        <x:v>Curated curriculum relationship</x:v>
      </x:c>
    </x:row>
    <x:row r="112" ht="58" customHeight="1">
      <x:c r="A112" s="10" t="str">
        <x:v>E0107</x:v>
      </x:c>
      <x:c r="B112" s="10" t="str">
        <x:v>T02.03</x:v>
      </x:c>
      <x:c r="C112" s="10" t="str">
        <x:v>Simple interest and compound interest</x:v>
      </x:c>
      <x:c r="D112" s="14" t="str">
        <x:v>RECOMMENDED_BEFORE</x:v>
      </x:c>
      <x:c r="E112" s="10" t="str">
        <x:v>T03.06</x:v>
      </x:c>
      <x:c r="F112" s="10" t="str">
        <x:v>Perpetuities and growing perpetuities</x:v>
      </x:c>
      <x:c r="G112" s="10" t="str">
        <x:v>Suggested starting knowledge: Simple interest and compound interest. It helps you compare amounts received or paid at different times on a consistent basis.</x:v>
      </x:c>
      <x:c r="H112" s="10" t="str">
        <x:v>Suggested learning order; learners can still explore freely.</x:v>
      </x:c>
      <x:c r="I112" s="10" t="str">
        <x:v>Curated curriculum relationship</x:v>
      </x:c>
    </x:row>
    <x:row r="113" ht="58" customHeight="1">
      <x:c r="A113" s="9" t="str">
        <x:v>E0108</x:v>
      </x:c>
      <x:c r="B113" s="9" t="str">
        <x:v>T03.07</x:v>
      </x:c>
      <x:c r="C113" s="9" t="str">
        <x:v>Uneven cash flows</x:v>
      </x:c>
      <x:c r="D113" s="15" t="str">
        <x:v>PART_OF</x:v>
      </x:c>
      <x:c r="E113" s="9" t="str">
        <x:v>D03</x:v>
      </x:c>
      <x:c r="F113" s="9" t="str">
        <x:v>Time value of money</x:v>
      </x:c>
      <x:c r="G113" s="9" t="str">
        <x:v>Curriculum membership. Use this link to move between the topic and its finance area.</x:v>
      </x:c>
      <x:c r="H113" s="9" t="str">
        <x:v>Classification only; this edge is not a causal or calculation relationship.</x:v>
      </x:c>
      <x:c r="I113" s="9" t="str">
        <x:v>Curated curriculum relationship</x:v>
      </x:c>
    </x:row>
    <x:row r="114" ht="58" customHeight="1">
      <x:c r="A114" s="10" t="str">
        <x:v>E0109</x:v>
      </x:c>
      <x:c r="B114" s="10" t="str">
        <x:v>T03.07</x:v>
      </x:c>
      <x:c r="C114" s="10" t="str">
        <x:v>Uneven cash flows</x:v>
      </x:c>
      <x:c r="D114" s="14" t="str">
        <x:v>EXPLORE_WITH</x:v>
      </x:c>
      <x:c r="E114" s="10" t="str">
        <x:v>T03.03</x:v>
      </x:c>
      <x:c r="F114" s="10" t="str">
        <x:v>Discount factors and cash-flow timelines</x:v>
      </x:c>
      <x:c r="G114" s="10" t="str">
        <x:v>Study these together to compare amounts received or paid at different times on a consistent basis.</x:v>
      </x:c>
      <x:c r="H114" s="10" t="str">
        <x:v>A topical exploration link, not a claim that one determines the other.</x:v>
      </x:c>
      <x:c r="I114" s="10" t="str">
        <x:v>Curated curriculum relationship</x:v>
      </x:c>
    </x:row>
    <x:row r="115" ht="58" customHeight="1">
      <x:c r="A115" s="9" t="str">
        <x:v>E0110</x:v>
      </x:c>
      <x:c r="B115" s="9" t="str">
        <x:v>T02.03</x:v>
      </x:c>
      <x:c r="C115" s="9" t="str">
        <x:v>Simple interest and compound interest</x:v>
      </x:c>
      <x:c r="D115" s="15" t="str">
        <x:v>RECOMMENDED_BEFORE</x:v>
      </x:c>
      <x:c r="E115" s="9" t="str">
        <x:v>T03.07</x:v>
      </x:c>
      <x:c r="F115" s="9" t="str">
        <x:v>Uneven cash flows</x:v>
      </x:c>
      <x:c r="G115" s="9" t="str">
        <x:v>Suggested starting knowledge: Simple interest and compound interest. It helps you compare amounts received or paid at different times on a consistent basis.</x:v>
      </x:c>
      <x:c r="H115" s="9" t="str">
        <x:v>Suggested learning order; learners can still explore freely.</x:v>
      </x:c>
      <x:c r="I115" s="9" t="str">
        <x:v>Curated curriculum relationship</x:v>
      </x:c>
    </x:row>
    <x:row r="116" ht="58" customHeight="1">
      <x:c r="A116" s="10" t="str">
        <x:v>E0111</x:v>
      </x:c>
      <x:c r="B116" s="10" t="str">
        <x:v>T03.08</x:v>
      </x:c>
      <x:c r="C116" s="10" t="str">
        <x:v>Nominal rates, effective rates, and continuous compounding</x:v>
      </x:c>
      <x:c r="D116" s="14" t="str">
        <x:v>PART_OF</x:v>
      </x:c>
      <x:c r="E116" s="10" t="str">
        <x:v>D03</x:v>
      </x:c>
      <x:c r="F116" s="10" t="str">
        <x:v>Time value of money</x:v>
      </x:c>
      <x:c r="G116" s="10" t="str">
        <x:v>Curriculum membership. Use this link to move between the topic and its finance area.</x:v>
      </x:c>
      <x:c r="H116" s="10" t="str">
        <x:v>Classification only; this edge is not a causal or calculation relationship.</x:v>
      </x:c>
      <x:c r="I116" s="10" t="str">
        <x:v>Curated curriculum relationship</x:v>
      </x:c>
    </x:row>
    <x:row r="117" ht="58" customHeight="1">
      <x:c r="A117" s="9" t="str">
        <x:v>E0112</x:v>
      </x:c>
      <x:c r="B117" s="9" t="str">
        <x:v>T03.08</x:v>
      </x:c>
      <x:c r="C117" s="9" t="str">
        <x:v>Nominal rates, effective rates, and continuous compounding</x:v>
      </x:c>
      <x:c r="D117" s="15" t="str">
        <x:v>EXPLORE_WITH</x:v>
      </x:c>
      <x:c r="E117" s="9" t="str">
        <x:v>T03.09</x:v>
      </x:c>
      <x:c r="F117" s="9" t="str">
        <x:v>Real versus nominal interest rates</x:v>
      </x:c>
      <x:c r="G117" s="9" t="str">
        <x:v>Study these together to compare amounts received or paid at different times on a consistent basis.</x:v>
      </x:c>
      <x:c r="H117" s="9" t="str">
        <x:v>A topical exploration link, not a claim that one determines the other.</x:v>
      </x:c>
      <x:c r="I117" s="9" t="str">
        <x:v>Curated curriculum relationship</x:v>
      </x:c>
    </x:row>
    <x:row r="118" ht="58" customHeight="1">
      <x:c r="A118" s="10" t="str">
        <x:v>E0113</x:v>
      </x:c>
      <x:c r="B118" s="10" t="str">
        <x:v>T02.03</x:v>
      </x:c>
      <x:c r="C118" s="10" t="str">
        <x:v>Simple interest and compound interest</x:v>
      </x:c>
      <x:c r="D118" s="14" t="str">
        <x:v>RECOMMENDED_BEFORE</x:v>
      </x:c>
      <x:c r="E118" s="10" t="str">
        <x:v>T03.08</x:v>
      </x:c>
      <x:c r="F118" s="10" t="str">
        <x:v>Nominal rates, effective rates, and continuous compounding</x:v>
      </x:c>
      <x:c r="G118" s="10" t="str">
        <x:v>Suggested starting knowledge: Simple interest and compound interest. It helps you compare amounts received or paid at different times on a consistent basis.</x:v>
      </x:c>
      <x:c r="H118" s="10" t="str">
        <x:v>Suggested learning order; learners can still explore freely.</x:v>
      </x:c>
      <x:c r="I118" s="10" t="str">
        <x:v>Curated curriculum relationship</x:v>
      </x:c>
    </x:row>
    <x:row r="119" ht="58" customHeight="1">
      <x:c r="A119" s="9" t="str">
        <x:v>E0114</x:v>
      </x:c>
      <x:c r="B119" s="9" t="str">
        <x:v>T03.09</x:v>
      </x:c>
      <x:c r="C119" s="9" t="str">
        <x:v>Real versus nominal interest rates</x:v>
      </x:c>
      <x:c r="D119" s="15" t="str">
        <x:v>PART_OF</x:v>
      </x:c>
      <x:c r="E119" s="9" t="str">
        <x:v>D03</x:v>
      </x:c>
      <x:c r="F119" s="9" t="str">
        <x:v>Time value of money</x:v>
      </x:c>
      <x:c r="G119" s="9" t="str">
        <x:v>Curriculum membership. Use this link to move between the topic and its finance area.</x:v>
      </x:c>
      <x:c r="H119" s="9" t="str">
        <x:v>Classification only; this edge is not a causal or calculation relationship.</x:v>
      </x:c>
      <x:c r="I119" s="9" t="str">
        <x:v>Curated curriculum relationship</x:v>
      </x:c>
    </x:row>
    <x:row r="120" ht="58" customHeight="1">
      <x:c r="A120" s="10" t="str">
        <x:v>E0115</x:v>
      </x:c>
      <x:c r="B120" s="10" t="str">
        <x:v>T03.09</x:v>
      </x:c>
      <x:c r="C120" s="10" t="str">
        <x:v>Real versus nominal interest rates</x:v>
      </x:c>
      <x:c r="D120" s="14" t="str">
        <x:v>EXPLORE_WITH</x:v>
      </x:c>
      <x:c r="E120" s="10" t="str">
        <x:v>T03.08</x:v>
      </x:c>
      <x:c r="F120" s="10" t="str">
        <x:v>Nominal rates, effective rates, and continuous compounding</x:v>
      </x:c>
      <x:c r="G120" s="10" t="str">
        <x:v>Study these together to compare amounts received or paid at different times on a consistent basis.</x:v>
      </x:c>
      <x:c r="H120" s="10" t="str">
        <x:v>A topical exploration link, not a claim that one determines the other.</x:v>
      </x:c>
      <x:c r="I120" s="10" t="str">
        <x:v>Curated curriculum relationship</x:v>
      </x:c>
    </x:row>
    <x:row r="121" ht="58" customHeight="1">
      <x:c r="A121" s="9" t="str">
        <x:v>E0116</x:v>
      </x:c>
      <x:c r="B121" s="9" t="str">
        <x:v>T02.03</x:v>
      </x:c>
      <x:c r="C121" s="9" t="str">
        <x:v>Simple interest and compound interest</x:v>
      </x:c>
      <x:c r="D121" s="15" t="str">
        <x:v>RECOMMENDED_BEFORE</x:v>
      </x:c>
      <x:c r="E121" s="9" t="str">
        <x:v>T03.09</x:v>
      </x:c>
      <x:c r="F121" s="9" t="str">
        <x:v>Real versus nominal interest rates</x:v>
      </x:c>
      <x:c r="G121" s="9" t="str">
        <x:v>Suggested starting knowledge: Simple interest and compound interest. It helps you compare amounts received or paid at different times on a consistent basis.</x:v>
      </x:c>
      <x:c r="H121" s="9" t="str">
        <x:v>Suggested learning order; learners can still explore freely.</x:v>
      </x:c>
      <x:c r="I121" s="9" t="str">
        <x:v>Curated curriculum relationship</x:v>
      </x:c>
    </x:row>
    <x:row r="122" ht="58" customHeight="1">
      <x:c r="A122" s="10" t="str">
        <x:v>E0117</x:v>
      </x:c>
      <x:c r="B122" s="10" t="str">
        <x:v>T03.10</x:v>
      </x:c>
      <x:c r="C122" s="10" t="str">
        <x:v>Loan amortisation and EMI calculations</x:v>
      </x:c>
      <x:c r="D122" s="14" t="str">
        <x:v>PART_OF</x:v>
      </x:c>
      <x:c r="E122" s="10" t="str">
        <x:v>D03</x:v>
      </x:c>
      <x:c r="F122" s="10" t="str">
        <x:v>Time value of money</x:v>
      </x:c>
      <x:c r="G122" s="10" t="str">
        <x:v>Curriculum membership. Use this link to move between the topic and its finance area.</x:v>
      </x:c>
      <x:c r="H122" s="10" t="str">
        <x:v>Classification only; this edge is not a causal or calculation relationship.</x:v>
      </x:c>
      <x:c r="I122" s="10" t="str">
        <x:v>Curated curriculum relationship</x:v>
      </x:c>
    </x:row>
    <x:row r="123" ht="58" customHeight="1">
      <x:c r="A123" s="9" t="str">
        <x:v>E0118</x:v>
      </x:c>
      <x:c r="B123" s="9" t="str">
        <x:v>T03.10</x:v>
      </x:c>
      <x:c r="C123" s="9" t="str">
        <x:v>Loan amortisation and EMI calculations</x:v>
      </x:c>
      <x:c r="D123" s="15" t="str">
        <x:v>EXPLORE_WITH</x:v>
      </x:c>
      <x:c r="E123" s="9" t="str">
        <x:v>T03.04</x:v>
      </x:c>
      <x:c r="F123" s="9" t="str">
        <x:v>Ordinary annuities and annuities due</x:v>
      </x:c>
      <x:c r="G123" s="9" t="str">
        <x:v>Study these together to compare amounts received or paid at different times on a consistent basis.</x:v>
      </x:c>
      <x:c r="H123" s="9" t="str">
        <x:v>A topical exploration link, not a claim that one determines the other.</x:v>
      </x:c>
      <x:c r="I123" s="9" t="str">
        <x:v>Curated curriculum relationship</x:v>
      </x:c>
    </x:row>
    <x:row r="124" ht="58" customHeight="1">
      <x:c r="A124" s="10" t="str">
        <x:v>E0119</x:v>
      </x:c>
      <x:c r="B124" s="10" t="str">
        <x:v>T02.03</x:v>
      </x:c>
      <x:c r="C124" s="10" t="str">
        <x:v>Simple interest and compound interest</x:v>
      </x:c>
      <x:c r="D124" s="14" t="str">
        <x:v>RECOMMENDED_BEFORE</x:v>
      </x:c>
      <x:c r="E124" s="10" t="str">
        <x:v>T03.10</x:v>
      </x:c>
      <x:c r="F124" s="10" t="str">
        <x:v>Loan amortisation and EMI calculations</x:v>
      </x:c>
      <x:c r="G124" s="10" t="str">
        <x:v>Suggested starting knowledge: Simple interest and compound interest. It helps you compare amounts received or paid at different times on a consistent basis.</x:v>
      </x:c>
      <x:c r="H124" s="10" t="str">
        <x:v>Suggested learning order; learners can still explore freely.</x:v>
      </x:c>
      <x:c r="I124" s="10" t="str">
        <x:v>Curated curriculum relationship</x:v>
      </x:c>
    </x:row>
    <x:row r="125" ht="58" customHeight="1">
      <x:c r="A125" s="9" t="str">
        <x:v>E0120</x:v>
      </x:c>
      <x:c r="B125" s="9" t="str">
        <x:v>T03.11</x:v>
      </x:c>
      <x:c r="C125" s="9" t="str">
        <x:v>Sinking funds and savings accumulation</x:v>
      </x:c>
      <x:c r="D125" s="15" t="str">
        <x:v>PART_OF</x:v>
      </x:c>
      <x:c r="E125" s="9" t="str">
        <x:v>D03</x:v>
      </x:c>
      <x:c r="F125" s="9" t="str">
        <x:v>Time value of money</x:v>
      </x:c>
      <x:c r="G125" s="9" t="str">
        <x:v>Curriculum membership. Use this link to move between the topic and its finance area.</x:v>
      </x:c>
      <x:c r="H125" s="9" t="str">
        <x:v>Classification only; this edge is not a causal or calculation relationship.</x:v>
      </x:c>
      <x:c r="I125" s="9" t="str">
        <x:v>Curated curriculum relationship</x:v>
      </x:c>
    </x:row>
    <x:row r="126" ht="58" customHeight="1">
      <x:c r="A126" s="10" t="str">
        <x:v>E0121</x:v>
      </x:c>
      <x:c r="B126" s="10" t="str">
        <x:v>T03.11</x:v>
      </x:c>
      <x:c r="C126" s="10" t="str">
        <x:v>Sinking funds and savings accumulation</x:v>
      </x:c>
      <x:c r="D126" s="14" t="str">
        <x:v>EXPLORE_WITH</x:v>
      </x:c>
      <x:c r="E126" s="10" t="str">
        <x:v>T03.04</x:v>
      </x:c>
      <x:c r="F126" s="10" t="str">
        <x:v>Ordinary annuities and annuities due</x:v>
      </x:c>
      <x:c r="G126" s="10" t="str">
        <x:v>Study these together to compare amounts received or paid at different times on a consistent basis.</x:v>
      </x:c>
      <x:c r="H126" s="10" t="str">
        <x:v>A topical exploration link, not a claim that one determines the other.</x:v>
      </x:c>
      <x:c r="I126" s="10" t="str">
        <x:v>Curated curriculum relationship</x:v>
      </x:c>
    </x:row>
    <x:row r="127" ht="58" customHeight="1">
      <x:c r="A127" s="9" t="str">
        <x:v>E0122</x:v>
      </x:c>
      <x:c r="B127" s="9" t="str">
        <x:v>T02.03</x:v>
      </x:c>
      <x:c r="C127" s="9" t="str">
        <x:v>Simple interest and compound interest</x:v>
      </x:c>
      <x:c r="D127" s="15" t="str">
        <x:v>RECOMMENDED_BEFORE</x:v>
      </x:c>
      <x:c r="E127" s="9" t="str">
        <x:v>T03.11</x:v>
      </x:c>
      <x:c r="F127" s="9" t="str">
        <x:v>Sinking funds and savings accumulation</x:v>
      </x:c>
      <x:c r="G127" s="9" t="str">
        <x:v>Suggested starting knowledge: Simple interest and compound interest. It helps you compare amounts received or paid at different times on a consistent basis.</x:v>
      </x:c>
      <x:c r="H127" s="9" t="str">
        <x:v>Suggested learning order; learners can still explore freely.</x:v>
      </x:c>
      <x:c r="I127" s="9" t="str">
        <x:v>Curated curriculum relationship</x:v>
      </x:c>
    </x:row>
    <x:row r="128" ht="58" customHeight="1">
      <x:c r="A128" s="10" t="str">
        <x:v>E0123</x:v>
      </x:c>
      <x:c r="B128" s="10" t="str">
        <x:v>T03.12</x:v>
      </x:c>
      <x:c r="C128" s="10" t="str">
        <x:v>Net present value</x:v>
      </x:c>
      <x:c r="D128" s="14" t="str">
        <x:v>PART_OF</x:v>
      </x:c>
      <x:c r="E128" s="10" t="str">
        <x:v>D03</x:v>
      </x:c>
      <x:c r="F128" s="10" t="str">
        <x:v>Time value of money</x:v>
      </x:c>
      <x:c r="G128" s="10" t="str">
        <x:v>Curriculum membership. Use this link to move between the topic and its finance area.</x:v>
      </x:c>
      <x:c r="H128" s="10" t="str">
        <x:v>Classification only; this edge is not a causal or calculation relationship.</x:v>
      </x:c>
      <x:c r="I128" s="10" t="str">
        <x:v>Curated curriculum relationship</x:v>
      </x:c>
    </x:row>
    <x:row r="129" ht="58" customHeight="1">
      <x:c r="A129" s="9" t="str">
        <x:v>E0124</x:v>
      </x:c>
      <x:c r="B129" s="9" t="str">
        <x:v>T03.12</x:v>
      </x:c>
      <x:c r="C129" s="9" t="str">
        <x:v>Net present value</x:v>
      </x:c>
      <x:c r="D129" s="15" t="str">
        <x:v>EXPLORE_WITH</x:v>
      </x:c>
      <x:c r="E129" s="9" t="str">
        <x:v>T03.13</x:v>
      </x:c>
      <x:c r="F129" s="9" t="str">
        <x:v>Internal rate of return and modified IRR</x:v>
      </x:c>
      <x:c r="G129" s="9" t="str">
        <x:v>Study these together to compare amounts received or paid at different times on a consistent basis.</x:v>
      </x:c>
      <x:c r="H129" s="9" t="str">
        <x:v>A topical exploration link, not a claim that one determines the other.</x:v>
      </x:c>
      <x:c r="I129" s="9" t="str">
        <x:v>Curated curriculum relationship</x:v>
      </x:c>
    </x:row>
    <x:row r="130" ht="58" customHeight="1">
      <x:c r="A130" s="10" t="str">
        <x:v>E0125</x:v>
      </x:c>
      <x:c r="B130" s="10" t="str">
        <x:v>T02.03</x:v>
      </x:c>
      <x:c r="C130" s="10" t="str">
        <x:v>Simple interest and compound interest</x:v>
      </x:c>
      <x:c r="D130" s="14" t="str">
        <x:v>RECOMMENDED_BEFORE</x:v>
      </x:c>
      <x:c r="E130" s="10" t="str">
        <x:v>T03.12</x:v>
      </x:c>
      <x:c r="F130" s="10" t="str">
        <x:v>Net present value</x:v>
      </x:c>
      <x:c r="G130" s="10" t="str">
        <x:v>Suggested starting knowledge: Simple interest and compound interest. It helps you compare amounts received or paid at different times on a consistent basis.</x:v>
      </x:c>
      <x:c r="H130" s="10" t="str">
        <x:v>Suggested learning order; learners can still explore freely.</x:v>
      </x:c>
      <x:c r="I130" s="10" t="str">
        <x:v>Curated curriculum relationship</x:v>
      </x:c>
    </x:row>
    <x:row r="131" ht="58" customHeight="1">
      <x:c r="A131" s="9" t="str">
        <x:v>E0126</x:v>
      </x:c>
      <x:c r="B131" s="9" t="str">
        <x:v>T03.13</x:v>
      </x:c>
      <x:c r="C131" s="9" t="str">
        <x:v>Internal rate of return and modified IRR</x:v>
      </x:c>
      <x:c r="D131" s="15" t="str">
        <x:v>PART_OF</x:v>
      </x:c>
      <x:c r="E131" s="9" t="str">
        <x:v>D03</x:v>
      </x:c>
      <x:c r="F131" s="9" t="str">
        <x:v>Time value of money</x:v>
      </x:c>
      <x:c r="G131" s="9" t="str">
        <x:v>Curriculum membership. Use this link to move between the topic and its finance area.</x:v>
      </x:c>
      <x:c r="H131" s="9" t="str">
        <x:v>Classification only; this edge is not a causal or calculation relationship.</x:v>
      </x:c>
      <x:c r="I131" s="9" t="str">
        <x:v>Curated curriculum relationship</x:v>
      </x:c>
    </x:row>
    <x:row r="132" ht="58" customHeight="1">
      <x:c r="A132" s="10" t="str">
        <x:v>E0127</x:v>
      </x:c>
      <x:c r="B132" s="10" t="str">
        <x:v>T03.13</x:v>
      </x:c>
      <x:c r="C132" s="10" t="str">
        <x:v>Internal rate of return and modified IRR</x:v>
      </x:c>
      <x:c r="D132" s="14" t="str">
        <x:v>EXPLORE_WITH</x:v>
      </x:c>
      <x:c r="E132" s="10" t="str">
        <x:v>T03.12</x:v>
      </x:c>
      <x:c r="F132" s="10" t="str">
        <x:v>Net present value</x:v>
      </x:c>
      <x:c r="G132" s="10" t="str">
        <x:v>Study these together to compare amounts received or paid at different times on a consistent basis.</x:v>
      </x:c>
      <x:c r="H132" s="10" t="str">
        <x:v>A topical exploration link, not a claim that one determines the other.</x:v>
      </x:c>
      <x:c r="I132" s="10" t="str">
        <x:v>Curated curriculum relationship</x:v>
      </x:c>
    </x:row>
    <x:row r="133" ht="58" customHeight="1">
      <x:c r="A133" s="9" t="str">
        <x:v>E0128</x:v>
      </x:c>
      <x:c r="B133" s="9" t="str">
        <x:v>T02.03</x:v>
      </x:c>
      <x:c r="C133" s="9" t="str">
        <x:v>Simple interest and compound interest</x:v>
      </x:c>
      <x:c r="D133" s="15" t="str">
        <x:v>RECOMMENDED_BEFORE</x:v>
      </x:c>
      <x:c r="E133" s="9" t="str">
        <x:v>T03.13</x:v>
      </x:c>
      <x:c r="F133" s="9" t="str">
        <x:v>Internal rate of return and modified IRR</x:v>
      </x:c>
      <x:c r="G133" s="9" t="str">
        <x:v>Suggested starting knowledge: Simple interest and compound interest. It helps you compare amounts received or paid at different times on a consistent basis.</x:v>
      </x:c>
      <x:c r="H133" s="9" t="str">
        <x:v>Suggested learning order; learners can still explore freely.</x:v>
      </x:c>
      <x:c r="I133" s="9" t="str">
        <x:v>Curated curriculum relationship</x:v>
      </x:c>
    </x:row>
    <x:row r="134" ht="58" customHeight="1">
      <x:c r="A134" s="10" t="str">
        <x:v>E0129</x:v>
      </x:c>
      <x:c r="B134" s="10" t="str">
        <x:v>T03.14</x:v>
      </x:c>
      <x:c r="C134" s="10" t="str">
        <x:v>Money-weighted versus time-weighted returns</x:v>
      </x:c>
      <x:c r="D134" s="14" t="str">
        <x:v>PART_OF</x:v>
      </x:c>
      <x:c r="E134" s="10" t="str">
        <x:v>D03</x:v>
      </x:c>
      <x:c r="F134" s="10" t="str">
        <x:v>Time value of money</x:v>
      </x:c>
      <x:c r="G134" s="10" t="str">
        <x:v>Curriculum membership. Use this link to move between the topic and its finance area.</x:v>
      </x:c>
      <x:c r="H134" s="10" t="str">
        <x:v>Classification only; this edge is not a causal or calculation relationship.</x:v>
      </x:c>
      <x:c r="I134" s="10" t="str">
        <x:v>Curated curriculum relationship</x:v>
      </x:c>
    </x:row>
    <x:row r="135" ht="58" customHeight="1">
      <x:c r="A135" s="9" t="str">
        <x:v>E0130</x:v>
      </x:c>
      <x:c r="B135" s="9" t="str">
        <x:v>T03.14</x:v>
      </x:c>
      <x:c r="C135" s="9" t="str">
        <x:v>Money-weighted versus time-weighted returns</x:v>
      </x:c>
      <x:c r="D135" s="15" t="str">
        <x:v>EXPLORE_WITH</x:v>
      </x:c>
      <x:c r="E135" s="9" t="str">
        <x:v>T03.05</x:v>
      </x:c>
      <x:c r="F135" s="9" t="str">
        <x:v>Growing annuities</x:v>
      </x:c>
      <x:c r="G135" s="9" t="str">
        <x:v>Study these together to compare amounts received or paid at different times on a consistent basis.</x:v>
      </x:c>
      <x:c r="H135" s="9" t="str">
        <x:v>A topical exploration link, not a claim that one determines the other.</x:v>
      </x:c>
      <x:c r="I135" s="9" t="str">
        <x:v>Curated curriculum relationship</x:v>
      </x:c>
    </x:row>
    <x:row r="136" ht="58" customHeight="1">
      <x:c r="A136" s="10" t="str">
        <x:v>E0131</x:v>
      </x:c>
      <x:c r="B136" s="10" t="str">
        <x:v>T02.03</x:v>
      </x:c>
      <x:c r="C136" s="10" t="str">
        <x:v>Simple interest and compound interest</x:v>
      </x:c>
      <x:c r="D136" s="14" t="str">
        <x:v>RECOMMENDED_BEFORE</x:v>
      </x:c>
      <x:c r="E136" s="10" t="str">
        <x:v>T03.14</x:v>
      </x:c>
      <x:c r="F136" s="10" t="str">
        <x:v>Money-weighted versus time-weighted returns</x:v>
      </x:c>
      <x:c r="G136" s="10" t="str">
        <x:v>Suggested starting knowledge: Simple interest and compound interest. It helps you compare amounts received or paid at different times on a consistent basis.</x:v>
      </x:c>
      <x:c r="H136" s="10" t="str">
        <x:v>Suggested learning order; learners can still explore freely.</x:v>
      </x:c>
      <x:c r="I136" s="10" t="str">
        <x:v>Curated curriculum relationship</x:v>
      </x:c>
    </x:row>
    <x:row r="137" ht="58" customHeight="1">
      <x:c r="A137" s="9" t="str">
        <x:v>E0132</x:v>
      </x:c>
      <x:c r="B137" s="9" t="str">
        <x:v>T03.15</x:v>
      </x:c>
      <x:c r="C137" s="9" t="str">
        <x:v>Matching cash-flow frequency, currency, and discount rates</x:v>
      </x:c>
      <x:c r="D137" s="15" t="str">
        <x:v>PART_OF</x:v>
      </x:c>
      <x:c r="E137" s="9" t="str">
        <x:v>D03</x:v>
      </x:c>
      <x:c r="F137" s="9" t="str">
        <x:v>Time value of money</x:v>
      </x:c>
      <x:c r="G137" s="9" t="str">
        <x:v>Curriculum membership. Use this link to move between the topic and its finance area.</x:v>
      </x:c>
      <x:c r="H137" s="9" t="str">
        <x:v>Classification only; this edge is not a causal or calculation relationship.</x:v>
      </x:c>
      <x:c r="I137" s="9" t="str">
        <x:v>Curated curriculum relationship</x:v>
      </x:c>
    </x:row>
    <x:row r="138" ht="58" customHeight="1">
      <x:c r="A138" s="10" t="str">
        <x:v>E0133</x:v>
      </x:c>
      <x:c r="B138" s="10" t="str">
        <x:v>T03.15</x:v>
      </x:c>
      <x:c r="C138" s="10" t="str">
        <x:v>Matching cash-flow frequency, currency, and discount rates</x:v>
      </x:c>
      <x:c r="D138" s="14" t="str">
        <x:v>EXPLORE_WITH</x:v>
      </x:c>
      <x:c r="E138" s="10" t="str">
        <x:v>T03.09</x:v>
      </x:c>
      <x:c r="F138" s="10" t="str">
        <x:v>Real versus nominal interest rates</x:v>
      </x:c>
      <x:c r="G138" s="10" t="str">
        <x:v>Study these together to compare amounts received or paid at different times on a consistent basis.</x:v>
      </x:c>
      <x:c r="H138" s="10" t="str">
        <x:v>A topical exploration link, not a claim that one determines the other.</x:v>
      </x:c>
      <x:c r="I138" s="10" t="str">
        <x:v>Curated curriculum relationship</x:v>
      </x:c>
    </x:row>
    <x:row r="139" ht="58" customHeight="1">
      <x:c r="A139" s="9" t="str">
        <x:v>E0134</x:v>
      </x:c>
      <x:c r="B139" s="9" t="str">
        <x:v>T02.03</x:v>
      </x:c>
      <x:c r="C139" s="9" t="str">
        <x:v>Simple interest and compound interest</x:v>
      </x:c>
      <x:c r="D139" s="15" t="str">
        <x:v>RECOMMENDED_BEFORE</x:v>
      </x:c>
      <x:c r="E139" s="9" t="str">
        <x:v>T03.15</x:v>
      </x:c>
      <x:c r="F139" s="9" t="str">
        <x:v>Matching cash-flow frequency, currency, and discount rates</x:v>
      </x:c>
      <x:c r="G139" s="9" t="str">
        <x:v>Suggested starting knowledge: Simple interest and compound interest. It helps you compare amounts received or paid at different times on a consistent basis.</x:v>
      </x:c>
      <x:c r="H139" s="9" t="str">
        <x:v>Suggested learning order; learners can still explore freely.</x:v>
      </x:c>
      <x:c r="I139" s="9" t="str">
        <x:v>Curated curriculum relationship</x:v>
      </x:c>
    </x:row>
    <x:row r="140" ht="58" customHeight="1">
      <x:c r="A140" s="10" t="str">
        <x:v>E0135</x:v>
      </x:c>
      <x:c r="B140" s="10" t="str">
        <x:v>T04.01</x:v>
      </x:c>
      <x:c r="C140" s="10" t="str">
        <x:v>The accounting equation</x:v>
      </x:c>
      <x:c r="D140" s="14" t="str">
        <x:v>PART_OF</x:v>
      </x:c>
      <x:c r="E140" s="10" t="str">
        <x:v>D04</x:v>
      </x:c>
      <x:c r="F140" s="10" t="str">
        <x:v>Accounting foundations</x:v>
      </x:c>
      <x:c r="G140" s="10" t="str">
        <x:v>Curriculum membership. Use this link to move between the topic and its finance area.</x:v>
      </x:c>
      <x:c r="H140" s="10" t="str">
        <x:v>Classification only; this edge is not a causal or calculation relationship.</x:v>
      </x:c>
      <x:c r="I140" s="10" t="str">
        <x:v>Curated curriculum relationship</x:v>
      </x:c>
    </x:row>
    <x:row r="141" ht="58" customHeight="1">
      <x:c r="A141" s="9" t="str">
        <x:v>E0136</x:v>
      </x:c>
      <x:c r="B141" s="9" t="str">
        <x:v>T04.01</x:v>
      </x:c>
      <x:c r="C141" s="9" t="str">
        <x:v>The accounting equation</x:v>
      </x:c>
      <x:c r="D141" s="15" t="str">
        <x:v>EXPLORE_WITH</x:v>
      </x:c>
      <x:c r="E141" s="9" t="str">
        <x:v>T04.02</x:v>
      </x:c>
      <x:c r="F141" s="9" t="str">
        <x:v>Double-entry bookkeeping</x:v>
      </x:c>
      <x:c r="G141" s="9" t="str">
        <x:v>Study these together to recognise and measure transactions before interpreting financial statements.</x:v>
      </x:c>
      <x:c r="H141" s="9" t="str">
        <x:v>A topical exploration link, not a claim that one determines the other.</x:v>
      </x:c>
      <x:c r="I141" s="9" t="str">
        <x:v>Curated curriculum relationship</x:v>
      </x:c>
    </x:row>
    <x:row r="142" ht="58" customHeight="1">
      <x:c r="A142" s="10" t="str">
        <x:v>E0137</x:v>
      </x:c>
      <x:c r="B142" s="10" t="str">
        <x:v>T01.05</x:v>
      </x:c>
      <x:c r="C142" s="10" t="str">
        <x:v>Income, expenses, assets, liabilities, equity, and wealth</x:v>
      </x:c>
      <x:c r="D142" s="14" t="str">
        <x:v>RECOMMENDED_BEFORE</x:v>
      </x:c>
      <x:c r="E142" s="10" t="str">
        <x:v>T04.01</x:v>
      </x:c>
      <x:c r="F142" s="10" t="str">
        <x:v>The accounting equation</x:v>
      </x:c>
      <x:c r="G142" s="10" t="str">
        <x:v>Suggested starting knowledge: Income, expenses, assets, liabilities, equity, and wealth. It helps you recognise and measure transactions before interpreting financial statements.</x:v>
      </x:c>
      <x:c r="H142" s="10" t="str">
        <x:v>Suggested learning order; learners can still explore freely.</x:v>
      </x:c>
      <x:c r="I142" s="10" t="str">
        <x:v>Curated curriculum relationship</x:v>
      </x:c>
    </x:row>
    <x:row r="143" ht="58" customHeight="1">
      <x:c r="A143" s="9" t="str">
        <x:v>E0138</x:v>
      </x:c>
      <x:c r="B143" s="9" t="str">
        <x:v>T04.02</x:v>
      </x:c>
      <x:c r="C143" s="9" t="str">
        <x:v>Double-entry bookkeeping</x:v>
      </x:c>
      <x:c r="D143" s="15" t="str">
        <x:v>PART_OF</x:v>
      </x:c>
      <x:c r="E143" s="9" t="str">
        <x:v>D04</x:v>
      </x:c>
      <x:c r="F143" s="9" t="str">
        <x:v>Accounting foundations</x:v>
      </x:c>
      <x:c r="G143" s="9" t="str">
        <x:v>Curriculum membership. Use this link to move between the topic and its finance area.</x:v>
      </x:c>
      <x:c r="H143" s="9" t="str">
        <x:v>Classification only; this edge is not a causal or calculation relationship.</x:v>
      </x:c>
      <x:c r="I143" s="9" t="str">
        <x:v>Curated curriculum relationship</x:v>
      </x:c>
    </x:row>
    <x:row r="144" ht="58" customHeight="1">
      <x:c r="A144" s="10" t="str">
        <x:v>E0139</x:v>
      </x:c>
      <x:c r="B144" s="10" t="str">
        <x:v>T04.02</x:v>
      </x:c>
      <x:c r="C144" s="10" t="str">
        <x:v>Double-entry bookkeeping</x:v>
      </x:c>
      <x:c r="D144" s="14" t="str">
        <x:v>EXPLORE_WITH</x:v>
      </x:c>
      <x:c r="E144" s="10" t="str">
        <x:v>T04.03</x:v>
      </x:c>
      <x:c r="F144" s="10" t="str">
        <x:v>Debits and credits</x:v>
      </x:c>
      <x:c r="G144" s="10" t="str">
        <x:v>Study these together to recognise and measure transactions before interpreting financial statements.</x:v>
      </x:c>
      <x:c r="H144" s="10" t="str">
        <x:v>A topical exploration link, not a claim that one determines the other.</x:v>
      </x:c>
      <x:c r="I144" s="10" t="str">
        <x:v>Curated curriculum relationship</x:v>
      </x:c>
    </x:row>
    <x:row r="145" ht="58" customHeight="1">
      <x:c r="A145" s="9" t="str">
        <x:v>E0140</x:v>
      </x:c>
      <x:c r="B145" s="9" t="str">
        <x:v>T01.05</x:v>
      </x:c>
      <x:c r="C145" s="9" t="str">
        <x:v>Income, expenses, assets, liabilities, equity, and wealth</x:v>
      </x:c>
      <x:c r="D145" s="15" t="str">
        <x:v>RECOMMENDED_BEFORE</x:v>
      </x:c>
      <x:c r="E145" s="9" t="str">
        <x:v>T04.02</x:v>
      </x:c>
      <x:c r="F145" s="9" t="str">
        <x:v>Double-entry bookkeeping</x:v>
      </x:c>
      <x:c r="G145" s="9" t="str">
        <x:v>Suggested starting knowledge: Income, expenses, assets, liabilities, equity, and wealth. It helps you recognise and measure transactions before interpreting financial statements.</x:v>
      </x:c>
      <x:c r="H145" s="9" t="str">
        <x:v>Suggested learning order; learners can still explore freely.</x:v>
      </x:c>
      <x:c r="I145" s="9" t="str">
        <x:v>Curated curriculum relationship</x:v>
      </x:c>
    </x:row>
    <x:row r="146" ht="58" customHeight="1">
      <x:c r="A146" s="10" t="str">
        <x:v>E0141</x:v>
      </x:c>
      <x:c r="B146" s="10" t="str">
        <x:v>T04.03</x:v>
      </x:c>
      <x:c r="C146" s="10" t="str">
        <x:v>Debits and credits</x:v>
      </x:c>
      <x:c r="D146" s="14" t="str">
        <x:v>PART_OF</x:v>
      </x:c>
      <x:c r="E146" s="10" t="str">
        <x:v>D04</x:v>
      </x:c>
      <x:c r="F146" s="10" t="str">
        <x:v>Accounting foundations</x:v>
      </x:c>
      <x:c r="G146" s="10" t="str">
        <x:v>Curriculum membership. Use this link to move between the topic and its finance area.</x:v>
      </x:c>
      <x:c r="H146" s="10" t="str">
        <x:v>Classification only; this edge is not a causal or calculation relationship.</x:v>
      </x:c>
      <x:c r="I146" s="10" t="str">
        <x:v>Curated curriculum relationship</x:v>
      </x:c>
    </x:row>
    <x:row r="147" ht="58" customHeight="1">
      <x:c r="A147" s="9" t="str">
        <x:v>E0142</x:v>
      </x:c>
      <x:c r="B147" s="9" t="str">
        <x:v>T04.03</x:v>
      </x:c>
      <x:c r="C147" s="9" t="str">
        <x:v>Debits and credits</x:v>
      </x:c>
      <x:c r="D147" s="15" t="str">
        <x:v>EXPLORE_WITH</x:v>
      </x:c>
      <x:c r="E147" s="9" t="str">
        <x:v>T04.02</x:v>
      </x:c>
      <x:c r="F147" s="9" t="str">
        <x:v>Double-entry bookkeeping</x:v>
      </x:c>
      <x:c r="G147" s="9" t="str">
        <x:v>Study these together to recognise and measure transactions before interpreting financial statements.</x:v>
      </x:c>
      <x:c r="H147" s="9" t="str">
        <x:v>A topical exploration link, not a claim that one determines the other.</x:v>
      </x:c>
      <x:c r="I147" s="9" t="str">
        <x:v>Curated curriculum relationship</x:v>
      </x:c>
    </x:row>
    <x:row r="148" ht="58" customHeight="1">
      <x:c r="A148" s="10" t="str">
        <x:v>E0143</x:v>
      </x:c>
      <x:c r="B148" s="10" t="str">
        <x:v>T01.05</x:v>
      </x:c>
      <x:c r="C148" s="10" t="str">
        <x:v>Income, expenses, assets, liabilities, equity, and wealth</x:v>
      </x:c>
      <x:c r="D148" s="14" t="str">
        <x:v>RECOMMENDED_BEFORE</x:v>
      </x:c>
      <x:c r="E148" s="10" t="str">
        <x:v>T04.03</x:v>
      </x:c>
      <x:c r="F148" s="10" t="str">
        <x:v>Debits and credits</x:v>
      </x:c>
      <x:c r="G148" s="10" t="str">
        <x:v>Suggested starting knowledge: Income, expenses, assets, liabilities, equity, and wealth. It helps you recognise and measure transactions before interpreting financial statements.</x:v>
      </x:c>
      <x:c r="H148" s="10" t="str">
        <x:v>Suggested learning order; learners can still explore freely.</x:v>
      </x:c>
      <x:c r="I148" s="10" t="str">
        <x:v>Curated curriculum relationship</x:v>
      </x:c>
    </x:row>
    <x:row r="149" ht="58" customHeight="1">
      <x:c r="A149" s="9" t="str">
        <x:v>E0144</x:v>
      </x:c>
      <x:c r="B149" s="9" t="str">
        <x:v>T04.04</x:v>
      </x:c>
      <x:c r="C149" s="9" t="str">
        <x:v>Journals, ledgers, trial balances, and closing entries</x:v>
      </x:c>
      <x:c r="D149" s="15" t="str">
        <x:v>PART_OF</x:v>
      </x:c>
      <x:c r="E149" s="9" t="str">
        <x:v>D04</x:v>
      </x:c>
      <x:c r="F149" s="9" t="str">
        <x:v>Accounting foundations</x:v>
      </x:c>
      <x:c r="G149" s="9" t="str">
        <x:v>Curriculum membership. Use this link to move between the topic and its finance area.</x:v>
      </x:c>
      <x:c r="H149" s="9" t="str">
        <x:v>Classification only; this edge is not a causal or calculation relationship.</x:v>
      </x:c>
      <x:c r="I149" s="9" t="str">
        <x:v>Curated curriculum relationship</x:v>
      </x:c>
    </x:row>
    <x:row r="150" ht="58" customHeight="1">
      <x:c r="A150" s="10" t="str">
        <x:v>E0145</x:v>
      </x:c>
      <x:c r="B150" s="10" t="str">
        <x:v>T04.04</x:v>
      </x:c>
      <x:c r="C150" s="10" t="str">
        <x:v>Journals, ledgers, trial balances, and closing entries</x:v>
      </x:c>
      <x:c r="D150" s="14" t="str">
        <x:v>EXPLORE_WITH</x:v>
      </x:c>
      <x:c r="E150" s="10" t="str">
        <x:v>T04.02</x:v>
      </x:c>
      <x:c r="F150" s="10" t="str">
        <x:v>Double-entry bookkeeping</x:v>
      </x:c>
      <x:c r="G150" s="10" t="str">
        <x:v>Study these together to recognise and measure transactions before interpreting financial statements.</x:v>
      </x:c>
      <x:c r="H150" s="10" t="str">
        <x:v>A topical exploration link, not a claim that one determines the other.</x:v>
      </x:c>
      <x:c r="I150" s="10" t="str">
        <x:v>Curated curriculum relationship</x:v>
      </x:c>
    </x:row>
    <x:row r="151" ht="58" customHeight="1">
      <x:c r="A151" s="9" t="str">
        <x:v>E0146</x:v>
      </x:c>
      <x:c r="B151" s="9" t="str">
        <x:v>T01.05</x:v>
      </x:c>
      <x:c r="C151" s="9" t="str">
        <x:v>Income, expenses, assets, liabilities, equity, and wealth</x:v>
      </x:c>
      <x:c r="D151" s="15" t="str">
        <x:v>RECOMMENDED_BEFORE</x:v>
      </x:c>
      <x:c r="E151" s="9" t="str">
        <x:v>T04.04</x:v>
      </x:c>
      <x:c r="F151" s="9" t="str">
        <x:v>Journals, ledgers, trial balances, and closing entries</x:v>
      </x:c>
      <x:c r="G151" s="9" t="str">
        <x:v>Suggested starting knowledge: Income, expenses, assets, liabilities, equity, and wealth. It helps you recognise and measure transactions before interpreting financial statements.</x:v>
      </x:c>
      <x:c r="H151" s="9" t="str">
        <x:v>Suggested learning order; learners can still explore freely.</x:v>
      </x:c>
      <x:c r="I151" s="9" t="str">
        <x:v>Curated curriculum relationship</x:v>
      </x:c>
    </x:row>
    <x:row r="152" ht="58" customHeight="1">
      <x:c r="A152" s="10" t="str">
        <x:v>E0147</x:v>
      </x:c>
      <x:c r="B152" s="10" t="str">
        <x:v>T04.05</x:v>
      </x:c>
      <x:c r="C152" s="10" t="str">
        <x:v>Cash accounting versus accrual accounting</x:v>
      </x:c>
      <x:c r="D152" s="14" t="str">
        <x:v>PART_OF</x:v>
      </x:c>
      <x:c r="E152" s="10" t="str">
        <x:v>D04</x:v>
      </x:c>
      <x:c r="F152" s="10" t="str">
        <x:v>Accounting foundations</x:v>
      </x:c>
      <x:c r="G152" s="10" t="str">
        <x:v>Curriculum membership. Use this link to move between the topic and its finance area.</x:v>
      </x:c>
      <x:c r="H152" s="10" t="str">
        <x:v>Classification only; this edge is not a causal or calculation relationship.</x:v>
      </x:c>
      <x:c r="I152" s="10" t="str">
        <x:v>Curated curriculum relationship</x:v>
      </x:c>
    </x:row>
    <x:row r="153" ht="58" customHeight="1">
      <x:c r="A153" s="9" t="str">
        <x:v>E0148</x:v>
      </x:c>
      <x:c r="B153" s="9" t="str">
        <x:v>T04.05</x:v>
      </x:c>
      <x:c r="C153" s="9" t="str">
        <x:v>Cash accounting versus accrual accounting</x:v>
      </x:c>
      <x:c r="D153" s="15" t="str">
        <x:v>EXPLORE_WITH</x:v>
      </x:c>
      <x:c r="E153" s="9" t="str">
        <x:v>T04.06</x:v>
      </x:c>
      <x:c r="F153" s="9" t="str">
        <x:v>Revenue recognition and expense recognition</x:v>
      </x:c>
      <x:c r="G153" s="9" t="str">
        <x:v>Study these together to recognise and measure transactions before interpreting financial statements.</x:v>
      </x:c>
      <x:c r="H153" s="9" t="str">
        <x:v>A topical exploration link, not a claim that one determines the other.</x:v>
      </x:c>
      <x:c r="I153" s="9" t="str">
        <x:v>Curated curriculum relationship</x:v>
      </x:c>
    </x:row>
    <x:row r="154" ht="58" customHeight="1">
      <x:c r="A154" s="10" t="str">
        <x:v>E0149</x:v>
      </x:c>
      <x:c r="B154" s="10" t="str">
        <x:v>T01.05</x:v>
      </x:c>
      <x:c r="C154" s="10" t="str">
        <x:v>Income, expenses, assets, liabilities, equity, and wealth</x:v>
      </x:c>
      <x:c r="D154" s="14" t="str">
        <x:v>RECOMMENDED_BEFORE</x:v>
      </x:c>
      <x:c r="E154" s="10" t="str">
        <x:v>T04.05</x:v>
      </x:c>
      <x:c r="F154" s="10" t="str">
        <x:v>Cash accounting versus accrual accounting</x:v>
      </x:c>
      <x:c r="G154" s="10" t="str">
        <x:v>Suggested starting knowledge: Income, expenses, assets, liabilities, equity, and wealth. It helps you recognise and measure transactions before interpreting financial statements.</x:v>
      </x:c>
      <x:c r="H154" s="10" t="str">
        <x:v>Suggested learning order; learners can still explore freely.</x:v>
      </x:c>
      <x:c r="I154" s="10" t="str">
        <x:v>Curated curriculum relationship</x:v>
      </x:c>
    </x:row>
    <x:row r="155" ht="58" customHeight="1">
      <x:c r="A155" s="9" t="str">
        <x:v>E0150</x:v>
      </x:c>
      <x:c r="B155" s="9" t="str">
        <x:v>T04.06</x:v>
      </x:c>
      <x:c r="C155" s="9" t="str">
        <x:v>Revenue recognition and expense recognition</x:v>
      </x:c>
      <x:c r="D155" s="15" t="str">
        <x:v>PART_OF</x:v>
      </x:c>
      <x:c r="E155" s="9" t="str">
        <x:v>D04</x:v>
      </x:c>
      <x:c r="F155" s="9" t="str">
        <x:v>Accounting foundations</x:v>
      </x:c>
      <x:c r="G155" s="9" t="str">
        <x:v>Curriculum membership. Use this link to move between the topic and its finance area.</x:v>
      </x:c>
      <x:c r="H155" s="9" t="str">
        <x:v>Classification only; this edge is not a causal or calculation relationship.</x:v>
      </x:c>
      <x:c r="I155" s="9" t="str">
        <x:v>Curated curriculum relationship</x:v>
      </x:c>
    </x:row>
    <x:row r="156" ht="58" customHeight="1">
      <x:c r="A156" s="10" t="str">
        <x:v>E0151</x:v>
      </x:c>
      <x:c r="B156" s="10" t="str">
        <x:v>T04.06</x:v>
      </x:c>
      <x:c r="C156" s="10" t="str">
        <x:v>Revenue recognition and expense recognition</x:v>
      </x:c>
      <x:c r="D156" s="14" t="str">
        <x:v>EXPLORE_WITH</x:v>
      </x:c>
      <x:c r="E156" s="10" t="str">
        <x:v>T04.05</x:v>
      </x:c>
      <x:c r="F156" s="10" t="str">
        <x:v>Cash accounting versus accrual accounting</x:v>
      </x:c>
      <x:c r="G156" s="10" t="str">
        <x:v>Study these together to recognise and measure transactions before interpreting financial statements.</x:v>
      </x:c>
      <x:c r="H156" s="10" t="str">
        <x:v>A topical exploration link, not a claim that one determines the other.</x:v>
      </x:c>
      <x:c r="I156" s="10" t="str">
        <x:v>Curated curriculum relationship</x:v>
      </x:c>
    </x:row>
    <x:row r="157" ht="58" customHeight="1">
      <x:c r="A157" s="9" t="str">
        <x:v>E0152</x:v>
      </x:c>
      <x:c r="B157" s="9" t="str">
        <x:v>T01.05</x:v>
      </x:c>
      <x:c r="C157" s="9" t="str">
        <x:v>Income, expenses, assets, liabilities, equity, and wealth</x:v>
      </x:c>
      <x:c r="D157" s="15" t="str">
        <x:v>RECOMMENDED_BEFORE</x:v>
      </x:c>
      <x:c r="E157" s="9" t="str">
        <x:v>T04.06</x:v>
      </x:c>
      <x:c r="F157" s="9" t="str">
        <x:v>Revenue recognition and expense recognition</x:v>
      </x:c>
      <x:c r="G157" s="9" t="str">
        <x:v>Suggested starting knowledge: Income, expenses, assets, liabilities, equity, and wealth. It helps you recognise and measure transactions before interpreting financial statements.</x:v>
      </x:c>
      <x:c r="H157" s="9" t="str">
        <x:v>Suggested learning order; learners can still explore freely.</x:v>
      </x:c>
      <x:c r="I157" s="9" t="str">
        <x:v>Curated curriculum relationship</x:v>
      </x:c>
    </x:row>
    <x:row r="158" ht="58" customHeight="1">
      <x:c r="A158" s="10" t="str">
        <x:v>E0153</x:v>
      </x:c>
      <x:c r="B158" s="10" t="str">
        <x:v>T04.07</x:v>
      </x:c>
      <x:c r="C158" s="10" t="str">
        <x:v>Accruals, deferrals, prepayments, and provisions</x:v>
      </x:c>
      <x:c r="D158" s="14" t="str">
        <x:v>PART_OF</x:v>
      </x:c>
      <x:c r="E158" s="10" t="str">
        <x:v>D04</x:v>
      </x:c>
      <x:c r="F158" s="10" t="str">
        <x:v>Accounting foundations</x:v>
      </x:c>
      <x:c r="G158" s="10" t="str">
        <x:v>Curriculum membership. Use this link to move between the topic and its finance area.</x:v>
      </x:c>
      <x:c r="H158" s="10" t="str">
        <x:v>Classification only; this edge is not a causal or calculation relationship.</x:v>
      </x:c>
      <x:c r="I158" s="10" t="str">
        <x:v>Curated curriculum relationship</x:v>
      </x:c>
    </x:row>
    <x:row r="159" ht="58" customHeight="1">
      <x:c r="A159" s="9" t="str">
        <x:v>E0154</x:v>
      </x:c>
      <x:c r="B159" s="9" t="str">
        <x:v>T04.07</x:v>
      </x:c>
      <x:c r="C159" s="9" t="str">
        <x:v>Accruals, deferrals, prepayments, and provisions</x:v>
      </x:c>
      <x:c r="D159" s="15" t="str">
        <x:v>EXPLORE_WITH</x:v>
      </x:c>
      <x:c r="E159" s="9" t="str">
        <x:v>T04.05</x:v>
      </x:c>
      <x:c r="F159" s="9" t="str">
        <x:v>Cash accounting versus accrual accounting</x:v>
      </x:c>
      <x:c r="G159" s="9" t="str">
        <x:v>Study these together to recognise and measure transactions before interpreting financial statements.</x:v>
      </x:c>
      <x:c r="H159" s="9" t="str">
        <x:v>A topical exploration link, not a claim that one determines the other.</x:v>
      </x:c>
      <x:c r="I159" s="9" t="str">
        <x:v>Curated curriculum relationship</x:v>
      </x:c>
    </x:row>
    <x:row r="160" ht="58" customHeight="1">
      <x:c r="A160" s="10" t="str">
        <x:v>E0155</x:v>
      </x:c>
      <x:c r="B160" s="10" t="str">
        <x:v>T01.05</x:v>
      </x:c>
      <x:c r="C160" s="10" t="str">
        <x:v>Income, expenses, assets, liabilities, equity, and wealth</x:v>
      </x:c>
      <x:c r="D160" s="14" t="str">
        <x:v>RECOMMENDED_BEFORE</x:v>
      </x:c>
      <x:c r="E160" s="10" t="str">
        <x:v>T04.07</x:v>
      </x:c>
      <x:c r="F160" s="10" t="str">
        <x:v>Accruals, deferrals, prepayments, and provisions</x:v>
      </x:c>
      <x:c r="G160" s="10" t="str">
        <x:v>Suggested starting knowledge: Income, expenses, assets, liabilities, equity, and wealth. It helps you recognise and measure transactions before interpreting financial statements.</x:v>
      </x:c>
      <x:c r="H160" s="10" t="str">
        <x:v>Suggested learning order; learners can still explore freely.</x:v>
      </x:c>
      <x:c r="I160" s="10" t="str">
        <x:v>Curated curriculum relationship</x:v>
      </x:c>
    </x:row>
    <x:row r="161" ht="58" customHeight="1">
      <x:c r="A161" s="9" t="str">
        <x:v>E0156</x:v>
      </x:c>
      <x:c r="B161" s="9" t="str">
        <x:v>T04.08</x:v>
      </x:c>
      <x:c r="C161" s="9" t="str">
        <x:v>Capital expenditure versus operating expenditure</x:v>
      </x:c>
      <x:c r="D161" s="15" t="str">
        <x:v>PART_OF</x:v>
      </x:c>
      <x:c r="E161" s="9" t="str">
        <x:v>D04</x:v>
      </x:c>
      <x:c r="F161" s="9" t="str">
        <x:v>Accounting foundations</x:v>
      </x:c>
      <x:c r="G161" s="9" t="str">
        <x:v>Curriculum membership. Use this link to move between the topic and its finance area.</x:v>
      </x:c>
      <x:c r="H161" s="9" t="str">
        <x:v>Classification only; this edge is not a causal or calculation relationship.</x:v>
      </x:c>
      <x:c r="I161" s="9" t="str">
        <x:v>Curated curriculum relationship</x:v>
      </x:c>
    </x:row>
    <x:row r="162" ht="58" customHeight="1">
      <x:c r="A162" s="10" t="str">
        <x:v>E0157</x:v>
      </x:c>
      <x:c r="B162" s="10" t="str">
        <x:v>T04.08</x:v>
      </x:c>
      <x:c r="C162" s="10" t="str">
        <x:v>Capital expenditure versus operating expenditure</x:v>
      </x:c>
      <x:c r="D162" s="14" t="str">
        <x:v>EXPLORE_WITH</x:v>
      </x:c>
      <x:c r="E162" s="10" t="str">
        <x:v>T04.09</x:v>
      </x:c>
      <x:c r="F162" s="10" t="str">
        <x:v>Capitalisation versus immediate expensing</x:v>
      </x:c>
      <x:c r="G162" s="10" t="str">
        <x:v>Study these together to recognise and measure transactions before interpreting financial statements.</x:v>
      </x:c>
      <x:c r="H162" s="10" t="str">
        <x:v>A topical exploration link, not a claim that one determines the other.</x:v>
      </x:c>
      <x:c r="I162" s="10" t="str">
        <x:v>Curated curriculum relationship</x:v>
      </x:c>
    </x:row>
    <x:row r="163" ht="58" customHeight="1">
      <x:c r="A163" s="9" t="str">
        <x:v>E0158</x:v>
      </x:c>
      <x:c r="B163" s="9" t="str">
        <x:v>T01.05</x:v>
      </x:c>
      <x:c r="C163" s="9" t="str">
        <x:v>Income, expenses, assets, liabilities, equity, and wealth</x:v>
      </x:c>
      <x:c r="D163" s="15" t="str">
        <x:v>RECOMMENDED_BEFORE</x:v>
      </x:c>
      <x:c r="E163" s="9" t="str">
        <x:v>T04.08</x:v>
      </x:c>
      <x:c r="F163" s="9" t="str">
        <x:v>Capital expenditure versus operating expenditure</x:v>
      </x:c>
      <x:c r="G163" s="9" t="str">
        <x:v>Suggested starting knowledge: Income, expenses, assets, liabilities, equity, and wealth. It helps you recognise and measure transactions before interpreting financial statements.</x:v>
      </x:c>
      <x:c r="H163" s="9" t="str">
        <x:v>Suggested learning order; learners can still explore freely.</x:v>
      </x:c>
      <x:c r="I163" s="9" t="str">
        <x:v>Curated curriculum relationship</x:v>
      </x:c>
    </x:row>
    <x:row r="164" ht="58" customHeight="1">
      <x:c r="A164" s="10" t="str">
        <x:v>E0159</x:v>
      </x:c>
      <x:c r="B164" s="10" t="str">
        <x:v>T04.09</x:v>
      </x:c>
      <x:c r="C164" s="10" t="str">
        <x:v>Capitalisation versus immediate expensing</x:v>
      </x:c>
      <x:c r="D164" s="14" t="str">
        <x:v>PART_OF</x:v>
      </x:c>
      <x:c r="E164" s="10" t="str">
        <x:v>D04</x:v>
      </x:c>
      <x:c r="F164" s="10" t="str">
        <x:v>Accounting foundations</x:v>
      </x:c>
      <x:c r="G164" s="10" t="str">
        <x:v>Curriculum membership. Use this link to move between the topic and its finance area.</x:v>
      </x:c>
      <x:c r="H164" s="10" t="str">
        <x:v>Classification only; this edge is not a causal or calculation relationship.</x:v>
      </x:c>
      <x:c r="I164" s="10" t="str">
        <x:v>Curated curriculum relationship</x:v>
      </x:c>
    </x:row>
    <x:row r="165" ht="58" customHeight="1">
      <x:c r="A165" s="9" t="str">
        <x:v>E0160</x:v>
      </x:c>
      <x:c r="B165" s="9" t="str">
        <x:v>T04.09</x:v>
      </x:c>
      <x:c r="C165" s="9" t="str">
        <x:v>Capitalisation versus immediate expensing</x:v>
      </x:c>
      <x:c r="D165" s="15" t="str">
        <x:v>EXPLORE_WITH</x:v>
      </x:c>
      <x:c r="E165" s="9" t="str">
        <x:v>T04.08</x:v>
      </x:c>
      <x:c r="F165" s="9" t="str">
        <x:v>Capital expenditure versus operating expenditure</x:v>
      </x:c>
      <x:c r="G165" s="9" t="str">
        <x:v>Study these together to recognise and measure transactions before interpreting financial statements.</x:v>
      </x:c>
      <x:c r="H165" s="9" t="str">
        <x:v>A topical exploration link, not a claim that one determines the other.</x:v>
      </x:c>
      <x:c r="I165" s="9" t="str">
        <x:v>Curated curriculum relationship</x:v>
      </x:c>
    </x:row>
    <x:row r="166" ht="58" customHeight="1">
      <x:c r="A166" s="10" t="str">
        <x:v>E0161</x:v>
      </x:c>
      <x:c r="B166" s="10" t="str">
        <x:v>T01.05</x:v>
      </x:c>
      <x:c r="C166" s="10" t="str">
        <x:v>Income, expenses, assets, liabilities, equity, and wealth</x:v>
      </x:c>
      <x:c r="D166" s="14" t="str">
        <x:v>RECOMMENDED_BEFORE</x:v>
      </x:c>
      <x:c r="E166" s="10" t="str">
        <x:v>T04.09</x:v>
      </x:c>
      <x:c r="F166" s="10" t="str">
        <x:v>Capitalisation versus immediate expensing</x:v>
      </x:c>
      <x:c r="G166" s="10" t="str">
        <x:v>Suggested starting knowledge: Income, expenses, assets, liabilities, equity, and wealth. It helps you recognise and measure transactions before interpreting financial statements.</x:v>
      </x:c>
      <x:c r="H166" s="10" t="str">
        <x:v>Suggested learning order; learners can still explore freely.</x:v>
      </x:c>
      <x:c r="I166" s="10" t="str">
        <x:v>Curated curriculum relationship</x:v>
      </x:c>
    </x:row>
    <x:row r="167" ht="58" customHeight="1">
      <x:c r="A167" s="9" t="str">
        <x:v>E0162</x:v>
      </x:c>
      <x:c r="B167" s="9" t="str">
        <x:v>T04.10</x:v>
      </x:c>
      <x:c r="C167" s="9" t="str">
        <x:v>Historical cost, fair value, and amortised cost</x:v>
      </x:c>
      <x:c r="D167" s="15" t="str">
        <x:v>PART_OF</x:v>
      </x:c>
      <x:c r="E167" s="9" t="str">
        <x:v>D04</x:v>
      </x:c>
      <x:c r="F167" s="9" t="str">
        <x:v>Accounting foundations</x:v>
      </x:c>
      <x:c r="G167" s="9" t="str">
        <x:v>Curriculum membership. Use this link to move between the topic and its finance area.</x:v>
      </x:c>
      <x:c r="H167" s="9" t="str">
        <x:v>Classification only; this edge is not a causal or calculation relationship.</x:v>
      </x:c>
      <x:c r="I167" s="9" t="str">
        <x:v>Curated curriculum relationship</x:v>
      </x:c>
    </x:row>
    <x:row r="168" ht="58" customHeight="1">
      <x:c r="A168" s="10" t="str">
        <x:v>E0163</x:v>
      </x:c>
      <x:c r="B168" s="10" t="str">
        <x:v>T04.10</x:v>
      </x:c>
      <x:c r="C168" s="10" t="str">
        <x:v>Historical cost, fair value, and amortised cost</x:v>
      </x:c>
      <x:c r="D168" s="14" t="str">
        <x:v>EXPLORE_WITH</x:v>
      </x:c>
      <x:c r="E168" s="10" t="str">
        <x:v>T04.15</x:v>
      </x:c>
      <x:c r="F168" s="10" t="str">
        <x:v>Financial reporting frameworks: Ind AS, IFRS, and US GAAP</x:v>
      </x:c>
      <x:c r="G168" s="10" t="str">
        <x:v>Study these together to recognise and measure transactions before interpreting financial statements.</x:v>
      </x:c>
      <x:c r="H168" s="10" t="str">
        <x:v>A topical exploration link, not a claim that one determines the other.</x:v>
      </x:c>
      <x:c r="I168" s="10" t="str">
        <x:v>Curated curriculum relationship</x:v>
      </x:c>
    </x:row>
    <x:row r="169" ht="58" customHeight="1">
      <x:c r="A169" s="9" t="str">
        <x:v>E0164</x:v>
      </x:c>
      <x:c r="B169" s="9" t="str">
        <x:v>T01.05</x:v>
      </x:c>
      <x:c r="C169" s="9" t="str">
        <x:v>Income, expenses, assets, liabilities, equity, and wealth</x:v>
      </x:c>
      <x:c r="D169" s="15" t="str">
        <x:v>RECOMMENDED_BEFORE</x:v>
      </x:c>
      <x:c r="E169" s="9" t="str">
        <x:v>T04.10</x:v>
      </x:c>
      <x:c r="F169" s="9" t="str">
        <x:v>Historical cost, fair value, and amortised cost</x:v>
      </x:c>
      <x:c r="G169" s="9" t="str">
        <x:v>Suggested starting knowledge: Income, expenses, assets, liabilities, equity, and wealth. It helps you recognise and measure transactions before interpreting financial statements.</x:v>
      </x:c>
      <x:c r="H169" s="9" t="str">
        <x:v>Suggested learning order; learners can still explore freely.</x:v>
      </x:c>
      <x:c r="I169" s="9" t="str">
        <x:v>Curated curriculum relationship</x:v>
      </x:c>
    </x:row>
    <x:row r="170" ht="58" customHeight="1">
      <x:c r="A170" s="10" t="str">
        <x:v>E0165</x:v>
      </x:c>
      <x:c r="B170" s="10" t="str">
        <x:v>T04.11</x:v>
      </x:c>
      <x:c r="C170" s="10" t="str">
        <x:v>Materiality, prudence, consistency, and going concern</x:v>
      </x:c>
      <x:c r="D170" s="14" t="str">
        <x:v>PART_OF</x:v>
      </x:c>
      <x:c r="E170" s="10" t="str">
        <x:v>D04</x:v>
      </x:c>
      <x:c r="F170" s="10" t="str">
        <x:v>Accounting foundations</x:v>
      </x:c>
      <x:c r="G170" s="10" t="str">
        <x:v>Curriculum membership. Use this link to move between the topic and its finance area.</x:v>
      </x:c>
      <x:c r="H170" s="10" t="str">
        <x:v>Classification only; this edge is not a causal or calculation relationship.</x:v>
      </x:c>
      <x:c r="I170" s="10" t="str">
        <x:v>Curated curriculum relationship</x:v>
      </x:c>
    </x:row>
    <x:row r="171" ht="58" customHeight="1">
      <x:c r="A171" s="9" t="str">
        <x:v>E0166</x:v>
      </x:c>
      <x:c r="B171" s="9" t="str">
        <x:v>T04.11</x:v>
      </x:c>
      <x:c r="C171" s="9" t="str">
        <x:v>Materiality, prudence, consistency, and going concern</x:v>
      </x:c>
      <x:c r="D171" s="15" t="str">
        <x:v>EXPLORE_WITH</x:v>
      </x:c>
      <x:c r="E171" s="9" t="str">
        <x:v>T04.12</x:v>
      </x:c>
      <x:c r="F171" s="9" t="str">
        <x:v>Accounting estimates, policy changes, and errors</x:v>
      </x:c>
      <x:c r="G171" s="9" t="str">
        <x:v>Study these together to recognise and measure transactions before interpreting financial statements.</x:v>
      </x:c>
      <x:c r="H171" s="9" t="str">
        <x:v>A topical exploration link, not a claim that one determines the other.</x:v>
      </x:c>
      <x:c r="I171" s="9" t="str">
        <x:v>Curated curriculum relationship</x:v>
      </x:c>
    </x:row>
    <x:row r="172" ht="58" customHeight="1">
      <x:c r="A172" s="10" t="str">
        <x:v>E0167</x:v>
      </x:c>
      <x:c r="B172" s="10" t="str">
        <x:v>T01.05</x:v>
      </x:c>
      <x:c r="C172" s="10" t="str">
        <x:v>Income, expenses, assets, liabilities, equity, and wealth</x:v>
      </x:c>
      <x:c r="D172" s="14" t="str">
        <x:v>RECOMMENDED_BEFORE</x:v>
      </x:c>
      <x:c r="E172" s="10" t="str">
        <x:v>T04.11</x:v>
      </x:c>
      <x:c r="F172" s="10" t="str">
        <x:v>Materiality, prudence, consistency, and going concern</x:v>
      </x:c>
      <x:c r="G172" s="10" t="str">
        <x:v>Suggested starting knowledge: Income, expenses, assets, liabilities, equity, and wealth. It helps you recognise and measure transactions before interpreting financial statements.</x:v>
      </x:c>
      <x:c r="H172" s="10" t="str">
        <x:v>Suggested learning order; learners can still explore freely.</x:v>
      </x:c>
      <x:c r="I172" s="10" t="str">
        <x:v>Curated curriculum relationship</x:v>
      </x:c>
    </x:row>
    <x:row r="173" ht="58" customHeight="1">
      <x:c r="A173" s="9" t="str">
        <x:v>E0168</x:v>
      </x:c>
      <x:c r="B173" s="9" t="str">
        <x:v>T04.12</x:v>
      </x:c>
      <x:c r="C173" s="9" t="str">
        <x:v>Accounting estimates, policy changes, and errors</x:v>
      </x:c>
      <x:c r="D173" s="15" t="str">
        <x:v>PART_OF</x:v>
      </x:c>
      <x:c r="E173" s="9" t="str">
        <x:v>D04</x:v>
      </x:c>
      <x:c r="F173" s="9" t="str">
        <x:v>Accounting foundations</x:v>
      </x:c>
      <x:c r="G173" s="9" t="str">
        <x:v>Curriculum membership. Use this link to move between the topic and its finance area.</x:v>
      </x:c>
      <x:c r="H173" s="9" t="str">
        <x:v>Classification only; this edge is not a causal or calculation relationship.</x:v>
      </x:c>
      <x:c r="I173" s="9" t="str">
        <x:v>Curated curriculum relationship</x:v>
      </x:c>
    </x:row>
    <x:row r="174" ht="58" customHeight="1">
      <x:c r="A174" s="10" t="str">
        <x:v>E0169</x:v>
      </x:c>
      <x:c r="B174" s="10" t="str">
        <x:v>T04.12</x:v>
      </x:c>
      <x:c r="C174" s="10" t="str">
        <x:v>Accounting estimates, policy changes, and errors</x:v>
      </x:c>
      <x:c r="D174" s="14" t="str">
        <x:v>EXPLORE_WITH</x:v>
      </x:c>
      <x:c r="E174" s="10" t="str">
        <x:v>T04.11</x:v>
      </x:c>
      <x:c r="F174" s="10" t="str">
        <x:v>Materiality, prudence, consistency, and going concern</x:v>
      </x:c>
      <x:c r="G174" s="10" t="str">
        <x:v>Study these together to recognise and measure transactions before interpreting financial statements.</x:v>
      </x:c>
      <x:c r="H174" s="10" t="str">
        <x:v>A topical exploration link, not a claim that one determines the other.</x:v>
      </x:c>
      <x:c r="I174" s="10" t="str">
        <x:v>Curated curriculum relationship</x:v>
      </x:c>
    </x:row>
    <x:row r="175" ht="58" customHeight="1">
      <x:c r="A175" s="9" t="str">
        <x:v>E0170</x:v>
      </x:c>
      <x:c r="B175" s="9" t="str">
        <x:v>T01.05</x:v>
      </x:c>
      <x:c r="C175" s="9" t="str">
        <x:v>Income, expenses, assets, liabilities, equity, and wealth</x:v>
      </x:c>
      <x:c r="D175" s="15" t="str">
        <x:v>RECOMMENDED_BEFORE</x:v>
      </x:c>
      <x:c r="E175" s="9" t="str">
        <x:v>T04.12</x:v>
      </x:c>
      <x:c r="F175" s="9" t="str">
        <x:v>Accounting estimates, policy changes, and errors</x:v>
      </x:c>
      <x:c r="G175" s="9" t="str">
        <x:v>Suggested starting knowledge: Income, expenses, assets, liabilities, equity, and wealth. It helps you recognise and measure transactions before interpreting financial statements.</x:v>
      </x:c>
      <x:c r="H175" s="9" t="str">
        <x:v>Suggested learning order; learners can still explore freely.</x:v>
      </x:c>
      <x:c r="I175" s="9" t="str">
        <x:v>Curated curriculum relationship</x:v>
      </x:c>
    </x:row>
    <x:row r="176" ht="58" customHeight="1">
      <x:c r="A176" s="10" t="str">
        <x:v>E0171</x:v>
      </x:c>
      <x:c r="B176" s="10" t="str">
        <x:v>T04.13</x:v>
      </x:c>
      <x:c r="C176" s="10" t="str">
        <x:v>Reporting periods and comparative statements</x:v>
      </x:c>
      <x:c r="D176" s="14" t="str">
        <x:v>PART_OF</x:v>
      </x:c>
      <x:c r="E176" s="10" t="str">
        <x:v>D04</x:v>
      </x:c>
      <x:c r="F176" s="10" t="str">
        <x:v>Accounting foundations</x:v>
      </x:c>
      <x:c r="G176" s="10" t="str">
        <x:v>Curriculum membership. Use this link to move between the topic and its finance area.</x:v>
      </x:c>
      <x:c r="H176" s="10" t="str">
        <x:v>Classification only; this edge is not a causal or calculation relationship.</x:v>
      </x:c>
      <x:c r="I176" s="10" t="str">
        <x:v>Curated curriculum relationship</x:v>
      </x:c>
    </x:row>
    <x:row r="177" ht="58" customHeight="1">
      <x:c r="A177" s="9" t="str">
        <x:v>E0172</x:v>
      </x:c>
      <x:c r="B177" s="9" t="str">
        <x:v>T04.13</x:v>
      </x:c>
      <x:c r="C177" s="9" t="str">
        <x:v>Reporting periods and comparative statements</x:v>
      </x:c>
      <x:c r="D177" s="15" t="str">
        <x:v>EXPLORE_WITH</x:v>
      </x:c>
      <x:c r="E177" s="9" t="str">
        <x:v>T04.16</x:v>
      </x:c>
      <x:c r="F177" s="9" t="str">
        <x:v>Annual reports, interim reports, and regulatory filings</x:v>
      </x:c>
      <x:c r="G177" s="9" t="str">
        <x:v>Study these together to recognise and measure transactions before interpreting financial statements.</x:v>
      </x:c>
      <x:c r="H177" s="9" t="str">
        <x:v>A topical exploration link, not a claim that one determines the other.</x:v>
      </x:c>
      <x:c r="I177" s="9" t="str">
        <x:v>Curated curriculum relationship</x:v>
      </x:c>
    </x:row>
    <x:row r="178" ht="58" customHeight="1">
      <x:c r="A178" s="10" t="str">
        <x:v>E0173</x:v>
      </x:c>
      <x:c r="B178" s="10" t="str">
        <x:v>T01.05</x:v>
      </x:c>
      <x:c r="C178" s="10" t="str">
        <x:v>Income, expenses, assets, liabilities, equity, and wealth</x:v>
      </x:c>
      <x:c r="D178" s="14" t="str">
        <x:v>RECOMMENDED_BEFORE</x:v>
      </x:c>
      <x:c r="E178" s="10" t="str">
        <x:v>T04.13</x:v>
      </x:c>
      <x:c r="F178" s="10" t="str">
        <x:v>Reporting periods and comparative statements</x:v>
      </x:c>
      <x:c r="G178" s="10" t="str">
        <x:v>Suggested starting knowledge: Income, expenses, assets, liabilities, equity, and wealth. It helps you recognise and measure transactions before interpreting financial statements.</x:v>
      </x:c>
      <x:c r="H178" s="10" t="str">
        <x:v>Suggested learning order; learners can still explore freely.</x:v>
      </x:c>
      <x:c r="I178" s="10" t="str">
        <x:v>Curated curriculum relationship</x:v>
      </x:c>
    </x:row>
    <x:row r="179" ht="58" customHeight="1">
      <x:c r="A179" s="9" t="str">
        <x:v>E0174</x:v>
      </x:c>
      <x:c r="B179" s="9" t="str">
        <x:v>T04.14</x:v>
      </x:c>
      <x:c r="C179" s="9" t="str">
        <x:v>Standalone versus consolidated accounts</x:v>
      </x:c>
      <x:c r="D179" s="15" t="str">
        <x:v>PART_OF</x:v>
      </x:c>
      <x:c r="E179" s="9" t="str">
        <x:v>D04</x:v>
      </x:c>
      <x:c r="F179" s="9" t="str">
        <x:v>Accounting foundations</x:v>
      </x:c>
      <x:c r="G179" s="9" t="str">
        <x:v>Curriculum membership. Use this link to move between the topic and its finance area.</x:v>
      </x:c>
      <x:c r="H179" s="9" t="str">
        <x:v>Classification only; this edge is not a causal or calculation relationship.</x:v>
      </x:c>
      <x:c r="I179" s="9" t="str">
        <x:v>Curated curriculum relationship</x:v>
      </x:c>
    </x:row>
    <x:row r="180" ht="58" customHeight="1">
      <x:c r="A180" s="10" t="str">
        <x:v>E0175</x:v>
      </x:c>
      <x:c r="B180" s="10" t="str">
        <x:v>T04.14</x:v>
      </x:c>
      <x:c r="C180" s="10" t="str">
        <x:v>Standalone versus consolidated accounts</x:v>
      </x:c>
      <x:c r="D180" s="14" t="str">
        <x:v>EXPLORE_WITH</x:v>
      </x:c>
      <x:c r="E180" s="10" t="str">
        <x:v>T04.15</x:v>
      </x:c>
      <x:c r="F180" s="10" t="str">
        <x:v>Financial reporting frameworks: Ind AS, IFRS, and US GAAP</x:v>
      </x:c>
      <x:c r="G180" s="10" t="str">
        <x:v>Study these together to recognise and measure transactions before interpreting financial statements.</x:v>
      </x:c>
      <x:c r="H180" s="10" t="str">
        <x:v>A topical exploration link, not a claim that one determines the other.</x:v>
      </x:c>
      <x:c r="I180" s="10" t="str">
        <x:v>Curated curriculum relationship</x:v>
      </x:c>
    </x:row>
    <x:row r="181" ht="58" customHeight="1">
      <x:c r="A181" s="9" t="str">
        <x:v>E0176</x:v>
      </x:c>
      <x:c r="B181" s="9" t="str">
        <x:v>T01.05</x:v>
      </x:c>
      <x:c r="C181" s="9" t="str">
        <x:v>Income, expenses, assets, liabilities, equity, and wealth</x:v>
      </x:c>
      <x:c r="D181" s="15" t="str">
        <x:v>RECOMMENDED_BEFORE</x:v>
      </x:c>
      <x:c r="E181" s="9" t="str">
        <x:v>T04.14</x:v>
      </x:c>
      <x:c r="F181" s="9" t="str">
        <x:v>Standalone versus consolidated accounts</x:v>
      </x:c>
      <x:c r="G181" s="9" t="str">
        <x:v>Suggested starting knowledge: Income, expenses, assets, liabilities, equity, and wealth. It helps you recognise and measure transactions before interpreting financial statements.</x:v>
      </x:c>
      <x:c r="H181" s="9" t="str">
        <x:v>Suggested learning order; learners can still explore freely.</x:v>
      </x:c>
      <x:c r="I181" s="9" t="str">
        <x:v>Curated curriculum relationship</x:v>
      </x:c>
    </x:row>
    <x:row r="182" ht="58" customHeight="1">
      <x:c r="A182" s="10" t="str">
        <x:v>E0177</x:v>
      </x:c>
      <x:c r="B182" s="10" t="str">
        <x:v>T04.15</x:v>
      </x:c>
      <x:c r="C182" s="10" t="str">
        <x:v>Financial reporting frameworks: Ind AS, IFRS, and US GAAP</x:v>
      </x:c>
      <x:c r="D182" s="14" t="str">
        <x:v>PART_OF</x:v>
      </x:c>
      <x:c r="E182" s="10" t="str">
        <x:v>D04</x:v>
      </x:c>
      <x:c r="F182" s="10" t="str">
        <x:v>Accounting foundations</x:v>
      </x:c>
      <x:c r="G182" s="10" t="str">
        <x:v>Curriculum membership. Use this link to move between the topic and its finance area.</x:v>
      </x:c>
      <x:c r="H182" s="10" t="str">
        <x:v>Classification only; this edge is not a causal or calculation relationship.</x:v>
      </x:c>
      <x:c r="I182" s="10" t="str">
        <x:v>Curated curriculum relationship</x:v>
      </x:c>
    </x:row>
    <x:row r="183" ht="58" customHeight="1">
      <x:c r="A183" s="9" t="str">
        <x:v>E0178</x:v>
      </x:c>
      <x:c r="B183" s="9" t="str">
        <x:v>T04.15</x:v>
      </x:c>
      <x:c r="C183" s="9" t="str">
        <x:v>Financial reporting frameworks: Ind AS, IFRS, and US GAAP</x:v>
      </x:c>
      <x:c r="D183" s="15" t="str">
        <x:v>EXPLORE_WITH</x:v>
      </x:c>
      <x:c r="E183" s="9" t="str">
        <x:v>T04.14</x:v>
      </x:c>
      <x:c r="F183" s="9" t="str">
        <x:v>Standalone versus consolidated accounts</x:v>
      </x:c>
      <x:c r="G183" s="9" t="str">
        <x:v>Study these together to recognise and measure transactions before interpreting financial statements.</x:v>
      </x:c>
      <x:c r="H183" s="9" t="str">
        <x:v>A topical exploration link, not a claim that one determines the other.</x:v>
      </x:c>
      <x:c r="I183" s="9" t="str">
        <x:v>Curated curriculum relationship</x:v>
      </x:c>
    </x:row>
    <x:row r="184" ht="58" customHeight="1">
      <x:c r="A184" s="10" t="str">
        <x:v>E0179</x:v>
      </x:c>
      <x:c r="B184" s="10" t="str">
        <x:v>T01.05</x:v>
      </x:c>
      <x:c r="C184" s="10" t="str">
        <x:v>Income, expenses, assets, liabilities, equity, and wealth</x:v>
      </x:c>
      <x:c r="D184" s="14" t="str">
        <x:v>RECOMMENDED_BEFORE</x:v>
      </x:c>
      <x:c r="E184" s="10" t="str">
        <x:v>T04.15</x:v>
      </x:c>
      <x:c r="F184" s="10" t="str">
        <x:v>Financial reporting frameworks: Ind AS, IFRS, and US GAAP</x:v>
      </x:c>
      <x:c r="G184" s="10" t="str">
        <x:v>Suggested starting knowledge: Income, expenses, assets, liabilities, equity, and wealth. It helps you recognise and measure transactions before interpreting financial statements.</x:v>
      </x:c>
      <x:c r="H184" s="10" t="str">
        <x:v>Suggested learning order; learners can still explore freely.</x:v>
      </x:c>
      <x:c r="I184" s="10" t="str">
        <x:v>Curated curriculum relationship</x:v>
      </x:c>
    </x:row>
    <x:row r="185" ht="58" customHeight="1">
      <x:c r="A185" s="9" t="str">
        <x:v>E0180</x:v>
      </x:c>
      <x:c r="B185" s="9" t="str">
        <x:v>T04.16</x:v>
      </x:c>
      <x:c r="C185" s="9" t="str">
        <x:v>Annual reports, interim reports, and regulatory filings</x:v>
      </x:c>
      <x:c r="D185" s="15" t="str">
        <x:v>PART_OF</x:v>
      </x:c>
      <x:c r="E185" s="9" t="str">
        <x:v>D04</x:v>
      </x:c>
      <x:c r="F185" s="9" t="str">
        <x:v>Accounting foundations</x:v>
      </x:c>
      <x:c r="G185" s="9" t="str">
        <x:v>Curriculum membership. Use this link to move between the topic and its finance area.</x:v>
      </x:c>
      <x:c r="H185" s="9" t="str">
        <x:v>Classification only; this edge is not a causal or calculation relationship.</x:v>
      </x:c>
      <x:c r="I185" s="9" t="str">
        <x:v>Curated curriculum relationship</x:v>
      </x:c>
    </x:row>
    <x:row r="186" ht="58" customHeight="1">
      <x:c r="A186" s="10" t="str">
        <x:v>E0181</x:v>
      </x:c>
      <x:c r="B186" s="10" t="str">
        <x:v>T04.16</x:v>
      </x:c>
      <x:c r="C186" s="10" t="str">
        <x:v>Annual reports, interim reports, and regulatory filings</x:v>
      </x:c>
      <x:c r="D186" s="14" t="str">
        <x:v>EXPLORE_WITH</x:v>
      </x:c>
      <x:c r="E186" s="10" t="str">
        <x:v>T04.13</x:v>
      </x:c>
      <x:c r="F186" s="10" t="str">
        <x:v>Reporting periods and comparative statements</x:v>
      </x:c>
      <x:c r="G186" s="10" t="str">
        <x:v>Study these together to recognise and measure transactions before interpreting financial statements.</x:v>
      </x:c>
      <x:c r="H186" s="10" t="str">
        <x:v>A topical exploration link, not a claim that one determines the other.</x:v>
      </x:c>
      <x:c r="I186" s="10" t="str">
        <x:v>Curated curriculum relationship</x:v>
      </x:c>
    </x:row>
    <x:row r="187" ht="58" customHeight="1">
      <x:c r="A187" s="9" t="str">
        <x:v>E0182</x:v>
      </x:c>
      <x:c r="B187" s="9" t="str">
        <x:v>T01.05</x:v>
      </x:c>
      <x:c r="C187" s="9" t="str">
        <x:v>Income, expenses, assets, liabilities, equity, and wealth</x:v>
      </x:c>
      <x:c r="D187" s="15" t="str">
        <x:v>RECOMMENDED_BEFORE</x:v>
      </x:c>
      <x:c r="E187" s="9" t="str">
        <x:v>T04.16</x:v>
      </x:c>
      <x:c r="F187" s="9" t="str">
        <x:v>Annual reports, interim reports, and regulatory filings</x:v>
      </x:c>
      <x:c r="G187" s="9" t="str">
        <x:v>Suggested starting knowledge: Income, expenses, assets, liabilities, equity, and wealth. It helps you recognise and measure transactions before interpreting financial statements.</x:v>
      </x:c>
      <x:c r="H187" s="9" t="str">
        <x:v>Suggested learning order; learners can still explore freely.</x:v>
      </x:c>
      <x:c r="I187" s="9" t="str">
        <x:v>Curated curriculum relationship</x:v>
      </x:c>
    </x:row>
    <x:row r="188" ht="58" customHeight="1">
      <x:c r="A188" s="10" t="str">
        <x:v>E0183</x:v>
      </x:c>
      <x:c r="B188" s="10" t="str">
        <x:v>T05.01</x:v>
      </x:c>
      <x:c r="C188" s="10" t="str">
        <x:v>Revenue, sales, and other operating income</x:v>
      </x:c>
      <x:c r="D188" s="14" t="str">
        <x:v>PART_OF</x:v>
      </x:c>
      <x:c r="E188" s="10" t="str">
        <x:v>D05</x:v>
      </x:c>
      <x:c r="F188" s="10" t="str">
        <x:v>Income statement: every major component</x:v>
      </x:c>
      <x:c r="G188" s="10" t="str">
        <x:v>Curriculum membership. Use this link to move between the topic and its finance area.</x:v>
      </x:c>
      <x:c r="H188" s="10" t="str">
        <x:v>Classification only; this edge is not a causal or calculation relationship.</x:v>
      </x:c>
      <x:c r="I188" s="10" t="str">
        <x:v>Curated curriculum relationship</x:v>
      </x:c>
    </x:row>
    <x:row r="189" ht="58" customHeight="1">
      <x:c r="A189" s="9" t="str">
        <x:v>E0184</x:v>
      </x:c>
      <x:c r="B189" s="9" t="str">
        <x:v>T05.01</x:v>
      </x:c>
      <x:c r="C189" s="9" t="str">
        <x:v>Revenue, sales, and other operating income</x:v>
      </x:c>
      <x:c r="D189" s="15" t="str">
        <x:v>EXPLORE_WITH</x:v>
      </x:c>
      <x:c r="E189" s="9" t="str">
        <x:v>T05.02</x:v>
      </x:c>
      <x:c r="F189" s="9" t="str">
        <x:v>Gross versus net revenue recognition</x:v>
      </x:c>
      <x:c r="G189" s="9" t="str">
        <x:v>Study these together to trace revenue and expenses into the profit measures used in analysis.</x:v>
      </x:c>
      <x:c r="H189" s="9" t="str">
        <x:v>A topical exploration link, not a claim that one determines the other.</x:v>
      </x:c>
      <x:c r="I189" s="9" t="str">
        <x:v>Curated curriculum relationship</x:v>
      </x:c>
    </x:row>
    <x:row r="190" ht="58" customHeight="1">
      <x:c r="A190" s="10" t="str">
        <x:v>E0185</x:v>
      </x:c>
      <x:c r="B190" s="10" t="str">
        <x:v>T04.06</x:v>
      </x:c>
      <x:c r="C190" s="10" t="str">
        <x:v>Revenue recognition and expense recognition</x:v>
      </x:c>
      <x:c r="D190" s="14" t="str">
        <x:v>RECOMMENDED_BEFORE</x:v>
      </x:c>
      <x:c r="E190" s="10" t="str">
        <x:v>T05.01</x:v>
      </x:c>
      <x:c r="F190" s="10" t="str">
        <x:v>Revenue, sales, and other operating income</x:v>
      </x:c>
      <x:c r="G190" s="10" t="str">
        <x:v>Suggested starting knowledge: Revenue recognition and expense recognition. It helps you trace revenue and expenses into the profit measures used in analysis.</x:v>
      </x:c>
      <x:c r="H190" s="10" t="str">
        <x:v>Suggested learning order; learners can still explore freely.</x:v>
      </x:c>
      <x:c r="I190" s="10" t="str">
        <x:v>Curated curriculum relationship</x:v>
      </x:c>
    </x:row>
    <x:row r="191" ht="58" customHeight="1">
      <x:c r="A191" s="9" t="str">
        <x:v>E0186</x:v>
      </x:c>
      <x:c r="B191" s="9" t="str">
        <x:v>T05.02</x:v>
      </x:c>
      <x:c r="C191" s="9" t="str">
        <x:v>Gross versus net revenue recognition</x:v>
      </x:c>
      <x:c r="D191" s="15" t="str">
        <x:v>PART_OF</x:v>
      </x:c>
      <x:c r="E191" s="9" t="str">
        <x:v>D05</x:v>
      </x:c>
      <x:c r="F191" s="9" t="str">
        <x:v>Income statement: every major component</x:v>
      </x:c>
      <x:c r="G191" s="9" t="str">
        <x:v>Curriculum membership. Use this link to move between the topic and its finance area.</x:v>
      </x:c>
      <x:c r="H191" s="9" t="str">
        <x:v>Classification only; this edge is not a causal or calculation relationship.</x:v>
      </x:c>
      <x:c r="I191" s="9" t="str">
        <x:v>Curated curriculum relationship</x:v>
      </x:c>
    </x:row>
    <x:row r="192" ht="58" customHeight="1">
      <x:c r="A192" s="10" t="str">
        <x:v>E0187</x:v>
      </x:c>
      <x:c r="B192" s="10" t="str">
        <x:v>T05.02</x:v>
      </x:c>
      <x:c r="C192" s="10" t="str">
        <x:v>Gross versus net revenue recognition</x:v>
      </x:c>
      <x:c r="D192" s="14" t="str">
        <x:v>EXPLORE_WITH</x:v>
      </x:c>
      <x:c r="E192" s="10" t="str">
        <x:v>T05.01</x:v>
      </x:c>
      <x:c r="F192" s="10" t="str">
        <x:v>Revenue, sales, and other operating income</x:v>
      </x:c>
      <x:c r="G192" s="10" t="str">
        <x:v>Study these together to trace revenue and expenses into the profit measures used in analysis.</x:v>
      </x:c>
      <x:c r="H192" s="10" t="str">
        <x:v>A topical exploration link, not a claim that one determines the other.</x:v>
      </x:c>
      <x:c r="I192" s="10" t="str">
        <x:v>Curated curriculum relationship</x:v>
      </x:c>
    </x:row>
    <x:row r="193" ht="58" customHeight="1">
      <x:c r="A193" s="9" t="str">
        <x:v>E0188</x:v>
      </x:c>
      <x:c r="B193" s="9" t="str">
        <x:v>T04.06</x:v>
      </x:c>
      <x:c r="C193" s="9" t="str">
        <x:v>Revenue recognition and expense recognition</x:v>
      </x:c>
      <x:c r="D193" s="15" t="str">
        <x:v>RECOMMENDED_BEFORE</x:v>
      </x:c>
      <x:c r="E193" s="9" t="str">
        <x:v>T05.02</x:v>
      </x:c>
      <x:c r="F193" s="9" t="str">
        <x:v>Gross versus net revenue recognition</x:v>
      </x:c>
      <x:c r="G193" s="9" t="str">
        <x:v>Suggested starting knowledge: Revenue recognition and expense recognition. It helps you trace revenue and expenses into the profit measures used in analysis.</x:v>
      </x:c>
      <x:c r="H193" s="9" t="str">
        <x:v>Suggested learning order; learners can still explore freely.</x:v>
      </x:c>
      <x:c r="I193" s="9" t="str">
        <x:v>Curated curriculum relationship</x:v>
      </x:c>
    </x:row>
    <x:row r="194" ht="58" customHeight="1">
      <x:c r="A194" s="10" t="str">
        <x:v>E0189</x:v>
      </x:c>
      <x:c r="B194" s="10" t="str">
        <x:v>T05.03</x:v>
      </x:c>
      <x:c r="C194" s="10" t="str">
        <x:v>Sales returns, discounts, rebates, and indirect taxes</x:v>
      </x:c>
      <x:c r="D194" s="14" t="str">
        <x:v>PART_OF</x:v>
      </x:c>
      <x:c r="E194" s="10" t="str">
        <x:v>D05</x:v>
      </x:c>
      <x:c r="F194" s="10" t="str">
        <x:v>Income statement: every major component</x:v>
      </x:c>
      <x:c r="G194" s="10" t="str">
        <x:v>Curriculum membership. Use this link to move between the topic and its finance area.</x:v>
      </x:c>
      <x:c r="H194" s="10" t="str">
        <x:v>Classification only; this edge is not a causal or calculation relationship.</x:v>
      </x:c>
      <x:c r="I194" s="10" t="str">
        <x:v>Curated curriculum relationship</x:v>
      </x:c>
    </x:row>
    <x:row r="195" ht="58" customHeight="1">
      <x:c r="A195" s="9" t="str">
        <x:v>E0190</x:v>
      </x:c>
      <x:c r="B195" s="9" t="str">
        <x:v>T05.03</x:v>
      </x:c>
      <x:c r="C195" s="9" t="str">
        <x:v>Sales returns, discounts, rebates, and indirect taxes</x:v>
      </x:c>
      <x:c r="D195" s="15" t="str">
        <x:v>EXPLORE_WITH</x:v>
      </x:c>
      <x:c r="E195" s="9" t="str">
        <x:v>T05.01</x:v>
      </x:c>
      <x:c r="F195" s="9" t="str">
        <x:v>Revenue, sales, and other operating income</x:v>
      </x:c>
      <x:c r="G195" s="9" t="str">
        <x:v>Study these together to trace revenue and expenses into the profit measures used in analysis.</x:v>
      </x:c>
      <x:c r="H195" s="9" t="str">
        <x:v>A topical exploration link, not a claim that one determines the other.</x:v>
      </x:c>
      <x:c r="I195" s="9" t="str">
        <x:v>Curated curriculum relationship</x:v>
      </x:c>
    </x:row>
    <x:row r="196" ht="58" customHeight="1">
      <x:c r="A196" s="10" t="str">
        <x:v>E0191</x:v>
      </x:c>
      <x:c r="B196" s="10" t="str">
        <x:v>T04.06</x:v>
      </x:c>
      <x:c r="C196" s="10" t="str">
        <x:v>Revenue recognition and expense recognition</x:v>
      </x:c>
      <x:c r="D196" s="14" t="str">
        <x:v>RECOMMENDED_BEFORE</x:v>
      </x:c>
      <x:c r="E196" s="10" t="str">
        <x:v>T05.03</x:v>
      </x:c>
      <x:c r="F196" s="10" t="str">
        <x:v>Sales returns, discounts, rebates, and indirect taxes</x:v>
      </x:c>
      <x:c r="G196" s="10" t="str">
        <x:v>Suggested starting knowledge: Revenue recognition and expense recognition. It helps you trace revenue and expenses into the profit measures used in analysis.</x:v>
      </x:c>
      <x:c r="H196" s="10" t="str">
        <x:v>Suggested learning order; learners can still explore freely.</x:v>
      </x:c>
      <x:c r="I196" s="10" t="str">
        <x:v>Curated curriculum relationship</x:v>
      </x:c>
    </x:row>
    <x:row r="197" ht="58" customHeight="1">
      <x:c r="A197" s="9" t="str">
        <x:v>E0192</x:v>
      </x:c>
      <x:c r="B197" s="9" t="str">
        <x:v>T05.04</x:v>
      </x:c>
      <x:c r="C197" s="9" t="str">
        <x:v>Cost of goods sold and cost of services</x:v>
      </x:c>
      <x:c r="D197" s="15" t="str">
        <x:v>PART_OF</x:v>
      </x:c>
      <x:c r="E197" s="9" t="str">
        <x:v>D05</x:v>
      </x:c>
      <x:c r="F197" s="9" t="str">
        <x:v>Income statement: every major component</x:v>
      </x:c>
      <x:c r="G197" s="9" t="str">
        <x:v>Curriculum membership. Use this link to move between the topic and its finance area.</x:v>
      </x:c>
      <x:c r="H197" s="9" t="str">
        <x:v>Classification only; this edge is not a causal or calculation relationship.</x:v>
      </x:c>
      <x:c r="I197" s="9" t="str">
        <x:v>Curated curriculum relationship</x:v>
      </x:c>
    </x:row>
    <x:row r="198" ht="58" customHeight="1">
      <x:c r="A198" s="10" t="str">
        <x:v>E0193</x:v>
      </x:c>
      <x:c r="B198" s="10" t="str">
        <x:v>T05.04</x:v>
      </x:c>
      <x:c r="C198" s="10" t="str">
        <x:v>Cost of goods sold and cost of services</x:v>
      </x:c>
      <x:c r="D198" s="14" t="str">
        <x:v>EXPLORE_WITH</x:v>
      </x:c>
      <x:c r="E198" s="10" t="str">
        <x:v>T05.06</x:v>
      </x:c>
      <x:c r="F198" s="10" t="str">
        <x:v>Gross profit and gross margin</x:v>
      </x:c>
      <x:c r="G198" s="10" t="str">
        <x:v>Study these together to trace revenue and expenses into the profit measures used in analysis.</x:v>
      </x:c>
      <x:c r="H198" s="10" t="str">
        <x:v>A topical exploration link, not a claim that one determines the other.</x:v>
      </x:c>
      <x:c r="I198" s="10" t="str">
        <x:v>Curated curriculum relationship</x:v>
      </x:c>
    </x:row>
    <x:row r="199" ht="58" customHeight="1">
      <x:c r="A199" s="9" t="str">
        <x:v>E0194</x:v>
      </x:c>
      <x:c r="B199" s="9" t="str">
        <x:v>T04.06</x:v>
      </x:c>
      <x:c r="C199" s="9" t="str">
        <x:v>Revenue recognition and expense recognition</x:v>
      </x:c>
      <x:c r="D199" s="15" t="str">
        <x:v>RECOMMENDED_BEFORE</x:v>
      </x:c>
      <x:c r="E199" s="9" t="str">
        <x:v>T05.04</x:v>
      </x:c>
      <x:c r="F199" s="9" t="str">
        <x:v>Cost of goods sold and cost of services</x:v>
      </x:c>
      <x:c r="G199" s="9" t="str">
        <x:v>Suggested starting knowledge: Revenue recognition and expense recognition. It helps you trace revenue and expenses into the profit measures used in analysis.</x:v>
      </x:c>
      <x:c r="H199" s="9" t="str">
        <x:v>Suggested learning order; learners can still explore freely.</x:v>
      </x:c>
      <x:c r="I199" s="9" t="str">
        <x:v>Curated curriculum relationship</x:v>
      </x:c>
    </x:row>
    <x:row r="200" ht="58" customHeight="1">
      <x:c r="A200" s="10" t="str">
        <x:v>E0195</x:v>
      </x:c>
      <x:c r="B200" s="10" t="str">
        <x:v>T05.05</x:v>
      </x:c>
      <x:c r="C200" s="10" t="str">
        <x:v>Inventory changes and production costs</x:v>
      </x:c>
      <x:c r="D200" s="14" t="str">
        <x:v>PART_OF</x:v>
      </x:c>
      <x:c r="E200" s="10" t="str">
        <x:v>D05</x:v>
      </x:c>
      <x:c r="F200" s="10" t="str">
        <x:v>Income statement: every major component</x:v>
      </x:c>
      <x:c r="G200" s="10" t="str">
        <x:v>Curriculum membership. Use this link to move between the topic and its finance area.</x:v>
      </x:c>
      <x:c r="H200" s="10" t="str">
        <x:v>Classification only; this edge is not a causal or calculation relationship.</x:v>
      </x:c>
      <x:c r="I200" s="10" t="str">
        <x:v>Curated curriculum relationship</x:v>
      </x:c>
    </x:row>
    <x:row r="201" ht="58" customHeight="1">
      <x:c r="A201" s="9" t="str">
        <x:v>E0196</x:v>
      </x:c>
      <x:c r="B201" s="9" t="str">
        <x:v>T05.05</x:v>
      </x:c>
      <x:c r="C201" s="9" t="str">
        <x:v>Inventory changes and production costs</x:v>
      </x:c>
      <x:c r="D201" s="15" t="str">
        <x:v>EXPLORE_WITH</x:v>
      </x:c>
      <x:c r="E201" s="9" t="str">
        <x:v>T05.04</x:v>
      </x:c>
      <x:c r="F201" s="9" t="str">
        <x:v>Cost of goods sold and cost of services</x:v>
      </x:c>
      <x:c r="G201" s="9" t="str">
        <x:v>Study these together to trace revenue and expenses into the profit measures used in analysis.</x:v>
      </x:c>
      <x:c r="H201" s="9" t="str">
        <x:v>A topical exploration link, not a claim that one determines the other.</x:v>
      </x:c>
      <x:c r="I201" s="9" t="str">
        <x:v>Curated curriculum relationship</x:v>
      </x:c>
    </x:row>
    <x:row r="202" ht="58" customHeight="1">
      <x:c r="A202" s="10" t="str">
        <x:v>E0197</x:v>
      </x:c>
      <x:c r="B202" s="10" t="str">
        <x:v>T04.06</x:v>
      </x:c>
      <x:c r="C202" s="10" t="str">
        <x:v>Revenue recognition and expense recognition</x:v>
      </x:c>
      <x:c r="D202" s="14" t="str">
        <x:v>RECOMMENDED_BEFORE</x:v>
      </x:c>
      <x:c r="E202" s="10" t="str">
        <x:v>T05.05</x:v>
      </x:c>
      <x:c r="F202" s="10" t="str">
        <x:v>Inventory changes and production costs</x:v>
      </x:c>
      <x:c r="G202" s="10" t="str">
        <x:v>Suggested starting knowledge: Revenue recognition and expense recognition. It helps you trace revenue and expenses into the profit measures used in analysis.</x:v>
      </x:c>
      <x:c r="H202" s="10" t="str">
        <x:v>Suggested learning order; learners can still explore freely.</x:v>
      </x:c>
      <x:c r="I202" s="10" t="str">
        <x:v>Curated curriculum relationship</x:v>
      </x:c>
    </x:row>
    <x:row r="203" ht="58" customHeight="1">
      <x:c r="A203" s="9" t="str">
        <x:v>E0198</x:v>
      </x:c>
      <x:c r="B203" s="9" t="str">
        <x:v>T05.06</x:v>
      </x:c>
      <x:c r="C203" s="9" t="str">
        <x:v>Gross profit and gross margin</x:v>
      </x:c>
      <x:c r="D203" s="15" t="str">
        <x:v>PART_OF</x:v>
      </x:c>
      <x:c r="E203" s="9" t="str">
        <x:v>D05</x:v>
      </x:c>
      <x:c r="F203" s="9" t="str">
        <x:v>Income statement: every major component</x:v>
      </x:c>
      <x:c r="G203" s="9" t="str">
        <x:v>Curriculum membership. Use this link to move between the topic and its finance area.</x:v>
      </x:c>
      <x:c r="H203" s="9" t="str">
        <x:v>Classification only; this edge is not a causal or calculation relationship.</x:v>
      </x:c>
      <x:c r="I203" s="9" t="str">
        <x:v>Curated curriculum relationship</x:v>
      </x:c>
    </x:row>
    <x:row r="204" ht="58" customHeight="1">
      <x:c r="A204" s="10" t="str">
        <x:v>E0199</x:v>
      </x:c>
      <x:c r="B204" s="10" t="str">
        <x:v>T05.06</x:v>
      </x:c>
      <x:c r="C204" s="10" t="str">
        <x:v>Gross profit and gross margin</x:v>
      </x:c>
      <x:c r="D204" s="14" t="str">
        <x:v>EXPLORE_WITH</x:v>
      </x:c>
      <x:c r="E204" s="10" t="str">
        <x:v>T05.11</x:v>
      </x:c>
      <x:c r="F204" s="10" t="str">
        <x:v>EBITDA, EBIT, and operating profit</x:v>
      </x:c>
      <x:c r="G204" s="10" t="str">
        <x:v>Study these together to trace revenue and expenses into the profit measures used in analysis.</x:v>
      </x:c>
      <x:c r="H204" s="10" t="str">
        <x:v>A topical exploration link, not a claim that one determines the other.</x:v>
      </x:c>
      <x:c r="I204" s="10" t="str">
        <x:v>Curated curriculum relationship</x:v>
      </x:c>
    </x:row>
    <x:row r="205" ht="58" customHeight="1">
      <x:c r="A205" s="9" t="str">
        <x:v>E0200</x:v>
      </x:c>
      <x:c r="B205" s="9" t="str">
        <x:v>T04.06</x:v>
      </x:c>
      <x:c r="C205" s="9" t="str">
        <x:v>Revenue recognition and expense recognition</x:v>
      </x:c>
      <x:c r="D205" s="15" t="str">
        <x:v>RECOMMENDED_BEFORE</x:v>
      </x:c>
      <x:c r="E205" s="9" t="str">
        <x:v>T05.06</x:v>
      </x:c>
      <x:c r="F205" s="9" t="str">
        <x:v>Gross profit and gross margin</x:v>
      </x:c>
      <x:c r="G205" s="9" t="str">
        <x:v>Suggested starting knowledge: Revenue recognition and expense recognition. It helps you trace revenue and expenses into the profit measures used in analysis.</x:v>
      </x:c>
      <x:c r="H205" s="9" t="str">
        <x:v>Suggested learning order; learners can still explore freely.</x:v>
      </x:c>
      <x:c r="I205" s="9" t="str">
        <x:v>Curated curriculum relationship</x:v>
      </x:c>
    </x:row>
    <x:row r="206" ht="58" customHeight="1">
      <x:c r="A206" s="10" t="str">
        <x:v>E0201</x:v>
      </x:c>
      <x:c r="B206" s="10" t="str">
        <x:v>T05.07</x:v>
      </x:c>
      <x:c r="C206" s="10" t="str">
        <x:v>Employee expenses</x:v>
      </x:c>
      <x:c r="D206" s="14" t="str">
        <x:v>PART_OF</x:v>
      </x:c>
      <x:c r="E206" s="10" t="str">
        <x:v>D05</x:v>
      </x:c>
      <x:c r="F206" s="10" t="str">
        <x:v>Income statement: every major component</x:v>
      </x:c>
      <x:c r="G206" s="10" t="str">
        <x:v>Curriculum membership. Use this link to move between the topic and its finance area.</x:v>
      </x:c>
      <x:c r="H206" s="10" t="str">
        <x:v>Classification only; this edge is not a causal or calculation relationship.</x:v>
      </x:c>
      <x:c r="I206" s="10" t="str">
        <x:v>Curated curriculum relationship</x:v>
      </x:c>
    </x:row>
    <x:row r="207" ht="58" customHeight="1">
      <x:c r="A207" s="9" t="str">
        <x:v>E0202</x:v>
      </x:c>
      <x:c r="B207" s="9" t="str">
        <x:v>T05.07</x:v>
      </x:c>
      <x:c r="C207" s="9" t="str">
        <x:v>Employee expenses</x:v>
      </x:c>
      <x:c r="D207" s="15" t="str">
        <x:v>EXPLORE_WITH</x:v>
      </x:c>
      <x:c r="E207" s="9" t="str">
        <x:v>T05.08</x:v>
      </x:c>
      <x:c r="F207" s="9" t="str">
        <x:v>Selling, general, and administrative expenses</x:v>
      </x:c>
      <x:c r="G207" s="9" t="str">
        <x:v>Study these together to trace revenue and expenses into the profit measures used in analysis.</x:v>
      </x:c>
      <x:c r="H207" s="9" t="str">
        <x:v>A topical exploration link, not a claim that one determines the other.</x:v>
      </x:c>
      <x:c r="I207" s="9" t="str">
        <x:v>Curated curriculum relationship</x:v>
      </x:c>
    </x:row>
    <x:row r="208" ht="58" customHeight="1">
      <x:c r="A208" s="10" t="str">
        <x:v>E0203</x:v>
      </x:c>
      <x:c r="B208" s="10" t="str">
        <x:v>T04.06</x:v>
      </x:c>
      <x:c r="C208" s="10" t="str">
        <x:v>Revenue recognition and expense recognition</x:v>
      </x:c>
      <x:c r="D208" s="14" t="str">
        <x:v>RECOMMENDED_BEFORE</x:v>
      </x:c>
      <x:c r="E208" s="10" t="str">
        <x:v>T05.07</x:v>
      </x:c>
      <x:c r="F208" s="10" t="str">
        <x:v>Employee expenses</x:v>
      </x:c>
      <x:c r="G208" s="10" t="str">
        <x:v>Suggested starting knowledge: Revenue recognition and expense recognition. It helps you trace revenue and expenses into the profit measures used in analysis.</x:v>
      </x:c>
      <x:c r="H208" s="10" t="str">
        <x:v>Suggested learning order; learners can still explore freely.</x:v>
      </x:c>
      <x:c r="I208" s="10" t="str">
        <x:v>Curated curriculum relationship</x:v>
      </x:c>
    </x:row>
    <x:row r="209" ht="58" customHeight="1">
      <x:c r="A209" s="9" t="str">
        <x:v>E0204</x:v>
      </x:c>
      <x:c r="B209" s="9" t="str">
        <x:v>T05.08</x:v>
      </x:c>
      <x:c r="C209" s="9" t="str">
        <x:v>Selling, general, and administrative expenses</x:v>
      </x:c>
      <x:c r="D209" s="15" t="str">
        <x:v>PART_OF</x:v>
      </x:c>
      <x:c r="E209" s="9" t="str">
        <x:v>D05</x:v>
      </x:c>
      <x:c r="F209" s="9" t="str">
        <x:v>Income statement: every major component</x:v>
      </x:c>
      <x:c r="G209" s="9" t="str">
        <x:v>Curriculum membership. Use this link to move between the topic and its finance area.</x:v>
      </x:c>
      <x:c r="H209" s="9" t="str">
        <x:v>Classification only; this edge is not a causal or calculation relationship.</x:v>
      </x:c>
      <x:c r="I209" s="9" t="str">
        <x:v>Curated curriculum relationship</x:v>
      </x:c>
    </x:row>
    <x:row r="210" ht="58" customHeight="1">
      <x:c r="A210" s="10" t="str">
        <x:v>E0205</x:v>
      </x:c>
      <x:c r="B210" s="10" t="str">
        <x:v>T05.08</x:v>
      </x:c>
      <x:c r="C210" s="10" t="str">
        <x:v>Selling, general, and administrative expenses</x:v>
      </x:c>
      <x:c r="D210" s="14" t="str">
        <x:v>EXPLORE_WITH</x:v>
      </x:c>
      <x:c r="E210" s="10" t="str">
        <x:v>T05.11</x:v>
      </x:c>
      <x:c r="F210" s="10" t="str">
        <x:v>EBITDA, EBIT, and operating profit</x:v>
      </x:c>
      <x:c r="G210" s="10" t="str">
        <x:v>Study these together to trace revenue and expenses into the profit measures used in analysis.</x:v>
      </x:c>
      <x:c r="H210" s="10" t="str">
        <x:v>A topical exploration link, not a claim that one determines the other.</x:v>
      </x:c>
      <x:c r="I210" s="10" t="str">
        <x:v>Curated curriculum relationship</x:v>
      </x:c>
    </x:row>
    <x:row r="211" ht="58" customHeight="1">
      <x:c r="A211" s="9" t="str">
        <x:v>E0206</x:v>
      </x:c>
      <x:c r="B211" s="9" t="str">
        <x:v>T04.06</x:v>
      </x:c>
      <x:c r="C211" s="9" t="str">
        <x:v>Revenue recognition and expense recognition</x:v>
      </x:c>
      <x:c r="D211" s="15" t="str">
        <x:v>RECOMMENDED_BEFORE</x:v>
      </x:c>
      <x:c r="E211" s="9" t="str">
        <x:v>T05.08</x:v>
      </x:c>
      <x:c r="F211" s="9" t="str">
        <x:v>Selling, general, and administrative expenses</x:v>
      </x:c>
      <x:c r="G211" s="9" t="str">
        <x:v>Suggested starting knowledge: Revenue recognition and expense recognition. It helps you trace revenue and expenses into the profit measures used in analysis.</x:v>
      </x:c>
      <x:c r="H211" s="9" t="str">
        <x:v>Suggested learning order; learners can still explore freely.</x:v>
      </x:c>
      <x:c r="I211" s="9" t="str">
        <x:v>Curated curriculum relationship</x:v>
      </x:c>
    </x:row>
    <x:row r="212" ht="58" customHeight="1">
      <x:c r="A212" s="10" t="str">
        <x:v>E0207</x:v>
      </x:c>
      <x:c r="B212" s="10" t="str">
        <x:v>T05.09</x:v>
      </x:c>
      <x:c r="C212" s="10" t="str">
        <x:v>Research and development expenses</x:v>
      </x:c>
      <x:c r="D212" s="14" t="str">
        <x:v>PART_OF</x:v>
      </x:c>
      <x:c r="E212" s="10" t="str">
        <x:v>D05</x:v>
      </x:c>
      <x:c r="F212" s="10" t="str">
        <x:v>Income statement: every major component</x:v>
      </x:c>
      <x:c r="G212" s="10" t="str">
        <x:v>Curriculum membership. Use this link to move between the topic and its finance area.</x:v>
      </x:c>
      <x:c r="H212" s="10" t="str">
        <x:v>Classification only; this edge is not a causal or calculation relationship.</x:v>
      </x:c>
      <x:c r="I212" s="10" t="str">
        <x:v>Curated curriculum relationship</x:v>
      </x:c>
    </x:row>
    <x:row r="213" ht="58" customHeight="1">
      <x:c r="A213" s="9" t="str">
        <x:v>E0208</x:v>
      </x:c>
      <x:c r="B213" s="9" t="str">
        <x:v>T05.09</x:v>
      </x:c>
      <x:c r="C213" s="9" t="str">
        <x:v>Research and development expenses</x:v>
      </x:c>
      <x:c r="D213" s="15" t="str">
        <x:v>EXPLORE_WITH</x:v>
      </x:c>
      <x:c r="E213" s="9" t="str">
        <x:v>T05.11</x:v>
      </x:c>
      <x:c r="F213" s="9" t="str">
        <x:v>EBITDA, EBIT, and operating profit</x:v>
      </x:c>
      <x:c r="G213" s="9" t="str">
        <x:v>Study these together to trace revenue and expenses into the profit measures used in analysis.</x:v>
      </x:c>
      <x:c r="H213" s="9" t="str">
        <x:v>A topical exploration link, not a claim that one determines the other.</x:v>
      </x:c>
      <x:c r="I213" s="9" t="str">
        <x:v>Curated curriculum relationship</x:v>
      </x:c>
    </x:row>
    <x:row r="214" ht="58" customHeight="1">
      <x:c r="A214" s="10" t="str">
        <x:v>E0209</x:v>
      </x:c>
      <x:c r="B214" s="10" t="str">
        <x:v>T04.06</x:v>
      </x:c>
      <x:c r="C214" s="10" t="str">
        <x:v>Revenue recognition and expense recognition</x:v>
      </x:c>
      <x:c r="D214" s="14" t="str">
        <x:v>RECOMMENDED_BEFORE</x:v>
      </x:c>
      <x:c r="E214" s="10" t="str">
        <x:v>T05.09</x:v>
      </x:c>
      <x:c r="F214" s="10" t="str">
        <x:v>Research and development expenses</x:v>
      </x:c>
      <x:c r="G214" s="10" t="str">
        <x:v>Suggested starting knowledge: Revenue recognition and expense recognition. It helps you trace revenue and expenses into the profit measures used in analysis.</x:v>
      </x:c>
      <x:c r="H214" s="10" t="str">
        <x:v>Suggested learning order; learners can still explore freely.</x:v>
      </x:c>
      <x:c r="I214" s="10" t="str">
        <x:v>Curated curriculum relationship</x:v>
      </x:c>
    </x:row>
    <x:row r="215" ht="58" customHeight="1">
      <x:c r="A215" s="9" t="str">
        <x:v>E0210</x:v>
      </x:c>
      <x:c r="B215" s="9" t="str">
        <x:v>T05.10</x:v>
      </x:c>
      <x:c r="C215" s="9" t="str">
        <x:v>Depreciation, amortisation, and impairment</x:v>
      </x:c>
      <x:c r="D215" s="15" t="str">
        <x:v>PART_OF</x:v>
      </x:c>
      <x:c r="E215" s="9" t="str">
        <x:v>D05</x:v>
      </x:c>
      <x:c r="F215" s="9" t="str">
        <x:v>Income statement: every major component</x:v>
      </x:c>
      <x:c r="G215" s="9" t="str">
        <x:v>Curriculum membership. Use this link to move between the topic and its finance area.</x:v>
      </x:c>
      <x:c r="H215" s="9" t="str">
        <x:v>Classification only; this edge is not a causal or calculation relationship.</x:v>
      </x:c>
      <x:c r="I215" s="9" t="str">
        <x:v>Curated curriculum relationship</x:v>
      </x:c>
    </x:row>
    <x:row r="216" ht="58" customHeight="1">
      <x:c r="A216" s="10" t="str">
        <x:v>E0211</x:v>
      </x:c>
      <x:c r="B216" s="10" t="str">
        <x:v>T05.10</x:v>
      </x:c>
      <x:c r="C216" s="10" t="str">
        <x:v>Depreciation, amortisation, and impairment</x:v>
      </x:c>
      <x:c r="D216" s="14" t="str">
        <x:v>EXPLORE_WITH</x:v>
      </x:c>
      <x:c r="E216" s="10" t="str">
        <x:v>T05.11</x:v>
      </x:c>
      <x:c r="F216" s="10" t="str">
        <x:v>EBITDA, EBIT, and operating profit</x:v>
      </x:c>
      <x:c r="G216" s="10" t="str">
        <x:v>Study these together to trace revenue and expenses into the profit measures used in analysis.</x:v>
      </x:c>
      <x:c r="H216" s="10" t="str">
        <x:v>A topical exploration link, not a claim that one determines the other.</x:v>
      </x:c>
      <x:c r="I216" s="10" t="str">
        <x:v>Curated curriculum relationship</x:v>
      </x:c>
    </x:row>
    <x:row r="217" ht="58" customHeight="1">
      <x:c r="A217" s="9" t="str">
        <x:v>E0212</x:v>
      </x:c>
      <x:c r="B217" s="9" t="str">
        <x:v>T04.06</x:v>
      </x:c>
      <x:c r="C217" s="9" t="str">
        <x:v>Revenue recognition and expense recognition</x:v>
      </x:c>
      <x:c r="D217" s="15" t="str">
        <x:v>RECOMMENDED_BEFORE</x:v>
      </x:c>
      <x:c r="E217" s="9" t="str">
        <x:v>T05.10</x:v>
      </x:c>
      <x:c r="F217" s="9" t="str">
        <x:v>Depreciation, amortisation, and impairment</x:v>
      </x:c>
      <x:c r="G217" s="9" t="str">
        <x:v>Suggested starting knowledge: Revenue recognition and expense recognition. It helps you trace revenue and expenses into the profit measures used in analysis.</x:v>
      </x:c>
      <x:c r="H217" s="9" t="str">
        <x:v>Suggested learning order; learners can still explore freely.</x:v>
      </x:c>
      <x:c r="I217" s="9" t="str">
        <x:v>Curated curriculum relationship</x:v>
      </x:c>
    </x:row>
    <x:row r="218" ht="58" customHeight="1">
      <x:c r="A218" s="10" t="str">
        <x:v>E0213</x:v>
      </x:c>
      <x:c r="B218" s="10" t="str">
        <x:v>T05.11</x:v>
      </x:c>
      <x:c r="C218" s="10" t="str">
        <x:v>EBITDA, EBIT, and operating profit</x:v>
      </x:c>
      <x:c r="D218" s="14" t="str">
        <x:v>PART_OF</x:v>
      </x:c>
      <x:c r="E218" s="10" t="str">
        <x:v>D05</x:v>
      </x:c>
      <x:c r="F218" s="10" t="str">
        <x:v>Income statement: every major component</x:v>
      </x:c>
      <x:c r="G218" s="10" t="str">
        <x:v>Curriculum membership. Use this link to move between the topic and its finance area.</x:v>
      </x:c>
      <x:c r="H218" s="10" t="str">
        <x:v>Classification only; this edge is not a causal or calculation relationship.</x:v>
      </x:c>
      <x:c r="I218" s="10" t="str">
        <x:v>Curated curriculum relationship</x:v>
      </x:c>
    </x:row>
    <x:row r="219" ht="58" customHeight="1">
      <x:c r="A219" s="9" t="str">
        <x:v>E0214</x:v>
      </x:c>
      <x:c r="B219" s="9" t="str">
        <x:v>T05.11</x:v>
      </x:c>
      <x:c r="C219" s="9" t="str">
        <x:v>EBITDA, EBIT, and operating profit</x:v>
      </x:c>
      <x:c r="D219" s="15" t="str">
        <x:v>EXPLORE_WITH</x:v>
      </x:c>
      <x:c r="E219" s="9" t="str">
        <x:v>T05.17</x:v>
      </x:c>
      <x:c r="F219" s="9" t="str">
        <x:v>Net profit and profit attributable to shareholders</x:v>
      </x:c>
      <x:c r="G219" s="9" t="str">
        <x:v>Study these together to trace revenue and expenses into the profit measures used in analysis.</x:v>
      </x:c>
      <x:c r="H219" s="9" t="str">
        <x:v>A topical exploration link, not a claim that one determines the other.</x:v>
      </x:c>
      <x:c r="I219" s="9" t="str">
        <x:v>Curated curriculum relationship</x:v>
      </x:c>
    </x:row>
    <x:row r="220" ht="58" customHeight="1">
      <x:c r="A220" s="10" t="str">
        <x:v>E0215</x:v>
      </x:c>
      <x:c r="B220" s="10" t="str">
        <x:v>T04.06</x:v>
      </x:c>
      <x:c r="C220" s="10" t="str">
        <x:v>Revenue recognition and expense recognition</x:v>
      </x:c>
      <x:c r="D220" s="14" t="str">
        <x:v>RECOMMENDED_BEFORE</x:v>
      </x:c>
      <x:c r="E220" s="10" t="str">
        <x:v>T05.11</x:v>
      </x:c>
      <x:c r="F220" s="10" t="str">
        <x:v>EBITDA, EBIT, and operating profit</x:v>
      </x:c>
      <x:c r="G220" s="10" t="str">
        <x:v>Suggested starting knowledge: Revenue recognition and expense recognition. It helps you trace revenue and expenses into the profit measures used in analysis.</x:v>
      </x:c>
      <x:c r="H220" s="10" t="str">
        <x:v>Suggested learning order; learners can still explore freely.</x:v>
      </x:c>
      <x:c r="I220" s="10" t="str">
        <x:v>Curated curriculum relationship</x:v>
      </x:c>
    </x:row>
    <x:row r="221" ht="58" customHeight="1">
      <x:c r="A221" s="9" t="str">
        <x:v>E0216</x:v>
      </x:c>
      <x:c r="B221" s="9" t="str">
        <x:v>T05.12</x:v>
      </x:c>
      <x:c r="C221" s="9" t="str">
        <x:v>Finance costs and interest income</x:v>
      </x:c>
      <x:c r="D221" s="15" t="str">
        <x:v>PART_OF</x:v>
      </x:c>
      <x:c r="E221" s="9" t="str">
        <x:v>D05</x:v>
      </x:c>
      <x:c r="F221" s="9" t="str">
        <x:v>Income statement: every major component</x:v>
      </x:c>
      <x:c r="G221" s="9" t="str">
        <x:v>Curriculum membership. Use this link to move between the topic and its finance area.</x:v>
      </x:c>
      <x:c r="H221" s="9" t="str">
        <x:v>Classification only; this edge is not a causal or calculation relationship.</x:v>
      </x:c>
      <x:c r="I221" s="9" t="str">
        <x:v>Curated curriculum relationship</x:v>
      </x:c>
    </x:row>
    <x:row r="222" ht="58" customHeight="1">
      <x:c r="A222" s="10" t="str">
        <x:v>E0217</x:v>
      </x:c>
      <x:c r="B222" s="10" t="str">
        <x:v>T05.12</x:v>
      </x:c>
      <x:c r="C222" s="10" t="str">
        <x:v>Finance costs and interest income</x:v>
      </x:c>
      <x:c r="D222" s="14" t="str">
        <x:v>EXPLORE_WITH</x:v>
      </x:c>
      <x:c r="E222" s="10" t="str">
        <x:v>T05.15</x:v>
      </x:c>
      <x:c r="F222" s="10" t="str">
        <x:v>Profit before tax and income tax expense</x:v>
      </x:c>
      <x:c r="G222" s="10" t="str">
        <x:v>Study these together to trace revenue and expenses into the profit measures used in analysis.</x:v>
      </x:c>
      <x:c r="H222" s="10" t="str">
        <x:v>A topical exploration link, not a claim that one determines the other.</x:v>
      </x:c>
      <x:c r="I222" s="10" t="str">
        <x:v>Curated curriculum relationship</x:v>
      </x:c>
    </x:row>
    <x:row r="223" ht="58" customHeight="1">
      <x:c r="A223" s="9" t="str">
        <x:v>E0218</x:v>
      </x:c>
      <x:c r="B223" s="9" t="str">
        <x:v>T04.06</x:v>
      </x:c>
      <x:c r="C223" s="9" t="str">
        <x:v>Revenue recognition and expense recognition</x:v>
      </x:c>
      <x:c r="D223" s="15" t="str">
        <x:v>RECOMMENDED_BEFORE</x:v>
      </x:c>
      <x:c r="E223" s="9" t="str">
        <x:v>T05.12</x:v>
      </x:c>
      <x:c r="F223" s="9" t="str">
        <x:v>Finance costs and interest income</x:v>
      </x:c>
      <x:c r="G223" s="9" t="str">
        <x:v>Suggested starting knowledge: Revenue recognition and expense recognition. It helps you trace revenue and expenses into the profit measures used in analysis.</x:v>
      </x:c>
      <x:c r="H223" s="9" t="str">
        <x:v>Suggested learning order; learners can still explore freely.</x:v>
      </x:c>
      <x:c r="I223" s="9" t="str">
        <x:v>Curated curriculum relationship</x:v>
      </x:c>
    </x:row>
    <x:row r="224" ht="58" customHeight="1">
      <x:c r="A224" s="10" t="str">
        <x:v>E0219</x:v>
      </x:c>
      <x:c r="B224" s="10" t="str">
        <x:v>T05.13</x:v>
      </x:c>
      <x:c r="C224" s="10" t="str">
        <x:v>Other income and investment gains</x:v>
      </x:c>
      <x:c r="D224" s="14" t="str">
        <x:v>PART_OF</x:v>
      </x:c>
      <x:c r="E224" s="10" t="str">
        <x:v>D05</x:v>
      </x:c>
      <x:c r="F224" s="10" t="str">
        <x:v>Income statement: every major component</x:v>
      </x:c>
      <x:c r="G224" s="10" t="str">
        <x:v>Curriculum membership. Use this link to move between the topic and its finance area.</x:v>
      </x:c>
      <x:c r="H224" s="10" t="str">
        <x:v>Classification only; this edge is not a causal or calculation relationship.</x:v>
      </x:c>
      <x:c r="I224" s="10" t="str">
        <x:v>Curated curriculum relationship</x:v>
      </x:c>
    </x:row>
    <x:row r="225" ht="58" customHeight="1">
      <x:c r="A225" s="9" t="str">
        <x:v>E0220</x:v>
      </x:c>
      <x:c r="B225" s="9" t="str">
        <x:v>T05.13</x:v>
      </x:c>
      <x:c r="C225" s="9" t="str">
        <x:v>Other income and investment gains</x:v>
      </x:c>
      <x:c r="D225" s="15" t="str">
        <x:v>EXPLORE_WITH</x:v>
      </x:c>
      <x:c r="E225" s="9" t="str">
        <x:v>T05.17</x:v>
      </x:c>
      <x:c r="F225" s="9" t="str">
        <x:v>Net profit and profit attributable to shareholders</x:v>
      </x:c>
      <x:c r="G225" s="9" t="str">
        <x:v>Study these together to trace revenue and expenses into the profit measures used in analysis.</x:v>
      </x:c>
      <x:c r="H225" s="9" t="str">
        <x:v>A topical exploration link, not a claim that one determines the other.</x:v>
      </x:c>
      <x:c r="I225" s="9" t="str">
        <x:v>Curated curriculum relationship</x:v>
      </x:c>
    </x:row>
    <x:row r="226" ht="58" customHeight="1">
      <x:c r="A226" s="10" t="str">
        <x:v>E0221</x:v>
      </x:c>
      <x:c r="B226" s="10" t="str">
        <x:v>T04.06</x:v>
      </x:c>
      <x:c r="C226" s="10" t="str">
        <x:v>Revenue recognition and expense recognition</x:v>
      </x:c>
      <x:c r="D226" s="14" t="str">
        <x:v>RECOMMENDED_BEFORE</x:v>
      </x:c>
      <x:c r="E226" s="10" t="str">
        <x:v>T05.13</x:v>
      </x:c>
      <x:c r="F226" s="10" t="str">
        <x:v>Other income and investment gains</x:v>
      </x:c>
      <x:c r="G226" s="10" t="str">
        <x:v>Suggested starting knowledge: Revenue recognition and expense recognition. It helps you trace revenue and expenses into the profit measures used in analysis.</x:v>
      </x:c>
      <x:c r="H226" s="10" t="str">
        <x:v>Suggested learning order; learners can still explore freely.</x:v>
      </x:c>
      <x:c r="I226" s="10" t="str">
        <x:v>Curated curriculum relationship</x:v>
      </x:c>
    </x:row>
    <x:row r="227" ht="58" customHeight="1">
      <x:c r="A227" s="9" t="str">
        <x:v>E0222</x:v>
      </x:c>
      <x:c r="B227" s="9" t="str">
        <x:v>T05.14</x:v>
      </x:c>
      <x:c r="C227" s="9" t="str">
        <x:v>Exceptional items and non-recurring adjustments</x:v>
      </x:c>
      <x:c r="D227" s="15" t="str">
        <x:v>PART_OF</x:v>
      </x:c>
      <x:c r="E227" s="9" t="str">
        <x:v>D05</x:v>
      </x:c>
      <x:c r="F227" s="9" t="str">
        <x:v>Income statement: every major component</x:v>
      </x:c>
      <x:c r="G227" s="9" t="str">
        <x:v>Curriculum membership. Use this link to move between the topic and its finance area.</x:v>
      </x:c>
      <x:c r="H227" s="9" t="str">
        <x:v>Classification only; this edge is not a causal or calculation relationship.</x:v>
      </x:c>
      <x:c r="I227" s="9" t="str">
        <x:v>Curated curriculum relationship</x:v>
      </x:c>
    </x:row>
    <x:row r="228" ht="58" customHeight="1">
      <x:c r="A228" s="10" t="str">
        <x:v>E0223</x:v>
      </x:c>
      <x:c r="B228" s="10" t="str">
        <x:v>T05.14</x:v>
      </x:c>
      <x:c r="C228" s="10" t="str">
        <x:v>Exceptional items and non-recurring adjustments</x:v>
      </x:c>
      <x:c r="D228" s="14" t="str">
        <x:v>EXPLORE_WITH</x:v>
      </x:c>
      <x:c r="E228" s="10" t="str">
        <x:v>T05.17</x:v>
      </x:c>
      <x:c r="F228" s="10" t="str">
        <x:v>Net profit and profit attributable to shareholders</x:v>
      </x:c>
      <x:c r="G228" s="10" t="str">
        <x:v>Study these together to trace revenue and expenses into the profit measures used in analysis.</x:v>
      </x:c>
      <x:c r="H228" s="10" t="str">
        <x:v>A topical exploration link, not a claim that one determines the other.</x:v>
      </x:c>
      <x:c r="I228" s="10" t="str">
        <x:v>Curated curriculum relationship</x:v>
      </x:c>
    </x:row>
    <x:row r="229" ht="58" customHeight="1">
      <x:c r="A229" s="9" t="str">
        <x:v>E0224</x:v>
      </x:c>
      <x:c r="B229" s="9" t="str">
        <x:v>T04.06</x:v>
      </x:c>
      <x:c r="C229" s="9" t="str">
        <x:v>Revenue recognition and expense recognition</x:v>
      </x:c>
      <x:c r="D229" s="15" t="str">
        <x:v>RECOMMENDED_BEFORE</x:v>
      </x:c>
      <x:c r="E229" s="9" t="str">
        <x:v>T05.14</x:v>
      </x:c>
      <x:c r="F229" s="9" t="str">
        <x:v>Exceptional items and non-recurring adjustments</x:v>
      </x:c>
      <x:c r="G229" s="9" t="str">
        <x:v>Suggested starting knowledge: Revenue recognition and expense recognition. It helps you trace revenue and expenses into the profit measures used in analysis.</x:v>
      </x:c>
      <x:c r="H229" s="9" t="str">
        <x:v>Suggested learning order; learners can still explore freely.</x:v>
      </x:c>
      <x:c r="I229" s="9" t="str">
        <x:v>Curated curriculum relationship</x:v>
      </x:c>
    </x:row>
    <x:row r="230" ht="58" customHeight="1">
      <x:c r="A230" s="10" t="str">
        <x:v>E0225</x:v>
      </x:c>
      <x:c r="B230" s="10" t="str">
        <x:v>T05.15</x:v>
      </x:c>
      <x:c r="C230" s="10" t="str">
        <x:v>Profit before tax and income tax expense</x:v>
      </x:c>
      <x:c r="D230" s="14" t="str">
        <x:v>PART_OF</x:v>
      </x:c>
      <x:c r="E230" s="10" t="str">
        <x:v>D05</x:v>
      </x:c>
      <x:c r="F230" s="10" t="str">
        <x:v>Income statement: every major component</x:v>
      </x:c>
      <x:c r="G230" s="10" t="str">
        <x:v>Curriculum membership. Use this link to move between the topic and its finance area.</x:v>
      </x:c>
      <x:c r="H230" s="10" t="str">
        <x:v>Classification only; this edge is not a causal or calculation relationship.</x:v>
      </x:c>
      <x:c r="I230" s="10" t="str">
        <x:v>Curated curriculum relationship</x:v>
      </x:c>
    </x:row>
    <x:row r="231" ht="58" customHeight="1">
      <x:c r="A231" s="9" t="str">
        <x:v>E0226</x:v>
      </x:c>
      <x:c r="B231" s="9" t="str">
        <x:v>T05.15</x:v>
      </x:c>
      <x:c r="C231" s="9" t="str">
        <x:v>Profit before tax and income tax expense</x:v>
      </x:c>
      <x:c r="D231" s="15" t="str">
        <x:v>EXPLORE_WITH</x:v>
      </x:c>
      <x:c r="E231" s="9" t="str">
        <x:v>T05.17</x:v>
      </x:c>
      <x:c r="F231" s="9" t="str">
        <x:v>Net profit and profit attributable to shareholders</x:v>
      </x:c>
      <x:c r="G231" s="9" t="str">
        <x:v>Study these together to trace revenue and expenses into the profit measures used in analysis.</x:v>
      </x:c>
      <x:c r="H231" s="9" t="str">
        <x:v>A topical exploration link, not a claim that one determines the other.</x:v>
      </x:c>
      <x:c r="I231" s="9" t="str">
        <x:v>Curated curriculum relationship</x:v>
      </x:c>
    </x:row>
    <x:row r="232" ht="58" customHeight="1">
      <x:c r="A232" s="10" t="str">
        <x:v>E0227</x:v>
      </x:c>
      <x:c r="B232" s="10" t="str">
        <x:v>T04.06</x:v>
      </x:c>
      <x:c r="C232" s="10" t="str">
        <x:v>Revenue recognition and expense recognition</x:v>
      </x:c>
      <x:c r="D232" s="14" t="str">
        <x:v>RECOMMENDED_BEFORE</x:v>
      </x:c>
      <x:c r="E232" s="10" t="str">
        <x:v>T05.15</x:v>
      </x:c>
      <x:c r="F232" s="10" t="str">
        <x:v>Profit before tax and income tax expense</x:v>
      </x:c>
      <x:c r="G232" s="10" t="str">
        <x:v>Suggested starting knowledge: Revenue recognition and expense recognition. It helps you trace revenue and expenses into the profit measures used in analysis.</x:v>
      </x:c>
      <x:c r="H232" s="10" t="str">
        <x:v>Suggested learning order; learners can still explore freely.</x:v>
      </x:c>
      <x:c r="I232" s="10" t="str">
        <x:v>Curated curriculum relationship</x:v>
      </x:c>
    </x:row>
    <x:row r="233" ht="58" customHeight="1">
      <x:c r="A233" s="9" t="str">
        <x:v>E0228</x:v>
      </x:c>
      <x:c r="B233" s="9" t="str">
        <x:v>T05.16</x:v>
      </x:c>
      <x:c r="C233" s="9" t="str">
        <x:v>Continuing versus discontinued operations</x:v>
      </x:c>
      <x:c r="D233" s="15" t="str">
        <x:v>PART_OF</x:v>
      </x:c>
      <x:c r="E233" s="9" t="str">
        <x:v>D05</x:v>
      </x:c>
      <x:c r="F233" s="9" t="str">
        <x:v>Income statement: every major component</x:v>
      </x:c>
      <x:c r="G233" s="9" t="str">
        <x:v>Curriculum membership. Use this link to move between the topic and its finance area.</x:v>
      </x:c>
      <x:c r="H233" s="9" t="str">
        <x:v>Classification only; this edge is not a causal or calculation relationship.</x:v>
      </x:c>
      <x:c r="I233" s="9" t="str">
        <x:v>Curated curriculum relationship</x:v>
      </x:c>
    </x:row>
    <x:row r="234" ht="58" customHeight="1">
      <x:c r="A234" s="10" t="str">
        <x:v>E0229</x:v>
      </x:c>
      <x:c r="B234" s="10" t="str">
        <x:v>T05.16</x:v>
      </x:c>
      <x:c r="C234" s="10" t="str">
        <x:v>Continuing versus discontinued operations</x:v>
      </x:c>
      <x:c r="D234" s="14" t="str">
        <x:v>EXPLORE_WITH</x:v>
      </x:c>
      <x:c r="E234" s="10" t="str">
        <x:v>T05.17</x:v>
      </x:c>
      <x:c r="F234" s="10" t="str">
        <x:v>Net profit and profit attributable to shareholders</x:v>
      </x:c>
      <x:c r="G234" s="10" t="str">
        <x:v>Study these together to trace revenue and expenses into the profit measures used in analysis.</x:v>
      </x:c>
      <x:c r="H234" s="10" t="str">
        <x:v>A topical exploration link, not a claim that one determines the other.</x:v>
      </x:c>
      <x:c r="I234" s="10" t="str">
        <x:v>Curated curriculum relationship</x:v>
      </x:c>
    </x:row>
    <x:row r="235" ht="58" customHeight="1">
      <x:c r="A235" s="9" t="str">
        <x:v>E0230</x:v>
      </x:c>
      <x:c r="B235" s="9" t="str">
        <x:v>T04.06</x:v>
      </x:c>
      <x:c r="C235" s="9" t="str">
        <x:v>Revenue recognition and expense recognition</x:v>
      </x:c>
      <x:c r="D235" s="15" t="str">
        <x:v>RECOMMENDED_BEFORE</x:v>
      </x:c>
      <x:c r="E235" s="9" t="str">
        <x:v>T05.16</x:v>
      </x:c>
      <x:c r="F235" s="9" t="str">
        <x:v>Continuing versus discontinued operations</x:v>
      </x:c>
      <x:c r="G235" s="9" t="str">
        <x:v>Suggested starting knowledge: Revenue recognition and expense recognition. It helps you trace revenue and expenses into the profit measures used in analysis.</x:v>
      </x:c>
      <x:c r="H235" s="9" t="str">
        <x:v>Suggested learning order; learners can still explore freely.</x:v>
      </x:c>
      <x:c r="I235" s="9" t="str">
        <x:v>Curated curriculum relationship</x:v>
      </x:c>
    </x:row>
    <x:row r="236" ht="58" customHeight="1">
      <x:c r="A236" s="10" t="str">
        <x:v>E0231</x:v>
      </x:c>
      <x:c r="B236" s="10" t="str">
        <x:v>T05.17</x:v>
      </x:c>
      <x:c r="C236" s="10" t="str">
        <x:v>Net profit and profit attributable to shareholders</x:v>
      </x:c>
      <x:c r="D236" s="14" t="str">
        <x:v>PART_OF</x:v>
      </x:c>
      <x:c r="E236" s="10" t="str">
        <x:v>D05</x:v>
      </x:c>
      <x:c r="F236" s="10" t="str">
        <x:v>Income statement: every major component</x:v>
      </x:c>
      <x:c r="G236" s="10" t="str">
        <x:v>Curriculum membership. Use this link to move between the topic and its finance area.</x:v>
      </x:c>
      <x:c r="H236" s="10" t="str">
        <x:v>Classification only; this edge is not a causal or calculation relationship.</x:v>
      </x:c>
      <x:c r="I236" s="10" t="str">
        <x:v>Curated curriculum relationship</x:v>
      </x:c>
    </x:row>
    <x:row r="237" ht="58" customHeight="1">
      <x:c r="A237" s="9" t="str">
        <x:v>E0232</x:v>
      </x:c>
      <x:c r="B237" s="9" t="str">
        <x:v>T05.17</x:v>
      </x:c>
      <x:c r="C237" s="9" t="str">
        <x:v>Net profit and profit attributable to shareholders</x:v>
      </x:c>
      <x:c r="D237" s="15" t="str">
        <x:v>EXPLORE_WITH</x:v>
      </x:c>
      <x:c r="E237" s="9" t="str">
        <x:v>T05.18</x:v>
      </x:c>
      <x:c r="F237" s="9" t="str">
        <x:v>Basic and diluted earnings per share</x:v>
      </x:c>
      <x:c r="G237" s="9" t="str">
        <x:v>Study these together to trace revenue and expenses into the profit measures used in analysis.</x:v>
      </x:c>
      <x:c r="H237" s="9" t="str">
        <x:v>A topical exploration link, not a claim that one determines the other.</x:v>
      </x:c>
      <x:c r="I237" s="9" t="str">
        <x:v>Curated curriculum relationship</x:v>
      </x:c>
    </x:row>
    <x:row r="238" ht="58" customHeight="1">
      <x:c r="A238" s="10" t="str">
        <x:v>E0233</x:v>
      </x:c>
      <x:c r="B238" s="10" t="str">
        <x:v>T04.06</x:v>
      </x:c>
      <x:c r="C238" s="10" t="str">
        <x:v>Revenue recognition and expense recognition</x:v>
      </x:c>
      <x:c r="D238" s="14" t="str">
        <x:v>RECOMMENDED_BEFORE</x:v>
      </x:c>
      <x:c r="E238" s="10" t="str">
        <x:v>T05.17</x:v>
      </x:c>
      <x:c r="F238" s="10" t="str">
        <x:v>Net profit and profit attributable to shareholders</x:v>
      </x:c>
      <x:c r="G238" s="10" t="str">
        <x:v>Suggested starting knowledge: Revenue recognition and expense recognition. It helps you trace revenue and expenses into the profit measures used in analysis.</x:v>
      </x:c>
      <x:c r="H238" s="10" t="str">
        <x:v>Suggested learning order; learners can still explore freely.</x:v>
      </x:c>
      <x:c r="I238" s="10" t="str">
        <x:v>Curated curriculum relationship</x:v>
      </x:c>
    </x:row>
    <x:row r="239" ht="58" customHeight="1">
      <x:c r="A239" s="9" t="str">
        <x:v>E0234</x:v>
      </x:c>
      <x:c r="B239" s="9" t="str">
        <x:v>T05.18</x:v>
      </x:c>
      <x:c r="C239" s="9" t="str">
        <x:v>Basic and diluted earnings per share</x:v>
      </x:c>
      <x:c r="D239" s="15" t="str">
        <x:v>PART_OF</x:v>
      </x:c>
      <x:c r="E239" s="9" t="str">
        <x:v>D05</x:v>
      </x:c>
      <x:c r="F239" s="9" t="str">
        <x:v>Income statement: every major component</x:v>
      </x:c>
      <x:c r="G239" s="9" t="str">
        <x:v>Curriculum membership. Use this link to move between the topic and its finance area.</x:v>
      </x:c>
      <x:c r="H239" s="9" t="str">
        <x:v>Classification only; this edge is not a causal or calculation relationship.</x:v>
      </x:c>
      <x:c r="I239" s="9" t="str">
        <x:v>Curated curriculum relationship</x:v>
      </x:c>
    </x:row>
    <x:row r="240" ht="58" customHeight="1">
      <x:c r="A240" s="10" t="str">
        <x:v>E0235</x:v>
      </x:c>
      <x:c r="B240" s="10" t="str">
        <x:v>T05.18</x:v>
      </x:c>
      <x:c r="C240" s="10" t="str">
        <x:v>Basic and diluted earnings per share</x:v>
      </x:c>
      <x:c r="D240" s="14" t="str">
        <x:v>EXPLORE_WITH</x:v>
      </x:c>
      <x:c r="E240" s="10" t="str">
        <x:v>T05.17</x:v>
      </x:c>
      <x:c r="F240" s="10" t="str">
        <x:v>Net profit and profit attributable to shareholders</x:v>
      </x:c>
      <x:c r="G240" s="10" t="str">
        <x:v>Study these together to trace revenue and expenses into the profit measures used in analysis.</x:v>
      </x:c>
      <x:c r="H240" s="10" t="str">
        <x:v>A topical exploration link, not a claim that one determines the other.</x:v>
      </x:c>
      <x:c r="I240" s="10" t="str">
        <x:v>Curated curriculum relationship</x:v>
      </x:c>
    </x:row>
    <x:row r="241" ht="58" customHeight="1">
      <x:c r="A241" s="9" t="str">
        <x:v>E0236</x:v>
      </x:c>
      <x:c r="B241" s="9" t="str">
        <x:v>T04.06</x:v>
      </x:c>
      <x:c r="C241" s="9" t="str">
        <x:v>Revenue recognition and expense recognition</x:v>
      </x:c>
      <x:c r="D241" s="15" t="str">
        <x:v>RECOMMENDED_BEFORE</x:v>
      </x:c>
      <x:c r="E241" s="9" t="str">
        <x:v>T05.18</x:v>
      </x:c>
      <x:c r="F241" s="9" t="str">
        <x:v>Basic and diluted earnings per share</x:v>
      </x:c>
      <x:c r="G241" s="9" t="str">
        <x:v>Suggested starting knowledge: Revenue recognition and expense recognition. It helps you trace revenue and expenses into the profit measures used in analysis.</x:v>
      </x:c>
      <x:c r="H241" s="9" t="str">
        <x:v>Suggested learning order; learners can still explore freely.</x:v>
      </x:c>
      <x:c r="I241" s="9" t="str">
        <x:v>Curated curriculum relationship</x:v>
      </x:c>
    </x:row>
    <x:row r="242" ht="58" customHeight="1">
      <x:c r="A242" s="10" t="str">
        <x:v>E0237</x:v>
      </x:c>
      <x:c r="B242" s="10" t="str">
        <x:v>T05.19</x:v>
      </x:c>
      <x:c r="C242" s="10" t="str">
        <x:v>Other comprehensive income and total comprehensive income</x:v>
      </x:c>
      <x:c r="D242" s="14" t="str">
        <x:v>PART_OF</x:v>
      </x:c>
      <x:c r="E242" s="10" t="str">
        <x:v>D05</x:v>
      </x:c>
      <x:c r="F242" s="10" t="str">
        <x:v>Income statement: every major component</x:v>
      </x:c>
      <x:c r="G242" s="10" t="str">
        <x:v>Curriculum membership. Use this link to move between the topic and its finance area.</x:v>
      </x:c>
      <x:c r="H242" s="10" t="str">
        <x:v>Classification only; this edge is not a causal or calculation relationship.</x:v>
      </x:c>
      <x:c r="I242" s="10" t="str">
        <x:v>Curated curriculum relationship</x:v>
      </x:c>
    </x:row>
    <x:row r="243" ht="58" customHeight="1">
      <x:c r="A243" s="9" t="str">
        <x:v>E0238</x:v>
      </x:c>
      <x:c r="B243" s="9" t="str">
        <x:v>T05.19</x:v>
      </x:c>
      <x:c r="C243" s="9" t="str">
        <x:v>Other comprehensive income and total comprehensive income</x:v>
      </x:c>
      <x:c r="D243" s="15" t="str">
        <x:v>EXPLORE_WITH</x:v>
      </x:c>
      <x:c r="E243" s="9" t="str">
        <x:v>T05.17</x:v>
      </x:c>
      <x:c r="F243" s="9" t="str">
        <x:v>Net profit and profit attributable to shareholders</x:v>
      </x:c>
      <x:c r="G243" s="9" t="str">
        <x:v>Study these together to trace revenue and expenses into the profit measures used in analysis.</x:v>
      </x:c>
      <x:c r="H243" s="9" t="str">
        <x:v>A topical exploration link, not a claim that one determines the other.</x:v>
      </x:c>
      <x:c r="I243" s="9" t="str">
        <x:v>Curated curriculum relationship</x:v>
      </x:c>
    </x:row>
    <x:row r="244" ht="58" customHeight="1">
      <x:c r="A244" s="10" t="str">
        <x:v>E0239</x:v>
      </x:c>
      <x:c r="B244" s="10" t="str">
        <x:v>T04.06</x:v>
      </x:c>
      <x:c r="C244" s="10" t="str">
        <x:v>Revenue recognition and expense recognition</x:v>
      </x:c>
      <x:c r="D244" s="14" t="str">
        <x:v>RECOMMENDED_BEFORE</x:v>
      </x:c>
      <x:c r="E244" s="10" t="str">
        <x:v>T05.19</x:v>
      </x:c>
      <x:c r="F244" s="10" t="str">
        <x:v>Other comprehensive income and total comprehensive income</x:v>
      </x:c>
      <x:c r="G244" s="10" t="str">
        <x:v>Suggested starting knowledge: Revenue recognition and expense recognition. It helps you trace revenue and expenses into the profit measures used in analysis.</x:v>
      </x:c>
      <x:c r="H244" s="10" t="str">
        <x:v>Suggested learning order; learners can still explore freely.</x:v>
      </x:c>
      <x:c r="I244" s="10" t="str">
        <x:v>Curated curriculum relationship</x:v>
      </x:c>
    </x:row>
    <x:row r="245" ht="58" customHeight="1">
      <x:c r="A245" s="9" t="str">
        <x:v>E0240</x:v>
      </x:c>
      <x:c r="B245" s="9" t="str">
        <x:v>T05.20</x:v>
      </x:c>
      <x:c r="C245" s="9" t="str">
        <x:v>Segment revenue and segment profitability</x:v>
      </x:c>
      <x:c r="D245" s="15" t="str">
        <x:v>PART_OF</x:v>
      </x:c>
      <x:c r="E245" s="9" t="str">
        <x:v>D05</x:v>
      </x:c>
      <x:c r="F245" s="9" t="str">
        <x:v>Income statement: every major component</x:v>
      </x:c>
      <x:c r="G245" s="9" t="str">
        <x:v>Curriculum membership. Use this link to move between the topic and its finance area.</x:v>
      </x:c>
      <x:c r="H245" s="9" t="str">
        <x:v>Classification only; this edge is not a causal or calculation relationship.</x:v>
      </x:c>
      <x:c r="I245" s="9" t="str">
        <x:v>Curated curriculum relationship</x:v>
      </x:c>
    </x:row>
    <x:row r="246" ht="58" customHeight="1">
      <x:c r="A246" s="10" t="str">
        <x:v>E0241</x:v>
      </x:c>
      <x:c r="B246" s="10" t="str">
        <x:v>T05.20</x:v>
      </x:c>
      <x:c r="C246" s="10" t="str">
        <x:v>Segment revenue and segment profitability</x:v>
      </x:c>
      <x:c r="D246" s="14" t="str">
        <x:v>EXPLORE_WITH</x:v>
      </x:c>
      <x:c r="E246" s="10" t="str">
        <x:v>T05.01</x:v>
      </x:c>
      <x:c r="F246" s="10" t="str">
        <x:v>Revenue, sales, and other operating income</x:v>
      </x:c>
      <x:c r="G246" s="10" t="str">
        <x:v>Study these together to trace revenue and expenses into the profit measures used in analysis.</x:v>
      </x:c>
      <x:c r="H246" s="10" t="str">
        <x:v>A topical exploration link, not a claim that one determines the other.</x:v>
      </x:c>
      <x:c r="I246" s="10" t="str">
        <x:v>Curated curriculum relationship</x:v>
      </x:c>
    </x:row>
    <x:row r="247" ht="58" customHeight="1">
      <x:c r="A247" s="9" t="str">
        <x:v>E0242</x:v>
      </x:c>
      <x:c r="B247" s="9" t="str">
        <x:v>T04.06</x:v>
      </x:c>
      <x:c r="C247" s="9" t="str">
        <x:v>Revenue recognition and expense recognition</x:v>
      </x:c>
      <x:c r="D247" s="15" t="str">
        <x:v>RECOMMENDED_BEFORE</x:v>
      </x:c>
      <x:c r="E247" s="9" t="str">
        <x:v>T05.20</x:v>
      </x:c>
      <x:c r="F247" s="9" t="str">
        <x:v>Segment revenue and segment profitability</x:v>
      </x:c>
      <x:c r="G247" s="9" t="str">
        <x:v>Suggested starting knowledge: Revenue recognition and expense recognition. It helps you trace revenue and expenses into the profit measures used in analysis.</x:v>
      </x:c>
      <x:c r="H247" s="9" t="str">
        <x:v>Suggested learning order; learners can still explore freely.</x:v>
      </x:c>
      <x:c r="I247" s="9" t="str">
        <x:v>Curated curriculum relationship</x:v>
      </x:c>
    </x:row>
    <x:row r="248" ht="58" customHeight="1">
      <x:c r="A248" s="10" t="str">
        <x:v>E0243</x:v>
      </x:c>
      <x:c r="B248" s="10" t="str">
        <x:v>T06.01</x:v>
      </x:c>
      <x:c r="C248" s="10" t="str">
        <x:v>Current versus non-current classification</x:v>
      </x:c>
      <x:c r="D248" s="14" t="str">
        <x:v>PART_OF</x:v>
      </x:c>
      <x:c r="E248" s="10" t="str">
        <x:v>D06</x:v>
      </x:c>
      <x:c r="F248" s="10" t="str">
        <x:v>Balance sheet: every major component</x:v>
      </x:c>
      <x:c r="G248" s="10" t="str">
        <x:v>Curriculum membership. Use this link to move between the topic and its finance area.</x:v>
      </x:c>
      <x:c r="H248" s="10" t="str">
        <x:v>Classification only; this edge is not a causal or calculation relationship.</x:v>
      </x:c>
      <x:c r="I248" s="10" t="str">
        <x:v>Curated curriculum relationship</x:v>
      </x:c>
    </x:row>
    <x:row r="249" ht="58" customHeight="1">
      <x:c r="A249" s="9" t="str">
        <x:v>E0244</x:v>
      </x:c>
      <x:c r="B249" s="9" t="str">
        <x:v>T06.01</x:v>
      </x:c>
      <x:c r="C249" s="9" t="str">
        <x:v>Current versus non-current classification</x:v>
      </x:c>
      <x:c r="D249" s="15" t="str">
        <x:v>EXPLORE_WITH</x:v>
      </x:c>
      <x:c r="E249" s="9" t="str">
        <x:v>T06.02</x:v>
      </x:c>
      <x:c r="F249" s="9" t="str">
        <x:v>Cash and cash equivalents</x:v>
      </x:c>
      <x:c r="G249" s="9" t="str">
        <x:v>Study these together to explain how assets are funded and how balances change through transactions.</x:v>
      </x:c>
      <x:c r="H249" s="9" t="str">
        <x:v>A topical exploration link, not a claim that one determines the other.</x:v>
      </x:c>
      <x:c r="I249" s="9" t="str">
        <x:v>Curated curriculum relationship</x:v>
      </x:c>
    </x:row>
    <x:row r="250" ht="58" customHeight="1">
      <x:c r="A250" s="10" t="str">
        <x:v>E0245</x:v>
      </x:c>
      <x:c r="B250" s="10" t="str">
        <x:v>T04.01</x:v>
      </x:c>
      <x:c r="C250" s="10" t="str">
        <x:v>The accounting equation</x:v>
      </x:c>
      <x:c r="D250" s="14" t="str">
        <x:v>RECOMMENDED_BEFORE</x:v>
      </x:c>
      <x:c r="E250" s="10" t="str">
        <x:v>T06.01</x:v>
      </x:c>
      <x:c r="F250" s="10" t="str">
        <x:v>Current versus non-current classification</x:v>
      </x:c>
      <x:c r="G250" s="10" t="str">
        <x:v>Suggested starting knowledge: The accounting equation. It helps you explain how assets are funded and how balances change through transactions.</x:v>
      </x:c>
      <x:c r="H250" s="10" t="str">
        <x:v>Suggested learning order; learners can still explore freely.</x:v>
      </x:c>
      <x:c r="I250" s="10" t="str">
        <x:v>Curated curriculum relationship</x:v>
      </x:c>
    </x:row>
    <x:row r="251" ht="58" customHeight="1">
      <x:c r="A251" s="9" t="str">
        <x:v>E0246</x:v>
      </x:c>
      <x:c r="B251" s="9" t="str">
        <x:v>T06.02</x:v>
      </x:c>
      <x:c r="C251" s="9" t="str">
        <x:v>Cash and cash equivalents</x:v>
      </x:c>
      <x:c r="D251" s="15" t="str">
        <x:v>PART_OF</x:v>
      </x:c>
      <x:c r="E251" s="9" t="str">
        <x:v>D06</x:v>
      </x:c>
      <x:c r="F251" s="9" t="str">
        <x:v>Balance sheet: every major component</x:v>
      </x:c>
      <x:c r="G251" s="9" t="str">
        <x:v>Curriculum membership. Use this link to move between the topic and its finance area.</x:v>
      </x:c>
      <x:c r="H251" s="9" t="str">
        <x:v>Classification only; this edge is not a causal or calculation relationship.</x:v>
      </x:c>
      <x:c r="I251" s="9" t="str">
        <x:v>Curated curriculum relationship</x:v>
      </x:c>
    </x:row>
    <x:row r="252" ht="58" customHeight="1">
      <x:c r="A252" s="10" t="str">
        <x:v>E0247</x:v>
      </x:c>
      <x:c r="B252" s="10" t="str">
        <x:v>T06.02</x:v>
      </x:c>
      <x:c r="C252" s="10" t="str">
        <x:v>Cash and cash equivalents</x:v>
      </x:c>
      <x:c r="D252" s="14" t="str">
        <x:v>EXPLORE_WITH</x:v>
      </x:c>
      <x:c r="E252" s="10" t="str">
        <x:v>T06.03</x:v>
      </x:c>
      <x:c r="F252" s="10" t="str">
        <x:v>Restricted cash and liquid investments</x:v>
      </x:c>
      <x:c r="G252" s="10" t="str">
        <x:v>Study these together to explain how assets are funded and how balances change through transactions.</x:v>
      </x:c>
      <x:c r="H252" s="10" t="str">
        <x:v>A topical exploration link, not a claim that one determines the other.</x:v>
      </x:c>
      <x:c r="I252" s="10" t="str">
        <x:v>Curated curriculum relationship</x:v>
      </x:c>
    </x:row>
    <x:row r="253" ht="58" customHeight="1">
      <x:c r="A253" s="9" t="str">
        <x:v>E0248</x:v>
      </x:c>
      <x:c r="B253" s="9" t="str">
        <x:v>T04.01</x:v>
      </x:c>
      <x:c r="C253" s="9" t="str">
        <x:v>The accounting equation</x:v>
      </x:c>
      <x:c r="D253" s="15" t="str">
        <x:v>RECOMMENDED_BEFORE</x:v>
      </x:c>
      <x:c r="E253" s="9" t="str">
        <x:v>T06.02</x:v>
      </x:c>
      <x:c r="F253" s="9" t="str">
        <x:v>Cash and cash equivalents</x:v>
      </x:c>
      <x:c r="G253" s="9" t="str">
        <x:v>Suggested starting knowledge: The accounting equation. It helps you explain how assets are funded and how balances change through transactions.</x:v>
      </x:c>
      <x:c r="H253" s="9" t="str">
        <x:v>Suggested learning order; learners can still explore freely.</x:v>
      </x:c>
      <x:c r="I253" s="9" t="str">
        <x:v>Curated curriculum relationship</x:v>
      </x:c>
    </x:row>
    <x:row r="254" ht="58" customHeight="1">
      <x:c r="A254" s="10" t="str">
        <x:v>E0249</x:v>
      </x:c>
      <x:c r="B254" s="10" t="str">
        <x:v>T06.03</x:v>
      </x:c>
      <x:c r="C254" s="10" t="str">
        <x:v>Restricted cash and liquid investments</x:v>
      </x:c>
      <x:c r="D254" s="14" t="str">
        <x:v>PART_OF</x:v>
      </x:c>
      <x:c r="E254" s="10" t="str">
        <x:v>D06</x:v>
      </x:c>
      <x:c r="F254" s="10" t="str">
        <x:v>Balance sheet: every major component</x:v>
      </x:c>
      <x:c r="G254" s="10" t="str">
        <x:v>Curriculum membership. Use this link to move between the topic and its finance area.</x:v>
      </x:c>
      <x:c r="H254" s="10" t="str">
        <x:v>Classification only; this edge is not a causal or calculation relationship.</x:v>
      </x:c>
      <x:c r="I254" s="10" t="str">
        <x:v>Curated curriculum relationship</x:v>
      </x:c>
    </x:row>
    <x:row r="255" ht="58" customHeight="1">
      <x:c r="A255" s="9" t="str">
        <x:v>E0250</x:v>
      </x:c>
      <x:c r="B255" s="9" t="str">
        <x:v>T06.03</x:v>
      </x:c>
      <x:c r="C255" s="9" t="str">
        <x:v>Restricted cash and liquid investments</x:v>
      </x:c>
      <x:c r="D255" s="15" t="str">
        <x:v>EXPLORE_WITH</x:v>
      </x:c>
      <x:c r="E255" s="9" t="str">
        <x:v>T06.02</x:v>
      </x:c>
      <x:c r="F255" s="9" t="str">
        <x:v>Cash and cash equivalents</x:v>
      </x:c>
      <x:c r="G255" s="9" t="str">
        <x:v>Study these together to explain how assets are funded and how balances change through transactions.</x:v>
      </x:c>
      <x:c r="H255" s="9" t="str">
        <x:v>A topical exploration link, not a claim that one determines the other.</x:v>
      </x:c>
      <x:c r="I255" s="9" t="str">
        <x:v>Curated curriculum relationship</x:v>
      </x:c>
    </x:row>
    <x:row r="256" ht="58" customHeight="1">
      <x:c r="A256" s="10" t="str">
        <x:v>E0251</x:v>
      </x:c>
      <x:c r="B256" s="10" t="str">
        <x:v>T04.01</x:v>
      </x:c>
      <x:c r="C256" s="10" t="str">
        <x:v>The accounting equation</x:v>
      </x:c>
      <x:c r="D256" s="14" t="str">
        <x:v>RECOMMENDED_BEFORE</x:v>
      </x:c>
      <x:c r="E256" s="10" t="str">
        <x:v>T06.03</x:v>
      </x:c>
      <x:c r="F256" s="10" t="str">
        <x:v>Restricted cash and liquid investments</x:v>
      </x:c>
      <x:c r="G256" s="10" t="str">
        <x:v>Suggested starting knowledge: The accounting equation. It helps you explain how assets are funded and how balances change through transactions.</x:v>
      </x:c>
      <x:c r="H256" s="10" t="str">
        <x:v>Suggested learning order; learners can still explore freely.</x:v>
      </x:c>
      <x:c r="I256" s="10" t="str">
        <x:v>Curated curriculum relationship</x:v>
      </x:c>
    </x:row>
    <x:row r="257" ht="58" customHeight="1">
      <x:c r="A257" s="9" t="str">
        <x:v>E0252</x:v>
      </x:c>
      <x:c r="B257" s="9" t="str">
        <x:v>T06.04</x:v>
      </x:c>
      <x:c r="C257" s="9" t="str">
        <x:v>Trade receivables and expected credit losses</x:v>
      </x:c>
      <x:c r="D257" s="15" t="str">
        <x:v>PART_OF</x:v>
      </x:c>
      <x:c r="E257" s="9" t="str">
        <x:v>D06</x:v>
      </x:c>
      <x:c r="F257" s="9" t="str">
        <x:v>Balance sheet: every major component</x:v>
      </x:c>
      <x:c r="G257" s="9" t="str">
        <x:v>Curriculum membership. Use this link to move between the topic and its finance area.</x:v>
      </x:c>
      <x:c r="H257" s="9" t="str">
        <x:v>Classification only; this edge is not a causal or calculation relationship.</x:v>
      </x:c>
      <x:c r="I257" s="9" t="str">
        <x:v>Curated curriculum relationship</x:v>
      </x:c>
    </x:row>
    <x:row r="258" ht="58" customHeight="1">
      <x:c r="A258" s="10" t="str">
        <x:v>E0253</x:v>
      </x:c>
      <x:c r="B258" s="10" t="str">
        <x:v>T06.04</x:v>
      </x:c>
      <x:c r="C258" s="10" t="str">
        <x:v>Trade receivables and expected credit losses</x:v>
      </x:c>
      <x:c r="D258" s="14" t="str">
        <x:v>EXPLORE_WITH</x:v>
      </x:c>
      <x:c r="E258" s="10" t="str">
        <x:v>T06.13</x:v>
      </x:c>
      <x:c r="F258" s="10" t="str">
        <x:v>Trade payables and accrued expenses</x:v>
      </x:c>
      <x:c r="G258" s="10" t="str">
        <x:v>Study these together to explain how assets are funded and how balances change through transactions.</x:v>
      </x:c>
      <x:c r="H258" s="10" t="str">
        <x:v>A topical exploration link, not a claim that one determines the other.</x:v>
      </x:c>
      <x:c r="I258" s="10" t="str">
        <x:v>Curated curriculum relationship</x:v>
      </x:c>
    </x:row>
    <x:row r="259" ht="58" customHeight="1">
      <x:c r="A259" s="9" t="str">
        <x:v>E0254</x:v>
      </x:c>
      <x:c r="B259" s="9" t="str">
        <x:v>T04.01</x:v>
      </x:c>
      <x:c r="C259" s="9" t="str">
        <x:v>The accounting equation</x:v>
      </x:c>
      <x:c r="D259" s="15" t="str">
        <x:v>RECOMMENDED_BEFORE</x:v>
      </x:c>
      <x:c r="E259" s="9" t="str">
        <x:v>T06.04</x:v>
      </x:c>
      <x:c r="F259" s="9" t="str">
        <x:v>Trade receivables and expected credit losses</x:v>
      </x:c>
      <x:c r="G259" s="9" t="str">
        <x:v>Suggested starting knowledge: The accounting equation. It helps you explain how assets are funded and how balances change through transactions.</x:v>
      </x:c>
      <x:c r="H259" s="9" t="str">
        <x:v>Suggested learning order; learners can still explore freely.</x:v>
      </x:c>
      <x:c r="I259" s="9" t="str">
        <x:v>Curated curriculum relationship</x:v>
      </x:c>
    </x:row>
    <x:row r="260" ht="58" customHeight="1">
      <x:c r="A260" s="10" t="str">
        <x:v>E0255</x:v>
      </x:c>
      <x:c r="B260" s="10" t="str">
        <x:v>T06.05</x:v>
      </x:c>
      <x:c r="C260" s="10" t="str">
        <x:v>Inventory: raw materials, work in progress, and finished goods</x:v>
      </x:c>
      <x:c r="D260" s="14" t="str">
        <x:v>PART_OF</x:v>
      </x:c>
      <x:c r="E260" s="10" t="str">
        <x:v>D06</x:v>
      </x:c>
      <x:c r="F260" s="10" t="str">
        <x:v>Balance sheet: every major component</x:v>
      </x:c>
      <x:c r="G260" s="10" t="str">
        <x:v>Curriculum membership. Use this link to move between the topic and its finance area.</x:v>
      </x:c>
      <x:c r="H260" s="10" t="str">
        <x:v>Classification only; this edge is not a causal or calculation relationship.</x:v>
      </x:c>
      <x:c r="I260" s="10" t="str">
        <x:v>Curated curriculum relationship</x:v>
      </x:c>
    </x:row>
    <x:row r="261" ht="58" customHeight="1">
      <x:c r="A261" s="9" t="str">
        <x:v>E0256</x:v>
      </x:c>
      <x:c r="B261" s="9" t="str">
        <x:v>T06.05</x:v>
      </x:c>
      <x:c r="C261" s="9" t="str">
        <x:v>Inventory: raw materials, work in progress, and finished goods</x:v>
      </x:c>
      <x:c r="D261" s="15" t="str">
        <x:v>EXPLORE_WITH</x:v>
      </x:c>
      <x:c r="E261" s="9" t="str">
        <x:v>T06.13</x:v>
      </x:c>
      <x:c r="F261" s="9" t="str">
        <x:v>Trade payables and accrued expenses</x:v>
      </x:c>
      <x:c r="G261" s="9" t="str">
        <x:v>Study these together to explain how assets are funded and how balances change through transactions.</x:v>
      </x:c>
      <x:c r="H261" s="9" t="str">
        <x:v>A topical exploration link, not a claim that one determines the other.</x:v>
      </x:c>
      <x:c r="I261" s="9" t="str">
        <x:v>Curated curriculum relationship</x:v>
      </x:c>
    </x:row>
    <x:row r="262" ht="58" customHeight="1">
      <x:c r="A262" s="10" t="str">
        <x:v>E0257</x:v>
      </x:c>
      <x:c r="B262" s="10" t="str">
        <x:v>T04.01</x:v>
      </x:c>
      <x:c r="C262" s="10" t="str">
        <x:v>The accounting equation</x:v>
      </x:c>
      <x:c r="D262" s="14" t="str">
        <x:v>RECOMMENDED_BEFORE</x:v>
      </x:c>
      <x:c r="E262" s="10" t="str">
        <x:v>T06.05</x:v>
      </x:c>
      <x:c r="F262" s="10" t="str">
        <x:v>Inventory: raw materials, work in progress, and finished goods</x:v>
      </x:c>
      <x:c r="G262" s="10" t="str">
        <x:v>Suggested starting knowledge: The accounting equation. It helps you explain how assets are funded and how balances change through transactions.</x:v>
      </x:c>
      <x:c r="H262" s="10" t="str">
        <x:v>Suggested learning order; learners can still explore freely.</x:v>
      </x:c>
      <x:c r="I262" s="10" t="str">
        <x:v>Curated curriculum relationship</x:v>
      </x:c>
    </x:row>
    <x:row r="263" ht="58" customHeight="1">
      <x:c r="A263" s="9" t="str">
        <x:v>E0258</x:v>
      </x:c>
      <x:c r="B263" s="9" t="str">
        <x:v>T06.06</x:v>
      </x:c>
      <x:c r="C263" s="9" t="str">
        <x:v>Prepayments, advances, and other current assets</x:v>
      </x:c>
      <x:c r="D263" s="15" t="str">
        <x:v>PART_OF</x:v>
      </x:c>
      <x:c r="E263" s="9" t="str">
        <x:v>D06</x:v>
      </x:c>
      <x:c r="F263" s="9" t="str">
        <x:v>Balance sheet: every major component</x:v>
      </x:c>
      <x:c r="G263" s="9" t="str">
        <x:v>Curriculum membership. Use this link to move between the topic and its finance area.</x:v>
      </x:c>
      <x:c r="H263" s="9" t="str">
        <x:v>Classification only; this edge is not a causal or calculation relationship.</x:v>
      </x:c>
      <x:c r="I263" s="9" t="str">
        <x:v>Curated curriculum relationship</x:v>
      </x:c>
    </x:row>
    <x:row r="264" ht="58" customHeight="1">
      <x:c r="A264" s="10" t="str">
        <x:v>E0259</x:v>
      </x:c>
      <x:c r="B264" s="10" t="str">
        <x:v>T06.06</x:v>
      </x:c>
      <x:c r="C264" s="10" t="str">
        <x:v>Prepayments, advances, and other current assets</x:v>
      </x:c>
      <x:c r="D264" s="14" t="str">
        <x:v>EXPLORE_WITH</x:v>
      </x:c>
      <x:c r="E264" s="10" t="str">
        <x:v>T06.13</x:v>
      </x:c>
      <x:c r="F264" s="10" t="str">
        <x:v>Trade payables and accrued expenses</x:v>
      </x:c>
      <x:c r="G264" s="10" t="str">
        <x:v>Study these together to explain how assets are funded and how balances change through transactions.</x:v>
      </x:c>
      <x:c r="H264" s="10" t="str">
        <x:v>A topical exploration link, not a claim that one determines the other.</x:v>
      </x:c>
      <x:c r="I264" s="10" t="str">
        <x:v>Curated curriculum relationship</x:v>
      </x:c>
    </x:row>
    <x:row r="265" ht="58" customHeight="1">
      <x:c r="A265" s="9" t="str">
        <x:v>E0260</x:v>
      </x:c>
      <x:c r="B265" s="9" t="str">
        <x:v>T04.01</x:v>
      </x:c>
      <x:c r="C265" s="9" t="str">
        <x:v>The accounting equation</x:v>
      </x:c>
      <x:c r="D265" s="15" t="str">
        <x:v>RECOMMENDED_BEFORE</x:v>
      </x:c>
      <x:c r="E265" s="9" t="str">
        <x:v>T06.06</x:v>
      </x:c>
      <x:c r="F265" s="9" t="str">
        <x:v>Prepayments, advances, and other current assets</x:v>
      </x:c>
      <x:c r="G265" s="9" t="str">
        <x:v>Suggested starting knowledge: The accounting equation. It helps you explain how assets are funded and how balances change through transactions.</x:v>
      </x:c>
      <x:c r="H265" s="9" t="str">
        <x:v>Suggested learning order; learners can still explore freely.</x:v>
      </x:c>
      <x:c r="I265" s="9" t="str">
        <x:v>Curated curriculum relationship</x:v>
      </x:c>
    </x:row>
    <x:row r="266" ht="58" customHeight="1">
      <x:c r="A266" s="10" t="str">
        <x:v>E0261</x:v>
      </x:c>
      <x:c r="B266" s="10" t="str">
        <x:v>T06.07</x:v>
      </x:c>
      <x:c r="C266" s="10" t="str">
        <x:v>Property, plant, and equipment</x:v>
      </x:c>
      <x:c r="D266" s="14" t="str">
        <x:v>PART_OF</x:v>
      </x:c>
      <x:c r="E266" s="10" t="str">
        <x:v>D06</x:v>
      </x:c>
      <x:c r="F266" s="10" t="str">
        <x:v>Balance sheet: every major component</x:v>
      </x:c>
      <x:c r="G266" s="10" t="str">
        <x:v>Curriculum membership. Use this link to move between the topic and its finance area.</x:v>
      </x:c>
      <x:c r="H266" s="10" t="str">
        <x:v>Classification only; this edge is not a causal or calculation relationship.</x:v>
      </x:c>
      <x:c r="I266" s="10" t="str">
        <x:v>Curated curriculum relationship</x:v>
      </x:c>
    </x:row>
    <x:row r="267" ht="58" customHeight="1">
      <x:c r="A267" s="9" t="str">
        <x:v>E0262</x:v>
      </x:c>
      <x:c r="B267" s="9" t="str">
        <x:v>T06.07</x:v>
      </x:c>
      <x:c r="C267" s="9" t="str">
        <x:v>Property, plant, and equipment</x:v>
      </x:c>
      <x:c r="D267" s="15" t="str">
        <x:v>EXPLORE_WITH</x:v>
      </x:c>
      <x:c r="E267" s="9" t="str">
        <x:v>T06.08</x:v>
      </x:c>
      <x:c r="F267" s="9" t="str">
        <x:v>Capital work in progress</x:v>
      </x:c>
      <x:c r="G267" s="9" t="str">
        <x:v>Study these together to explain how assets are funded and how balances change through transactions.</x:v>
      </x:c>
      <x:c r="H267" s="9" t="str">
        <x:v>A topical exploration link, not a claim that one determines the other.</x:v>
      </x:c>
      <x:c r="I267" s="9" t="str">
        <x:v>Curated curriculum relationship</x:v>
      </x:c>
    </x:row>
    <x:row r="268" ht="58" customHeight="1">
      <x:c r="A268" s="10" t="str">
        <x:v>E0263</x:v>
      </x:c>
      <x:c r="B268" s="10" t="str">
        <x:v>T04.01</x:v>
      </x:c>
      <x:c r="C268" s="10" t="str">
        <x:v>The accounting equation</x:v>
      </x:c>
      <x:c r="D268" s="14" t="str">
        <x:v>RECOMMENDED_BEFORE</x:v>
      </x:c>
      <x:c r="E268" s="10" t="str">
        <x:v>T06.07</x:v>
      </x:c>
      <x:c r="F268" s="10" t="str">
        <x:v>Property, plant, and equipment</x:v>
      </x:c>
      <x:c r="G268" s="10" t="str">
        <x:v>Suggested starting knowledge: The accounting equation. It helps you explain how assets are funded and how balances change through transactions.</x:v>
      </x:c>
      <x:c r="H268" s="10" t="str">
        <x:v>Suggested learning order; learners can still explore freely.</x:v>
      </x:c>
      <x:c r="I268" s="10" t="str">
        <x:v>Curated curriculum relationship</x:v>
      </x:c>
    </x:row>
    <x:row r="269" ht="58" customHeight="1">
      <x:c r="A269" s="9" t="str">
        <x:v>E0264</x:v>
      </x:c>
      <x:c r="B269" s="9" t="str">
        <x:v>T06.08</x:v>
      </x:c>
      <x:c r="C269" s="9" t="str">
        <x:v>Capital work in progress</x:v>
      </x:c>
      <x:c r="D269" s="15" t="str">
        <x:v>PART_OF</x:v>
      </x:c>
      <x:c r="E269" s="9" t="str">
        <x:v>D06</x:v>
      </x:c>
      <x:c r="F269" s="9" t="str">
        <x:v>Balance sheet: every major component</x:v>
      </x:c>
      <x:c r="G269" s="9" t="str">
        <x:v>Curriculum membership. Use this link to move between the topic and its finance area.</x:v>
      </x:c>
      <x:c r="H269" s="9" t="str">
        <x:v>Classification only; this edge is not a causal or calculation relationship.</x:v>
      </x:c>
      <x:c r="I269" s="9" t="str">
        <x:v>Curated curriculum relationship</x:v>
      </x:c>
    </x:row>
    <x:row r="270" ht="58" customHeight="1">
      <x:c r="A270" s="10" t="str">
        <x:v>E0265</x:v>
      </x:c>
      <x:c r="B270" s="10" t="str">
        <x:v>T06.08</x:v>
      </x:c>
      <x:c r="C270" s="10" t="str">
        <x:v>Capital work in progress</x:v>
      </x:c>
      <x:c r="D270" s="14" t="str">
        <x:v>EXPLORE_WITH</x:v>
      </x:c>
      <x:c r="E270" s="10" t="str">
        <x:v>T06.07</x:v>
      </x:c>
      <x:c r="F270" s="10" t="str">
        <x:v>Property, plant, and equipment</x:v>
      </x:c>
      <x:c r="G270" s="10" t="str">
        <x:v>Study these together to explain how assets are funded and how balances change through transactions.</x:v>
      </x:c>
      <x:c r="H270" s="10" t="str">
        <x:v>A topical exploration link, not a claim that one determines the other.</x:v>
      </x:c>
      <x:c r="I270" s="10" t="str">
        <x:v>Curated curriculum relationship</x:v>
      </x:c>
    </x:row>
    <x:row r="271" ht="58" customHeight="1">
      <x:c r="A271" s="9" t="str">
        <x:v>E0266</x:v>
      </x:c>
      <x:c r="B271" s="9" t="str">
        <x:v>T04.01</x:v>
      </x:c>
      <x:c r="C271" s="9" t="str">
        <x:v>The accounting equation</x:v>
      </x:c>
      <x:c r="D271" s="15" t="str">
        <x:v>RECOMMENDED_BEFORE</x:v>
      </x:c>
      <x:c r="E271" s="9" t="str">
        <x:v>T06.08</x:v>
      </x:c>
      <x:c r="F271" s="9" t="str">
        <x:v>Capital work in progress</x:v>
      </x:c>
      <x:c r="G271" s="9" t="str">
        <x:v>Suggested starting knowledge: The accounting equation. It helps you explain how assets are funded and how balances change through transactions.</x:v>
      </x:c>
      <x:c r="H271" s="9" t="str">
        <x:v>Suggested learning order; learners can still explore freely.</x:v>
      </x:c>
      <x:c r="I271" s="9" t="str">
        <x:v>Curated curriculum relationship</x:v>
      </x:c>
    </x:row>
    <x:row r="272" ht="58" customHeight="1">
      <x:c r="A272" s="10" t="str">
        <x:v>E0267</x:v>
      </x:c>
      <x:c r="B272" s="10" t="str">
        <x:v>T06.09</x:v>
      </x:c>
      <x:c r="C272" s="10" t="str">
        <x:v>Right-of-use assets</x:v>
      </x:c>
      <x:c r="D272" s="14" t="str">
        <x:v>PART_OF</x:v>
      </x:c>
      <x:c r="E272" s="10" t="str">
        <x:v>D06</x:v>
      </x:c>
      <x:c r="F272" s="10" t="str">
        <x:v>Balance sheet: every major component</x:v>
      </x:c>
      <x:c r="G272" s="10" t="str">
        <x:v>Curriculum membership. Use this link to move between the topic and its finance area.</x:v>
      </x:c>
      <x:c r="H272" s="10" t="str">
        <x:v>Classification only; this edge is not a causal or calculation relationship.</x:v>
      </x:c>
      <x:c r="I272" s="10" t="str">
        <x:v>Curated curriculum relationship</x:v>
      </x:c>
    </x:row>
    <x:row r="273" ht="58" customHeight="1">
      <x:c r="A273" s="9" t="str">
        <x:v>E0268</x:v>
      </x:c>
      <x:c r="B273" s="9" t="str">
        <x:v>T06.09</x:v>
      </x:c>
      <x:c r="C273" s="9" t="str">
        <x:v>Right-of-use assets</x:v>
      </x:c>
      <x:c r="D273" s="15" t="str">
        <x:v>EXPLORE_WITH</x:v>
      </x:c>
      <x:c r="E273" s="9" t="str">
        <x:v>T06.16</x:v>
      </x:c>
      <x:c r="F273" s="9" t="str">
        <x:v>Lease liabilities</x:v>
      </x:c>
      <x:c r="G273" s="9" t="str">
        <x:v>Study these together to explain how assets are funded and how balances change through transactions.</x:v>
      </x:c>
      <x:c r="H273" s="9" t="str">
        <x:v>A topical exploration link, not a claim that one determines the other.</x:v>
      </x:c>
      <x:c r="I273" s="9" t="str">
        <x:v>Curated curriculum relationship</x:v>
      </x:c>
    </x:row>
    <x:row r="274" ht="58" customHeight="1">
      <x:c r="A274" s="10" t="str">
        <x:v>E0269</x:v>
      </x:c>
      <x:c r="B274" s="10" t="str">
        <x:v>T04.01</x:v>
      </x:c>
      <x:c r="C274" s="10" t="str">
        <x:v>The accounting equation</x:v>
      </x:c>
      <x:c r="D274" s="14" t="str">
        <x:v>RECOMMENDED_BEFORE</x:v>
      </x:c>
      <x:c r="E274" s="10" t="str">
        <x:v>T06.09</x:v>
      </x:c>
      <x:c r="F274" s="10" t="str">
        <x:v>Right-of-use assets</x:v>
      </x:c>
      <x:c r="G274" s="10" t="str">
        <x:v>Suggested starting knowledge: The accounting equation. It helps you explain how assets are funded and how balances change through transactions.</x:v>
      </x:c>
      <x:c r="H274" s="10" t="str">
        <x:v>Suggested learning order; learners can still explore freely.</x:v>
      </x:c>
      <x:c r="I274" s="10" t="str">
        <x:v>Curated curriculum relationship</x:v>
      </x:c>
    </x:row>
    <x:row r="275" ht="58" customHeight="1">
      <x:c r="A275" s="9" t="str">
        <x:v>E0270</x:v>
      </x:c>
      <x:c r="B275" s="9" t="str">
        <x:v>T06.10</x:v>
      </x:c>
      <x:c r="C275" s="9" t="str">
        <x:v>Intangible assets and goodwill</x:v>
      </x:c>
      <x:c r="D275" s="15" t="str">
        <x:v>PART_OF</x:v>
      </x:c>
      <x:c r="E275" s="9" t="str">
        <x:v>D06</x:v>
      </x:c>
      <x:c r="F275" s="9" t="str">
        <x:v>Balance sheet: every major component</x:v>
      </x:c>
      <x:c r="G275" s="9" t="str">
        <x:v>Curriculum membership. Use this link to move between the topic and its finance area.</x:v>
      </x:c>
      <x:c r="H275" s="9" t="str">
        <x:v>Classification only; this edge is not a causal or calculation relationship.</x:v>
      </x:c>
      <x:c r="I275" s="9" t="str">
        <x:v>Curated curriculum relationship</x:v>
      </x:c>
    </x:row>
    <x:row r="276" ht="58" customHeight="1">
      <x:c r="A276" s="10" t="str">
        <x:v>E0271</x:v>
      </x:c>
      <x:c r="B276" s="10" t="str">
        <x:v>T06.10</x:v>
      </x:c>
      <x:c r="C276" s="10" t="str">
        <x:v>Intangible assets and goodwill</x:v>
      </x:c>
      <x:c r="D276" s="14" t="str">
        <x:v>EXPLORE_WITH</x:v>
      </x:c>
      <x:c r="E276" s="10" t="str">
        <x:v>T06.07</x:v>
      </x:c>
      <x:c r="F276" s="10" t="str">
        <x:v>Property, plant, and equipment</x:v>
      </x:c>
      <x:c r="G276" s="10" t="str">
        <x:v>Study these together to explain how assets are funded and how balances change through transactions.</x:v>
      </x:c>
      <x:c r="H276" s="10" t="str">
        <x:v>A topical exploration link, not a claim that one determines the other.</x:v>
      </x:c>
      <x:c r="I276" s="10" t="str">
        <x:v>Curated curriculum relationship</x:v>
      </x:c>
    </x:row>
    <x:row r="277" ht="58" customHeight="1">
      <x:c r="A277" s="9" t="str">
        <x:v>E0272</x:v>
      </x:c>
      <x:c r="B277" s="9" t="str">
        <x:v>T04.01</x:v>
      </x:c>
      <x:c r="C277" s="9" t="str">
        <x:v>The accounting equation</x:v>
      </x:c>
      <x:c r="D277" s="15" t="str">
        <x:v>RECOMMENDED_BEFORE</x:v>
      </x:c>
      <x:c r="E277" s="9" t="str">
        <x:v>T06.10</x:v>
      </x:c>
      <x:c r="F277" s="9" t="str">
        <x:v>Intangible assets and goodwill</x:v>
      </x:c>
      <x:c r="G277" s="9" t="str">
        <x:v>Suggested starting knowledge: The accounting equation. It helps you explain how assets are funded and how balances change through transactions.</x:v>
      </x:c>
      <x:c r="H277" s="9" t="str">
        <x:v>Suggested learning order; learners can still explore freely.</x:v>
      </x:c>
      <x:c r="I277" s="9" t="str">
        <x:v>Curated curriculum relationship</x:v>
      </x:c>
    </x:row>
    <x:row r="278" ht="58" customHeight="1">
      <x:c r="A278" s="10" t="str">
        <x:v>E0273</x:v>
      </x:c>
      <x:c r="B278" s="10" t="str">
        <x:v>T06.11</x:v>
      </x:c>
      <x:c r="C278" s="10" t="str">
        <x:v>Financial investments and investment property</x:v>
      </x:c>
      <x:c r="D278" s="14" t="str">
        <x:v>PART_OF</x:v>
      </x:c>
      <x:c r="E278" s="10" t="str">
        <x:v>D06</x:v>
      </x:c>
      <x:c r="F278" s="10" t="str">
        <x:v>Balance sheet: every major component</x:v>
      </x:c>
      <x:c r="G278" s="10" t="str">
        <x:v>Curriculum membership. Use this link to move between the topic and its finance area.</x:v>
      </x:c>
      <x:c r="H278" s="10" t="str">
        <x:v>Classification only; this edge is not a causal or calculation relationship.</x:v>
      </x:c>
      <x:c r="I278" s="10" t="str">
        <x:v>Curated curriculum relationship</x:v>
      </x:c>
    </x:row>
    <x:row r="279" ht="58" customHeight="1">
      <x:c r="A279" s="9" t="str">
        <x:v>E0274</x:v>
      </x:c>
      <x:c r="B279" s="9" t="str">
        <x:v>T06.11</x:v>
      </x:c>
      <x:c r="C279" s="9" t="str">
        <x:v>Financial investments and investment property</x:v>
      </x:c>
      <x:c r="D279" s="15" t="str">
        <x:v>EXPLORE_WITH</x:v>
      </x:c>
      <x:c r="E279" s="9" t="str">
        <x:v>T06.02</x:v>
      </x:c>
      <x:c r="F279" s="9" t="str">
        <x:v>Cash and cash equivalents</x:v>
      </x:c>
      <x:c r="G279" s="9" t="str">
        <x:v>Study these together to explain how assets are funded and how balances change through transactions.</x:v>
      </x:c>
      <x:c r="H279" s="9" t="str">
        <x:v>A topical exploration link, not a claim that one determines the other.</x:v>
      </x:c>
      <x:c r="I279" s="9" t="str">
        <x:v>Curated curriculum relationship</x:v>
      </x:c>
    </x:row>
    <x:row r="280" ht="58" customHeight="1">
      <x:c r="A280" s="10" t="str">
        <x:v>E0275</x:v>
      </x:c>
      <x:c r="B280" s="10" t="str">
        <x:v>T04.01</x:v>
      </x:c>
      <x:c r="C280" s="10" t="str">
        <x:v>The accounting equation</x:v>
      </x:c>
      <x:c r="D280" s="14" t="str">
        <x:v>RECOMMENDED_BEFORE</x:v>
      </x:c>
      <x:c r="E280" s="10" t="str">
        <x:v>T06.11</x:v>
      </x:c>
      <x:c r="F280" s="10" t="str">
        <x:v>Financial investments and investment property</x:v>
      </x:c>
      <x:c r="G280" s="10" t="str">
        <x:v>Suggested starting knowledge: The accounting equation. It helps you explain how assets are funded and how balances change through transactions.</x:v>
      </x:c>
      <x:c r="H280" s="10" t="str">
        <x:v>Suggested learning order; learners can still explore freely.</x:v>
      </x:c>
      <x:c r="I280" s="10" t="str">
        <x:v>Curated curriculum relationship</x:v>
      </x:c>
    </x:row>
    <x:row r="281" ht="58" customHeight="1">
      <x:c r="A281" s="9" t="str">
        <x:v>E0276</x:v>
      </x:c>
      <x:c r="B281" s="9" t="str">
        <x:v>T06.12</x:v>
      </x:c>
      <x:c r="C281" s="9" t="str">
        <x:v>Deferred tax assets and liabilities</x:v>
      </x:c>
      <x:c r="D281" s="15" t="str">
        <x:v>PART_OF</x:v>
      </x:c>
      <x:c r="E281" s="9" t="str">
        <x:v>D06</x:v>
      </x:c>
      <x:c r="F281" s="9" t="str">
        <x:v>Balance sheet: every major component</x:v>
      </x:c>
      <x:c r="G281" s="9" t="str">
        <x:v>Curriculum membership. Use this link to move between the topic and its finance area.</x:v>
      </x:c>
      <x:c r="H281" s="9" t="str">
        <x:v>Classification only; this edge is not a causal or calculation relationship.</x:v>
      </x:c>
      <x:c r="I281" s="9" t="str">
        <x:v>Curated curriculum relationship</x:v>
      </x:c>
    </x:row>
    <x:row r="282" ht="58" customHeight="1">
      <x:c r="A282" s="10" t="str">
        <x:v>E0277</x:v>
      </x:c>
      <x:c r="B282" s="10" t="str">
        <x:v>T06.12</x:v>
      </x:c>
      <x:c r="C282" s="10" t="str">
        <x:v>Deferred tax assets and liabilities</x:v>
      </x:c>
      <x:c r="D282" s="14" t="str">
        <x:v>EXPLORE_WITH</x:v>
      </x:c>
      <x:c r="E282" s="10" t="str">
        <x:v>T06.17</x:v>
      </x:c>
      <x:c r="F282" s="10" t="str">
        <x:v>Provisions, pension obligations, and employee benefits</x:v>
      </x:c>
      <x:c r="G282" s="10" t="str">
        <x:v>Study these together to explain how assets are funded and how balances change through transactions.</x:v>
      </x:c>
      <x:c r="H282" s="10" t="str">
        <x:v>A topical exploration link, not a claim that one determines the other.</x:v>
      </x:c>
      <x:c r="I282" s="10" t="str">
        <x:v>Curated curriculum relationship</x:v>
      </x:c>
    </x:row>
    <x:row r="283" ht="58" customHeight="1">
      <x:c r="A283" s="9" t="str">
        <x:v>E0278</x:v>
      </x:c>
      <x:c r="B283" s="9" t="str">
        <x:v>T04.01</x:v>
      </x:c>
      <x:c r="C283" s="9" t="str">
        <x:v>The accounting equation</x:v>
      </x:c>
      <x:c r="D283" s="15" t="str">
        <x:v>RECOMMENDED_BEFORE</x:v>
      </x:c>
      <x:c r="E283" s="9" t="str">
        <x:v>T06.12</x:v>
      </x:c>
      <x:c r="F283" s="9" t="str">
        <x:v>Deferred tax assets and liabilities</x:v>
      </x:c>
      <x:c r="G283" s="9" t="str">
        <x:v>Suggested starting knowledge: The accounting equation. It helps you explain how assets are funded and how balances change through transactions.</x:v>
      </x:c>
      <x:c r="H283" s="9" t="str">
        <x:v>Suggested learning order; learners can still explore freely.</x:v>
      </x:c>
      <x:c r="I283" s="9" t="str">
        <x:v>Curated curriculum relationship</x:v>
      </x:c>
    </x:row>
    <x:row r="284" ht="58" customHeight="1">
      <x:c r="A284" s="10" t="str">
        <x:v>E0279</x:v>
      </x:c>
      <x:c r="B284" s="10" t="str">
        <x:v>T06.13</x:v>
      </x:c>
      <x:c r="C284" s="10" t="str">
        <x:v>Trade payables and accrued expenses</x:v>
      </x:c>
      <x:c r="D284" s="14" t="str">
        <x:v>PART_OF</x:v>
      </x:c>
      <x:c r="E284" s="10" t="str">
        <x:v>D06</x:v>
      </x:c>
      <x:c r="F284" s="10" t="str">
        <x:v>Balance sheet: every major component</x:v>
      </x:c>
      <x:c r="G284" s="10" t="str">
        <x:v>Curriculum membership. Use this link to move between the topic and its finance area.</x:v>
      </x:c>
      <x:c r="H284" s="10" t="str">
        <x:v>Classification only; this edge is not a causal or calculation relationship.</x:v>
      </x:c>
      <x:c r="I284" s="10" t="str">
        <x:v>Curated curriculum relationship</x:v>
      </x:c>
    </x:row>
    <x:row r="285" ht="58" customHeight="1">
      <x:c r="A285" s="9" t="str">
        <x:v>E0280</x:v>
      </x:c>
      <x:c r="B285" s="9" t="str">
        <x:v>T06.13</x:v>
      </x:c>
      <x:c r="C285" s="9" t="str">
        <x:v>Trade payables and accrued expenses</x:v>
      </x:c>
      <x:c r="D285" s="15" t="str">
        <x:v>EXPLORE_WITH</x:v>
      </x:c>
      <x:c r="E285" s="9" t="str">
        <x:v>T06.04</x:v>
      </x:c>
      <x:c r="F285" s="9" t="str">
        <x:v>Trade receivables and expected credit losses</x:v>
      </x:c>
      <x:c r="G285" s="9" t="str">
        <x:v>Study these together to explain how assets are funded and how balances change through transactions.</x:v>
      </x:c>
      <x:c r="H285" s="9" t="str">
        <x:v>A topical exploration link, not a claim that one determines the other.</x:v>
      </x:c>
      <x:c r="I285" s="9" t="str">
        <x:v>Curated curriculum relationship</x:v>
      </x:c>
    </x:row>
    <x:row r="286" ht="58" customHeight="1">
      <x:c r="A286" s="10" t="str">
        <x:v>E0281</x:v>
      </x:c>
      <x:c r="B286" s="10" t="str">
        <x:v>T04.01</x:v>
      </x:c>
      <x:c r="C286" s="10" t="str">
        <x:v>The accounting equation</x:v>
      </x:c>
      <x:c r="D286" s="14" t="str">
        <x:v>RECOMMENDED_BEFORE</x:v>
      </x:c>
      <x:c r="E286" s="10" t="str">
        <x:v>T06.13</x:v>
      </x:c>
      <x:c r="F286" s="10" t="str">
        <x:v>Trade payables and accrued expenses</x:v>
      </x:c>
      <x:c r="G286" s="10" t="str">
        <x:v>Suggested starting knowledge: The accounting equation. It helps you explain how assets are funded and how balances change through transactions.</x:v>
      </x:c>
      <x:c r="H286" s="10" t="str">
        <x:v>Suggested learning order; learners can still explore freely.</x:v>
      </x:c>
      <x:c r="I286" s="10" t="str">
        <x:v>Curated curriculum relationship</x:v>
      </x:c>
    </x:row>
    <x:row r="287" ht="58" customHeight="1">
      <x:c r="A287" s="9" t="str">
        <x:v>E0282</x:v>
      </x:c>
      <x:c r="B287" s="9" t="str">
        <x:v>T06.14</x:v>
      </x:c>
      <x:c r="C287" s="9" t="str">
        <x:v>Contract assets, contract liabilities, and deferred revenue</x:v>
      </x:c>
      <x:c r="D287" s="15" t="str">
        <x:v>PART_OF</x:v>
      </x:c>
      <x:c r="E287" s="9" t="str">
        <x:v>D06</x:v>
      </x:c>
      <x:c r="F287" s="9" t="str">
        <x:v>Balance sheet: every major component</x:v>
      </x:c>
      <x:c r="G287" s="9" t="str">
        <x:v>Curriculum membership. Use this link to move between the topic and its finance area.</x:v>
      </x:c>
      <x:c r="H287" s="9" t="str">
        <x:v>Classification only; this edge is not a causal or calculation relationship.</x:v>
      </x:c>
      <x:c r="I287" s="9" t="str">
        <x:v>Curated curriculum relationship</x:v>
      </x:c>
    </x:row>
    <x:row r="288" ht="58" customHeight="1">
      <x:c r="A288" s="10" t="str">
        <x:v>E0283</x:v>
      </x:c>
      <x:c r="B288" s="10" t="str">
        <x:v>T06.14</x:v>
      </x:c>
      <x:c r="C288" s="10" t="str">
        <x:v>Contract assets, contract liabilities, and deferred revenue</x:v>
      </x:c>
      <x:c r="D288" s="14" t="str">
        <x:v>EXPLORE_WITH</x:v>
      </x:c>
      <x:c r="E288" s="10" t="str">
        <x:v>T06.04</x:v>
      </x:c>
      <x:c r="F288" s="10" t="str">
        <x:v>Trade receivables and expected credit losses</x:v>
      </x:c>
      <x:c r="G288" s="10" t="str">
        <x:v>Study these together to explain how assets are funded and how balances change through transactions.</x:v>
      </x:c>
      <x:c r="H288" s="10" t="str">
        <x:v>A topical exploration link, not a claim that one determines the other.</x:v>
      </x:c>
      <x:c r="I288" s="10" t="str">
        <x:v>Curated curriculum relationship</x:v>
      </x:c>
    </x:row>
    <x:row r="289" ht="58" customHeight="1">
      <x:c r="A289" s="9" t="str">
        <x:v>E0284</x:v>
      </x:c>
      <x:c r="B289" s="9" t="str">
        <x:v>T04.01</x:v>
      </x:c>
      <x:c r="C289" s="9" t="str">
        <x:v>The accounting equation</x:v>
      </x:c>
      <x:c r="D289" s="15" t="str">
        <x:v>RECOMMENDED_BEFORE</x:v>
      </x:c>
      <x:c r="E289" s="9" t="str">
        <x:v>T06.14</x:v>
      </x:c>
      <x:c r="F289" s="9" t="str">
        <x:v>Contract assets, contract liabilities, and deferred revenue</x:v>
      </x:c>
      <x:c r="G289" s="9" t="str">
        <x:v>Suggested starting knowledge: The accounting equation. It helps you explain how assets are funded and how balances change through transactions.</x:v>
      </x:c>
      <x:c r="H289" s="9" t="str">
        <x:v>Suggested learning order; learners can still explore freely.</x:v>
      </x:c>
      <x:c r="I289" s="9" t="str">
        <x:v>Curated curriculum relationship</x:v>
      </x:c>
    </x:row>
    <x:row r="290" ht="58" customHeight="1">
      <x:c r="A290" s="10" t="str">
        <x:v>E0285</x:v>
      </x:c>
      <x:c r="B290" s="10" t="str">
        <x:v>T06.15</x:v>
      </x:c>
      <x:c r="C290" s="10" t="str">
        <x:v>Short-term and long-term borrowings</x:v>
      </x:c>
      <x:c r="D290" s="14" t="str">
        <x:v>PART_OF</x:v>
      </x:c>
      <x:c r="E290" s="10" t="str">
        <x:v>D06</x:v>
      </x:c>
      <x:c r="F290" s="10" t="str">
        <x:v>Balance sheet: every major component</x:v>
      </x:c>
      <x:c r="G290" s="10" t="str">
        <x:v>Curriculum membership. Use this link to move between the topic and its finance area.</x:v>
      </x:c>
      <x:c r="H290" s="10" t="str">
        <x:v>Classification only; this edge is not a causal or calculation relationship.</x:v>
      </x:c>
      <x:c r="I290" s="10" t="str">
        <x:v>Curated curriculum relationship</x:v>
      </x:c>
    </x:row>
    <x:row r="291" ht="58" customHeight="1">
      <x:c r="A291" s="9" t="str">
        <x:v>E0286</x:v>
      </x:c>
      <x:c r="B291" s="9" t="str">
        <x:v>T06.15</x:v>
      </x:c>
      <x:c r="C291" s="9" t="str">
        <x:v>Short-term and long-term borrowings</x:v>
      </x:c>
      <x:c r="D291" s="15" t="str">
        <x:v>EXPLORE_WITH</x:v>
      </x:c>
      <x:c r="E291" s="9" t="str">
        <x:v>T06.16</x:v>
      </x:c>
      <x:c r="F291" s="9" t="str">
        <x:v>Lease liabilities</x:v>
      </x:c>
      <x:c r="G291" s="9" t="str">
        <x:v>Study these together to explain how assets are funded and how balances change through transactions.</x:v>
      </x:c>
      <x:c r="H291" s="9" t="str">
        <x:v>A topical exploration link, not a claim that one determines the other.</x:v>
      </x:c>
      <x:c r="I291" s="9" t="str">
        <x:v>Curated curriculum relationship</x:v>
      </x:c>
    </x:row>
    <x:row r="292" ht="58" customHeight="1">
      <x:c r="A292" s="10" t="str">
        <x:v>E0287</x:v>
      </x:c>
      <x:c r="B292" s="10" t="str">
        <x:v>T04.01</x:v>
      </x:c>
      <x:c r="C292" s="10" t="str">
        <x:v>The accounting equation</x:v>
      </x:c>
      <x:c r="D292" s="14" t="str">
        <x:v>RECOMMENDED_BEFORE</x:v>
      </x:c>
      <x:c r="E292" s="10" t="str">
        <x:v>T06.15</x:v>
      </x:c>
      <x:c r="F292" s="10" t="str">
        <x:v>Short-term and long-term borrowings</x:v>
      </x:c>
      <x:c r="G292" s="10" t="str">
        <x:v>Suggested starting knowledge: The accounting equation. It helps you explain how assets are funded and how balances change through transactions.</x:v>
      </x:c>
      <x:c r="H292" s="10" t="str">
        <x:v>Suggested learning order; learners can still explore freely.</x:v>
      </x:c>
      <x:c r="I292" s="10" t="str">
        <x:v>Curated curriculum relationship</x:v>
      </x:c>
    </x:row>
    <x:row r="293" ht="58" customHeight="1">
      <x:c r="A293" s="9" t="str">
        <x:v>E0288</x:v>
      </x:c>
      <x:c r="B293" s="9" t="str">
        <x:v>T06.16</x:v>
      </x:c>
      <x:c r="C293" s="9" t="str">
        <x:v>Lease liabilities</x:v>
      </x:c>
      <x:c r="D293" s="15" t="str">
        <x:v>PART_OF</x:v>
      </x:c>
      <x:c r="E293" s="9" t="str">
        <x:v>D06</x:v>
      </x:c>
      <x:c r="F293" s="9" t="str">
        <x:v>Balance sheet: every major component</x:v>
      </x:c>
      <x:c r="G293" s="9" t="str">
        <x:v>Curriculum membership. Use this link to move between the topic and its finance area.</x:v>
      </x:c>
      <x:c r="H293" s="9" t="str">
        <x:v>Classification only; this edge is not a causal or calculation relationship.</x:v>
      </x:c>
      <x:c r="I293" s="9" t="str">
        <x:v>Curated curriculum relationship</x:v>
      </x:c>
    </x:row>
    <x:row r="294" ht="58" customHeight="1">
      <x:c r="A294" s="10" t="str">
        <x:v>E0289</x:v>
      </x:c>
      <x:c r="B294" s="10" t="str">
        <x:v>T06.16</x:v>
      </x:c>
      <x:c r="C294" s="10" t="str">
        <x:v>Lease liabilities</x:v>
      </x:c>
      <x:c r="D294" s="14" t="str">
        <x:v>EXPLORE_WITH</x:v>
      </x:c>
      <x:c r="E294" s="10" t="str">
        <x:v>T06.09</x:v>
      </x:c>
      <x:c r="F294" s="10" t="str">
        <x:v>Right-of-use assets</x:v>
      </x:c>
      <x:c r="G294" s="10" t="str">
        <x:v>Study these together to explain how assets are funded and how balances change through transactions.</x:v>
      </x:c>
      <x:c r="H294" s="10" t="str">
        <x:v>A topical exploration link, not a claim that one determines the other.</x:v>
      </x:c>
      <x:c r="I294" s="10" t="str">
        <x:v>Curated curriculum relationship</x:v>
      </x:c>
    </x:row>
    <x:row r="295" ht="58" customHeight="1">
      <x:c r="A295" s="9" t="str">
        <x:v>E0290</x:v>
      </x:c>
      <x:c r="B295" s="9" t="str">
        <x:v>T04.01</x:v>
      </x:c>
      <x:c r="C295" s="9" t="str">
        <x:v>The accounting equation</x:v>
      </x:c>
      <x:c r="D295" s="15" t="str">
        <x:v>RECOMMENDED_BEFORE</x:v>
      </x:c>
      <x:c r="E295" s="9" t="str">
        <x:v>T06.16</x:v>
      </x:c>
      <x:c r="F295" s="9" t="str">
        <x:v>Lease liabilities</x:v>
      </x:c>
      <x:c r="G295" s="9" t="str">
        <x:v>Suggested starting knowledge: The accounting equation. It helps you explain how assets are funded and how balances change through transactions.</x:v>
      </x:c>
      <x:c r="H295" s="9" t="str">
        <x:v>Suggested learning order; learners can still explore freely.</x:v>
      </x:c>
      <x:c r="I295" s="9" t="str">
        <x:v>Curated curriculum relationship</x:v>
      </x:c>
    </x:row>
    <x:row r="296" ht="58" customHeight="1">
      <x:c r="A296" s="10" t="str">
        <x:v>E0291</x:v>
      </x:c>
      <x:c r="B296" s="10" t="str">
        <x:v>T06.17</x:v>
      </x:c>
      <x:c r="C296" s="10" t="str">
        <x:v>Provisions, pension obligations, and employee benefits</x:v>
      </x:c>
      <x:c r="D296" s="14" t="str">
        <x:v>PART_OF</x:v>
      </x:c>
      <x:c r="E296" s="10" t="str">
        <x:v>D06</x:v>
      </x:c>
      <x:c r="F296" s="10" t="str">
        <x:v>Balance sheet: every major component</x:v>
      </x:c>
      <x:c r="G296" s="10" t="str">
        <x:v>Curriculum membership. Use this link to move between the topic and its finance area.</x:v>
      </x:c>
      <x:c r="H296" s="10" t="str">
        <x:v>Classification only; this edge is not a causal or calculation relationship.</x:v>
      </x:c>
      <x:c r="I296" s="10" t="str">
        <x:v>Curated curriculum relationship</x:v>
      </x:c>
    </x:row>
    <x:row r="297" ht="58" customHeight="1">
      <x:c r="A297" s="9" t="str">
        <x:v>E0292</x:v>
      </x:c>
      <x:c r="B297" s="9" t="str">
        <x:v>T06.17</x:v>
      </x:c>
      <x:c r="C297" s="9" t="str">
        <x:v>Provisions, pension obligations, and employee benefits</x:v>
      </x:c>
      <x:c r="D297" s="15" t="str">
        <x:v>EXPLORE_WITH</x:v>
      </x:c>
      <x:c r="E297" s="9" t="str">
        <x:v>T06.12</x:v>
      </x:c>
      <x:c r="F297" s="9" t="str">
        <x:v>Deferred tax assets and liabilities</x:v>
      </x:c>
      <x:c r="G297" s="9" t="str">
        <x:v>Study these together to explain how assets are funded and how balances change through transactions.</x:v>
      </x:c>
      <x:c r="H297" s="9" t="str">
        <x:v>A topical exploration link, not a claim that one determines the other.</x:v>
      </x:c>
      <x:c r="I297" s="9" t="str">
        <x:v>Curated curriculum relationship</x:v>
      </x:c>
    </x:row>
    <x:row r="298" ht="58" customHeight="1">
      <x:c r="A298" s="10" t="str">
        <x:v>E0293</x:v>
      </x:c>
      <x:c r="B298" s="10" t="str">
        <x:v>T04.01</x:v>
      </x:c>
      <x:c r="C298" s="10" t="str">
        <x:v>The accounting equation</x:v>
      </x:c>
      <x:c r="D298" s="14" t="str">
        <x:v>RECOMMENDED_BEFORE</x:v>
      </x:c>
      <x:c r="E298" s="10" t="str">
        <x:v>T06.17</x:v>
      </x:c>
      <x:c r="F298" s="10" t="str">
        <x:v>Provisions, pension obligations, and employee benefits</x:v>
      </x:c>
      <x:c r="G298" s="10" t="str">
        <x:v>Suggested starting knowledge: The accounting equation. It helps you explain how assets are funded and how balances change through transactions.</x:v>
      </x:c>
      <x:c r="H298" s="10" t="str">
        <x:v>Suggested learning order; learners can still explore freely.</x:v>
      </x:c>
      <x:c r="I298" s="10" t="str">
        <x:v>Curated curriculum relationship</x:v>
      </x:c>
    </x:row>
    <x:row r="299" ht="58" customHeight="1">
      <x:c r="A299" s="9" t="str">
        <x:v>E0294</x:v>
      </x:c>
      <x:c r="B299" s="9" t="str">
        <x:v>T06.18</x:v>
      </x:c>
      <x:c r="C299" s="9" t="str">
        <x:v>Share capital, securities premium, and retained earnings</x:v>
      </x:c>
      <x:c r="D299" s="15" t="str">
        <x:v>PART_OF</x:v>
      </x:c>
      <x:c r="E299" s="9" t="str">
        <x:v>D06</x:v>
      </x:c>
      <x:c r="F299" s="9" t="str">
        <x:v>Balance sheet: every major component</x:v>
      </x:c>
      <x:c r="G299" s="9" t="str">
        <x:v>Curriculum membership. Use this link to move between the topic and its finance area.</x:v>
      </x:c>
      <x:c r="H299" s="9" t="str">
        <x:v>Classification only; this edge is not a causal or calculation relationship.</x:v>
      </x:c>
      <x:c r="I299" s="9" t="str">
        <x:v>Curated curriculum relationship</x:v>
      </x:c>
    </x:row>
    <x:row r="300" ht="58" customHeight="1">
      <x:c r="A300" s="10" t="str">
        <x:v>E0295</x:v>
      </x:c>
      <x:c r="B300" s="10" t="str">
        <x:v>T06.18</x:v>
      </x:c>
      <x:c r="C300" s="10" t="str">
        <x:v>Share capital, securities premium, and retained earnings</x:v>
      </x:c>
      <x:c r="D300" s="14" t="str">
        <x:v>EXPLORE_WITH</x:v>
      </x:c>
      <x:c r="E300" s="10" t="str">
        <x:v>T06.19</x:v>
      </x:c>
      <x:c r="F300" s="10" t="str">
        <x:v>Reserves, treasury shares, and non-controlling interests</x:v>
      </x:c>
      <x:c r="G300" s="10" t="str">
        <x:v>Study these together to explain how assets are funded and how balances change through transactions.</x:v>
      </x:c>
      <x:c r="H300" s="10" t="str">
        <x:v>A topical exploration link, not a claim that one determines the other.</x:v>
      </x:c>
      <x:c r="I300" s="10" t="str">
        <x:v>Curated curriculum relationship</x:v>
      </x:c>
    </x:row>
    <x:row r="301" ht="58" customHeight="1">
      <x:c r="A301" s="9" t="str">
        <x:v>E0296</x:v>
      </x:c>
      <x:c r="B301" s="9" t="str">
        <x:v>T04.01</x:v>
      </x:c>
      <x:c r="C301" s="9" t="str">
        <x:v>The accounting equation</x:v>
      </x:c>
      <x:c r="D301" s="15" t="str">
        <x:v>RECOMMENDED_BEFORE</x:v>
      </x:c>
      <x:c r="E301" s="9" t="str">
        <x:v>T06.18</x:v>
      </x:c>
      <x:c r="F301" s="9" t="str">
        <x:v>Share capital, securities premium, and retained earnings</x:v>
      </x:c>
      <x:c r="G301" s="9" t="str">
        <x:v>Suggested starting knowledge: The accounting equation. It helps you explain how assets are funded and how balances change through transactions.</x:v>
      </x:c>
      <x:c r="H301" s="9" t="str">
        <x:v>Suggested learning order; learners can still explore freely.</x:v>
      </x:c>
      <x:c r="I301" s="9" t="str">
        <x:v>Curated curriculum relationship</x:v>
      </x:c>
    </x:row>
    <x:row r="302" ht="58" customHeight="1">
      <x:c r="A302" s="10" t="str">
        <x:v>E0297</x:v>
      </x:c>
      <x:c r="B302" s="10" t="str">
        <x:v>T06.19</x:v>
      </x:c>
      <x:c r="C302" s="10" t="str">
        <x:v>Reserves, treasury shares, and non-controlling interests</x:v>
      </x:c>
      <x:c r="D302" s="14" t="str">
        <x:v>PART_OF</x:v>
      </x:c>
      <x:c r="E302" s="10" t="str">
        <x:v>D06</x:v>
      </x:c>
      <x:c r="F302" s="10" t="str">
        <x:v>Balance sheet: every major component</x:v>
      </x:c>
      <x:c r="G302" s="10" t="str">
        <x:v>Curriculum membership. Use this link to move between the topic and its finance area.</x:v>
      </x:c>
      <x:c r="H302" s="10" t="str">
        <x:v>Classification only; this edge is not a causal or calculation relationship.</x:v>
      </x:c>
      <x:c r="I302" s="10" t="str">
        <x:v>Curated curriculum relationship</x:v>
      </x:c>
    </x:row>
    <x:row r="303" ht="58" customHeight="1">
      <x:c r="A303" s="9" t="str">
        <x:v>E0298</x:v>
      </x:c>
      <x:c r="B303" s="9" t="str">
        <x:v>T06.19</x:v>
      </x:c>
      <x:c r="C303" s="9" t="str">
        <x:v>Reserves, treasury shares, and non-controlling interests</x:v>
      </x:c>
      <x:c r="D303" s="15" t="str">
        <x:v>EXPLORE_WITH</x:v>
      </x:c>
      <x:c r="E303" s="9" t="str">
        <x:v>T06.18</x:v>
      </x:c>
      <x:c r="F303" s="9" t="str">
        <x:v>Share capital, securities premium, and retained earnings</x:v>
      </x:c>
      <x:c r="G303" s="9" t="str">
        <x:v>Study these together to explain how assets are funded and how balances change through transactions.</x:v>
      </x:c>
      <x:c r="H303" s="9" t="str">
        <x:v>A topical exploration link, not a claim that one determines the other.</x:v>
      </x:c>
      <x:c r="I303" s="9" t="str">
        <x:v>Curated curriculum relationship</x:v>
      </x:c>
    </x:row>
    <x:row r="304" ht="58" customHeight="1">
      <x:c r="A304" s="10" t="str">
        <x:v>E0299</x:v>
      </x:c>
      <x:c r="B304" s="10" t="str">
        <x:v>T04.01</x:v>
      </x:c>
      <x:c r="C304" s="10" t="str">
        <x:v>The accounting equation</x:v>
      </x:c>
      <x:c r="D304" s="14" t="str">
        <x:v>RECOMMENDED_BEFORE</x:v>
      </x:c>
      <x:c r="E304" s="10" t="str">
        <x:v>T06.19</x:v>
      </x:c>
      <x:c r="F304" s="10" t="str">
        <x:v>Reserves, treasury shares, and non-controlling interests</x:v>
      </x:c>
      <x:c r="G304" s="10" t="str">
        <x:v>Suggested starting knowledge: The accounting equation. It helps you explain how assets are funded and how balances change through transactions.</x:v>
      </x:c>
      <x:c r="H304" s="10" t="str">
        <x:v>Suggested learning order; learners can still explore freely.</x:v>
      </x:c>
      <x:c r="I304" s="10" t="str">
        <x:v>Curated curriculum relationship</x:v>
      </x:c>
    </x:row>
    <x:row r="305" ht="58" customHeight="1">
      <x:c r="A305" s="9" t="str">
        <x:v>E0300</x:v>
      </x:c>
      <x:c r="B305" s="9" t="str">
        <x:v>T06.20</x:v>
      </x:c>
      <x:c r="C305" s="9" t="str">
        <x:v>Contingent liabilities, guarantees, and off-balance-sheet commitments</x:v>
      </x:c>
      <x:c r="D305" s="15" t="str">
        <x:v>PART_OF</x:v>
      </x:c>
      <x:c r="E305" s="9" t="str">
        <x:v>D06</x:v>
      </x:c>
      <x:c r="F305" s="9" t="str">
        <x:v>Balance sheet: every major component</x:v>
      </x:c>
      <x:c r="G305" s="9" t="str">
        <x:v>Curriculum membership. Use this link to move between the topic and its finance area.</x:v>
      </x:c>
      <x:c r="H305" s="9" t="str">
        <x:v>Classification only; this edge is not a causal or calculation relationship.</x:v>
      </x:c>
      <x:c r="I305" s="9" t="str">
        <x:v>Curated curriculum relationship</x:v>
      </x:c>
    </x:row>
    <x:row r="306" ht="58" customHeight="1">
      <x:c r="A306" s="10" t="str">
        <x:v>E0301</x:v>
      </x:c>
      <x:c r="B306" s="10" t="str">
        <x:v>T06.20</x:v>
      </x:c>
      <x:c r="C306" s="10" t="str">
        <x:v>Contingent liabilities, guarantees, and off-balance-sheet commitments</x:v>
      </x:c>
      <x:c r="D306" s="14" t="str">
        <x:v>EXPLORE_WITH</x:v>
      </x:c>
      <x:c r="E306" s="10" t="str">
        <x:v>T06.15</x:v>
      </x:c>
      <x:c r="F306" s="10" t="str">
        <x:v>Short-term and long-term borrowings</x:v>
      </x:c>
      <x:c r="G306" s="10" t="str">
        <x:v>Study these together to explain how assets are funded and how balances change through transactions.</x:v>
      </x:c>
      <x:c r="H306" s="10" t="str">
        <x:v>A topical exploration link, not a claim that one determines the other.</x:v>
      </x:c>
      <x:c r="I306" s="10" t="str">
        <x:v>Curated curriculum relationship</x:v>
      </x:c>
    </x:row>
    <x:row r="307" ht="58" customHeight="1">
      <x:c r="A307" s="9" t="str">
        <x:v>E0302</x:v>
      </x:c>
      <x:c r="B307" s="9" t="str">
        <x:v>T04.01</x:v>
      </x:c>
      <x:c r="C307" s="9" t="str">
        <x:v>The accounting equation</x:v>
      </x:c>
      <x:c r="D307" s="15" t="str">
        <x:v>RECOMMENDED_BEFORE</x:v>
      </x:c>
      <x:c r="E307" s="9" t="str">
        <x:v>T06.20</x:v>
      </x:c>
      <x:c r="F307" s="9" t="str">
        <x:v>Contingent liabilities, guarantees, and off-balance-sheet commitments</x:v>
      </x:c>
      <x:c r="G307" s="9" t="str">
        <x:v>Suggested starting knowledge: The accounting equation. It helps you explain how assets are funded and how balances change through transactions.</x:v>
      </x:c>
      <x:c r="H307" s="9" t="str">
        <x:v>Suggested learning order; learners can still explore freely.</x:v>
      </x:c>
      <x:c r="I307" s="9" t="str">
        <x:v>Curated curriculum relationship</x:v>
      </x:c>
    </x:row>
    <x:row r="308" ht="58" customHeight="1">
      <x:c r="A308" s="10" t="str">
        <x:v>E0303</x:v>
      </x:c>
      <x:c r="B308" s="10" t="str">
        <x:v>T07.01</x:v>
      </x:c>
      <x:c r="C308" s="10" t="str">
        <x:v>Cash flow from operations, investing, and financing</x:v>
      </x:c>
      <x:c r="D308" s="14" t="str">
        <x:v>PART_OF</x:v>
      </x:c>
      <x:c r="E308" s="10" t="str">
        <x:v>D07</x:v>
      </x:c>
      <x:c r="F308" s="10" t="str">
        <x:v>Cash-flow statement and three-statement connections</x:v>
      </x:c>
      <x:c r="G308" s="10" t="str">
        <x:v>Curriculum membership. Use this link to move between the topic and its finance area.</x:v>
      </x:c>
      <x:c r="H308" s="10" t="str">
        <x:v>Classification only; this edge is not a causal or calculation relationship.</x:v>
      </x:c>
      <x:c r="I308" s="10" t="str">
        <x:v>Curated curriculum relationship</x:v>
      </x:c>
    </x:row>
    <x:row r="309" ht="58" customHeight="1">
      <x:c r="A309" s="9" t="str">
        <x:v>E0304</x:v>
      </x:c>
      <x:c r="B309" s="9" t="str">
        <x:v>T07.01</x:v>
      </x:c>
      <x:c r="C309" s="9" t="str">
        <x:v>Cash flow from operations, investing, and financing</x:v>
      </x:c>
      <x:c r="D309" s="15" t="str">
        <x:v>EXPLORE_WITH</x:v>
      </x:c>
      <x:c r="E309" s="9" t="str">
        <x:v>T07.02</x:v>
      </x:c>
      <x:c r="F309" s="9" t="str">
        <x:v>Direct versus indirect operating cash flow</x:v>
      </x:c>
      <x:c r="G309" s="9" t="str">
        <x:v>Study these together to reconcile accounting performance with actual cash movement.</x:v>
      </x:c>
      <x:c r="H309" s="9" t="str">
        <x:v>A topical exploration link, not a claim that one determines the other.</x:v>
      </x:c>
      <x:c r="I309" s="9" t="str">
        <x:v>Curated curriculum relationship</x:v>
      </x:c>
    </x:row>
    <x:row r="310" ht="58" customHeight="1">
      <x:c r="A310" s="10" t="str">
        <x:v>E0305</x:v>
      </x:c>
      <x:c r="B310" s="10" t="str">
        <x:v>T04.05</x:v>
      </x:c>
      <x:c r="C310" s="10" t="str">
        <x:v>Cash accounting versus accrual accounting</x:v>
      </x:c>
      <x:c r="D310" s="14" t="str">
        <x:v>RECOMMENDED_BEFORE</x:v>
      </x:c>
      <x:c r="E310" s="10" t="str">
        <x:v>T07.01</x:v>
      </x:c>
      <x:c r="F310" s="10" t="str">
        <x:v>Cash flow from operations, investing, and financing</x:v>
      </x:c>
      <x:c r="G310" s="10" t="str">
        <x:v>Suggested starting knowledge: Cash accounting versus accrual accounting. It helps you reconcile accounting performance with actual cash movement.</x:v>
      </x:c>
      <x:c r="H310" s="10" t="str">
        <x:v>Suggested learning order; learners can still explore freely.</x:v>
      </x:c>
      <x:c r="I310" s="10" t="str">
        <x:v>Curated curriculum relationship</x:v>
      </x:c>
    </x:row>
    <x:row r="311" ht="58" customHeight="1">
      <x:c r="A311" s="9" t="str">
        <x:v>E0306</x:v>
      </x:c>
      <x:c r="B311" s="9" t="str">
        <x:v>T07.02</x:v>
      </x:c>
      <x:c r="C311" s="9" t="str">
        <x:v>Direct versus indirect operating cash flow</x:v>
      </x:c>
      <x:c r="D311" s="15" t="str">
        <x:v>PART_OF</x:v>
      </x:c>
      <x:c r="E311" s="9" t="str">
        <x:v>D07</x:v>
      </x:c>
      <x:c r="F311" s="9" t="str">
        <x:v>Cash-flow statement and three-statement connections</x:v>
      </x:c>
      <x:c r="G311" s="9" t="str">
        <x:v>Curriculum membership. Use this link to move between the topic and its finance area.</x:v>
      </x:c>
      <x:c r="H311" s="9" t="str">
        <x:v>Classification only; this edge is not a causal or calculation relationship.</x:v>
      </x:c>
      <x:c r="I311" s="9" t="str">
        <x:v>Curated curriculum relationship</x:v>
      </x:c>
    </x:row>
    <x:row r="312" ht="58" customHeight="1">
      <x:c r="A312" s="10" t="str">
        <x:v>E0307</x:v>
      </x:c>
      <x:c r="B312" s="10" t="str">
        <x:v>T07.02</x:v>
      </x:c>
      <x:c r="C312" s="10" t="str">
        <x:v>Direct versus indirect operating cash flow</x:v>
      </x:c>
      <x:c r="D312" s="14" t="str">
        <x:v>EXPLORE_WITH</x:v>
      </x:c>
      <x:c r="E312" s="10" t="str">
        <x:v>T07.03</x:v>
      </x:c>
      <x:c r="F312" s="10" t="str">
        <x:v>Reconciling profit to operating cash flow</x:v>
      </x:c>
      <x:c r="G312" s="10" t="str">
        <x:v>Study these together to reconcile accounting performance with actual cash movement.</x:v>
      </x:c>
      <x:c r="H312" s="10" t="str">
        <x:v>A topical exploration link, not a claim that one determines the other.</x:v>
      </x:c>
      <x:c r="I312" s="10" t="str">
        <x:v>Curated curriculum relationship</x:v>
      </x:c>
    </x:row>
    <x:row r="313" ht="58" customHeight="1">
      <x:c r="A313" s="9" t="str">
        <x:v>E0308</x:v>
      </x:c>
      <x:c r="B313" s="9" t="str">
        <x:v>T04.05</x:v>
      </x:c>
      <x:c r="C313" s="9" t="str">
        <x:v>Cash accounting versus accrual accounting</x:v>
      </x:c>
      <x:c r="D313" s="15" t="str">
        <x:v>RECOMMENDED_BEFORE</x:v>
      </x:c>
      <x:c r="E313" s="9" t="str">
        <x:v>T07.02</x:v>
      </x:c>
      <x:c r="F313" s="9" t="str">
        <x:v>Direct versus indirect operating cash flow</x:v>
      </x:c>
      <x:c r="G313" s="9" t="str">
        <x:v>Suggested starting knowledge: Cash accounting versus accrual accounting. It helps you reconcile accounting performance with actual cash movement.</x:v>
      </x:c>
      <x:c r="H313" s="9" t="str">
        <x:v>Suggested learning order; learners can still explore freely.</x:v>
      </x:c>
      <x:c r="I313" s="9" t="str">
        <x:v>Curated curriculum relationship</x:v>
      </x:c>
    </x:row>
    <x:row r="314" ht="58" customHeight="1">
      <x:c r="A314" s="10" t="str">
        <x:v>E0309</x:v>
      </x:c>
      <x:c r="B314" s="10" t="str">
        <x:v>T07.03</x:v>
      </x:c>
      <x:c r="C314" s="10" t="str">
        <x:v>Reconciling profit to operating cash flow</x:v>
      </x:c>
      <x:c r="D314" s="14" t="str">
        <x:v>PART_OF</x:v>
      </x:c>
      <x:c r="E314" s="10" t="str">
        <x:v>D07</x:v>
      </x:c>
      <x:c r="F314" s="10" t="str">
        <x:v>Cash-flow statement and three-statement connections</x:v>
      </x:c>
      <x:c r="G314" s="10" t="str">
        <x:v>Curriculum membership. Use this link to move between the topic and its finance area.</x:v>
      </x:c>
      <x:c r="H314" s="10" t="str">
        <x:v>Classification only; this edge is not a causal or calculation relationship.</x:v>
      </x:c>
      <x:c r="I314" s="10" t="str">
        <x:v>Curated curriculum relationship</x:v>
      </x:c>
    </x:row>
    <x:row r="315" ht="58" customHeight="1">
      <x:c r="A315" s="9" t="str">
        <x:v>E0310</x:v>
      </x:c>
      <x:c r="B315" s="9" t="str">
        <x:v>T07.03</x:v>
      </x:c>
      <x:c r="C315" s="9" t="str">
        <x:v>Reconciling profit to operating cash flow</x:v>
      </x:c>
      <x:c r="D315" s="15" t="str">
        <x:v>EXPLORE_WITH</x:v>
      </x:c>
      <x:c r="E315" s="9" t="str">
        <x:v>T07.04</x:v>
      </x:c>
      <x:c r="F315" s="9" t="str">
        <x:v>Non-cash expenses and non-cash income</x:v>
      </x:c>
      <x:c r="G315" s="9" t="str">
        <x:v>Study these together to reconcile accounting performance with actual cash movement.</x:v>
      </x:c>
      <x:c r="H315" s="9" t="str">
        <x:v>A topical exploration link, not a claim that one determines the other.</x:v>
      </x:c>
      <x:c r="I315" s="9" t="str">
        <x:v>Curated curriculum relationship</x:v>
      </x:c>
    </x:row>
    <x:row r="316" ht="58" customHeight="1">
      <x:c r="A316" s="10" t="str">
        <x:v>E0311</x:v>
      </x:c>
      <x:c r="B316" s="10" t="str">
        <x:v>T04.05</x:v>
      </x:c>
      <x:c r="C316" s="10" t="str">
        <x:v>Cash accounting versus accrual accounting</x:v>
      </x:c>
      <x:c r="D316" s="14" t="str">
        <x:v>RECOMMENDED_BEFORE</x:v>
      </x:c>
      <x:c r="E316" s="10" t="str">
        <x:v>T07.03</x:v>
      </x:c>
      <x:c r="F316" s="10" t="str">
        <x:v>Reconciling profit to operating cash flow</x:v>
      </x:c>
      <x:c r="G316" s="10" t="str">
        <x:v>Suggested starting knowledge: Cash accounting versus accrual accounting. It helps you reconcile accounting performance with actual cash movement.</x:v>
      </x:c>
      <x:c r="H316" s="10" t="str">
        <x:v>Suggested learning order; learners can still explore freely.</x:v>
      </x:c>
      <x:c r="I316" s="10" t="str">
        <x:v>Curated curriculum relationship</x:v>
      </x:c>
    </x:row>
    <x:row r="317" ht="58" customHeight="1">
      <x:c r="A317" s="9" t="str">
        <x:v>E0312</x:v>
      </x:c>
      <x:c r="B317" s="9" t="str">
        <x:v>T07.04</x:v>
      </x:c>
      <x:c r="C317" s="9" t="str">
        <x:v>Non-cash expenses and non-cash income</x:v>
      </x:c>
      <x:c r="D317" s="15" t="str">
        <x:v>PART_OF</x:v>
      </x:c>
      <x:c r="E317" s="9" t="str">
        <x:v>D07</x:v>
      </x:c>
      <x:c r="F317" s="9" t="str">
        <x:v>Cash-flow statement and three-statement connections</x:v>
      </x:c>
      <x:c r="G317" s="9" t="str">
        <x:v>Curriculum membership. Use this link to move between the topic and its finance area.</x:v>
      </x:c>
      <x:c r="H317" s="9" t="str">
        <x:v>Classification only; this edge is not a causal or calculation relationship.</x:v>
      </x:c>
      <x:c r="I317" s="9" t="str">
        <x:v>Curated curriculum relationship</x:v>
      </x:c>
    </x:row>
    <x:row r="318" ht="58" customHeight="1">
      <x:c r="A318" s="10" t="str">
        <x:v>E0313</x:v>
      </x:c>
      <x:c r="B318" s="10" t="str">
        <x:v>T07.04</x:v>
      </x:c>
      <x:c r="C318" s="10" t="str">
        <x:v>Non-cash expenses and non-cash income</x:v>
      </x:c>
      <x:c r="D318" s="14" t="str">
        <x:v>EXPLORE_WITH</x:v>
      </x:c>
      <x:c r="E318" s="10" t="str">
        <x:v>T07.03</x:v>
      </x:c>
      <x:c r="F318" s="10" t="str">
        <x:v>Reconciling profit to operating cash flow</x:v>
      </x:c>
      <x:c r="G318" s="10" t="str">
        <x:v>Study these together to reconcile accounting performance with actual cash movement.</x:v>
      </x:c>
      <x:c r="H318" s="10" t="str">
        <x:v>A topical exploration link, not a claim that one determines the other.</x:v>
      </x:c>
      <x:c r="I318" s="10" t="str">
        <x:v>Curated curriculum relationship</x:v>
      </x:c>
    </x:row>
    <x:row r="319" ht="58" customHeight="1">
      <x:c r="A319" s="9" t="str">
        <x:v>E0314</x:v>
      </x:c>
      <x:c r="B319" s="9" t="str">
        <x:v>T04.05</x:v>
      </x:c>
      <x:c r="C319" s="9" t="str">
        <x:v>Cash accounting versus accrual accounting</x:v>
      </x:c>
      <x:c r="D319" s="15" t="str">
        <x:v>RECOMMENDED_BEFORE</x:v>
      </x:c>
      <x:c r="E319" s="9" t="str">
        <x:v>T07.04</x:v>
      </x:c>
      <x:c r="F319" s="9" t="str">
        <x:v>Non-cash expenses and non-cash income</x:v>
      </x:c>
      <x:c r="G319" s="9" t="str">
        <x:v>Suggested starting knowledge: Cash accounting versus accrual accounting. It helps you reconcile accounting performance with actual cash movement.</x:v>
      </x:c>
      <x:c r="H319" s="9" t="str">
        <x:v>Suggested learning order; learners can still explore freely.</x:v>
      </x:c>
      <x:c r="I319" s="9" t="str">
        <x:v>Curated curriculum relationship</x:v>
      </x:c>
    </x:row>
    <x:row r="320" ht="58" customHeight="1">
      <x:c r="A320" s="10" t="str">
        <x:v>E0315</x:v>
      </x:c>
      <x:c r="B320" s="10" t="str">
        <x:v>T07.05</x:v>
      </x:c>
      <x:c r="C320" s="10" t="str">
        <x:v>Working-capital adjustments</x:v>
      </x:c>
      <x:c r="D320" s="14" t="str">
        <x:v>PART_OF</x:v>
      </x:c>
      <x:c r="E320" s="10" t="str">
        <x:v>D07</x:v>
      </x:c>
      <x:c r="F320" s="10" t="str">
        <x:v>Cash-flow statement and three-statement connections</x:v>
      </x:c>
      <x:c r="G320" s="10" t="str">
        <x:v>Curriculum membership. Use this link to move between the topic and its finance area.</x:v>
      </x:c>
      <x:c r="H320" s="10" t="str">
        <x:v>Classification only; this edge is not a causal or calculation relationship.</x:v>
      </x:c>
      <x:c r="I320" s="10" t="str">
        <x:v>Curated curriculum relationship</x:v>
      </x:c>
    </x:row>
    <x:row r="321" ht="58" customHeight="1">
      <x:c r="A321" s="9" t="str">
        <x:v>E0316</x:v>
      </x:c>
      <x:c r="B321" s="9" t="str">
        <x:v>T07.05</x:v>
      </x:c>
      <x:c r="C321" s="9" t="str">
        <x:v>Working-capital adjustments</x:v>
      </x:c>
      <x:c r="D321" s="15" t="str">
        <x:v>EXPLORE_WITH</x:v>
      </x:c>
      <x:c r="E321" s="9" t="str">
        <x:v>T07.03</x:v>
      </x:c>
      <x:c r="F321" s="9" t="str">
        <x:v>Reconciling profit to operating cash flow</x:v>
      </x:c>
      <x:c r="G321" s="9" t="str">
        <x:v>Study these together to reconcile accounting performance with actual cash movement.</x:v>
      </x:c>
      <x:c r="H321" s="9" t="str">
        <x:v>A topical exploration link, not a claim that one determines the other.</x:v>
      </x:c>
      <x:c r="I321" s="9" t="str">
        <x:v>Curated curriculum relationship</x:v>
      </x:c>
    </x:row>
    <x:row r="322" ht="58" customHeight="1">
      <x:c r="A322" s="10" t="str">
        <x:v>E0317</x:v>
      </x:c>
      <x:c r="B322" s="10" t="str">
        <x:v>T04.05</x:v>
      </x:c>
      <x:c r="C322" s="10" t="str">
        <x:v>Cash accounting versus accrual accounting</x:v>
      </x:c>
      <x:c r="D322" s="14" t="str">
        <x:v>RECOMMENDED_BEFORE</x:v>
      </x:c>
      <x:c r="E322" s="10" t="str">
        <x:v>T07.05</x:v>
      </x:c>
      <x:c r="F322" s="10" t="str">
        <x:v>Working-capital adjustments</x:v>
      </x:c>
      <x:c r="G322" s="10" t="str">
        <x:v>Suggested starting knowledge: Cash accounting versus accrual accounting. It helps you reconcile accounting performance with actual cash movement.</x:v>
      </x:c>
      <x:c r="H322" s="10" t="str">
        <x:v>Suggested learning order; learners can still explore freely.</x:v>
      </x:c>
      <x:c r="I322" s="10" t="str">
        <x:v>Curated curriculum relationship</x:v>
      </x:c>
    </x:row>
    <x:row r="323" ht="58" customHeight="1">
      <x:c r="A323" s="9" t="str">
        <x:v>E0318</x:v>
      </x:c>
      <x:c r="B323" s="9" t="str">
        <x:v>T07.06</x:v>
      </x:c>
      <x:c r="C323" s="9" t="str">
        <x:v>Capital expenditure and asset disposal proceeds</x:v>
      </x:c>
      <x:c r="D323" s="15" t="str">
        <x:v>PART_OF</x:v>
      </x:c>
      <x:c r="E323" s="9" t="str">
        <x:v>D07</x:v>
      </x:c>
      <x:c r="F323" s="9" t="str">
        <x:v>Cash-flow statement and three-statement connections</x:v>
      </x:c>
      <x:c r="G323" s="9" t="str">
        <x:v>Curriculum membership. Use this link to move between the topic and its finance area.</x:v>
      </x:c>
      <x:c r="H323" s="9" t="str">
        <x:v>Classification only; this edge is not a causal or calculation relationship.</x:v>
      </x:c>
      <x:c r="I323" s="9" t="str">
        <x:v>Curated curriculum relationship</x:v>
      </x:c>
    </x:row>
    <x:row r="324" ht="58" customHeight="1">
      <x:c r="A324" s="10" t="str">
        <x:v>E0319</x:v>
      </x:c>
      <x:c r="B324" s="10" t="str">
        <x:v>T07.06</x:v>
      </x:c>
      <x:c r="C324" s="10" t="str">
        <x:v>Capital expenditure and asset disposal proceeds</x:v>
      </x:c>
      <x:c r="D324" s="14" t="str">
        <x:v>EXPLORE_WITH</x:v>
      </x:c>
      <x:c r="E324" s="10" t="str">
        <x:v>T07.13</x:v>
      </x:c>
      <x:c r="F324" s="10" t="str">
        <x:v>Free cash flow and its different definitions</x:v>
      </x:c>
      <x:c r="G324" s="10" t="str">
        <x:v>Study these together to reconcile accounting performance with actual cash movement.</x:v>
      </x:c>
      <x:c r="H324" s="10" t="str">
        <x:v>A topical exploration link, not a claim that one determines the other.</x:v>
      </x:c>
      <x:c r="I324" s="10" t="str">
        <x:v>Curated curriculum relationship</x:v>
      </x:c>
    </x:row>
    <x:row r="325" ht="58" customHeight="1">
      <x:c r="A325" s="9" t="str">
        <x:v>E0320</x:v>
      </x:c>
      <x:c r="B325" s="9" t="str">
        <x:v>T04.05</x:v>
      </x:c>
      <x:c r="C325" s="9" t="str">
        <x:v>Cash accounting versus accrual accounting</x:v>
      </x:c>
      <x:c r="D325" s="15" t="str">
        <x:v>RECOMMENDED_BEFORE</x:v>
      </x:c>
      <x:c r="E325" s="9" t="str">
        <x:v>T07.06</x:v>
      </x:c>
      <x:c r="F325" s="9" t="str">
        <x:v>Capital expenditure and asset disposal proceeds</x:v>
      </x:c>
      <x:c r="G325" s="9" t="str">
        <x:v>Suggested starting knowledge: Cash accounting versus accrual accounting. It helps you reconcile accounting performance with actual cash movement.</x:v>
      </x:c>
      <x:c r="H325" s="9" t="str">
        <x:v>Suggested learning order; learners can still explore freely.</x:v>
      </x:c>
      <x:c r="I325" s="9" t="str">
        <x:v>Curated curriculum relationship</x:v>
      </x:c>
    </x:row>
    <x:row r="326" ht="58" customHeight="1">
      <x:c r="A326" s="10" t="str">
        <x:v>E0321</x:v>
      </x:c>
      <x:c r="B326" s="10" t="str">
        <x:v>T07.07</x:v>
      </x:c>
      <x:c r="C326" s="10" t="str">
        <x:v>Acquisitions and investment transactions</x:v>
      </x:c>
      <x:c r="D326" s="14" t="str">
        <x:v>PART_OF</x:v>
      </x:c>
      <x:c r="E326" s="10" t="str">
        <x:v>D07</x:v>
      </x:c>
      <x:c r="F326" s="10" t="str">
        <x:v>Cash-flow statement and three-statement connections</x:v>
      </x:c>
      <x:c r="G326" s="10" t="str">
        <x:v>Curriculum membership. Use this link to move between the topic and its finance area.</x:v>
      </x:c>
      <x:c r="H326" s="10" t="str">
        <x:v>Classification only; this edge is not a causal or calculation relationship.</x:v>
      </x:c>
      <x:c r="I326" s="10" t="str">
        <x:v>Curated curriculum relationship</x:v>
      </x:c>
    </x:row>
    <x:row r="327" ht="58" customHeight="1">
      <x:c r="A327" s="9" t="str">
        <x:v>E0322</x:v>
      </x:c>
      <x:c r="B327" s="9" t="str">
        <x:v>T07.07</x:v>
      </x:c>
      <x:c r="C327" s="9" t="str">
        <x:v>Acquisitions and investment transactions</x:v>
      </x:c>
      <x:c r="D327" s="15" t="str">
        <x:v>EXPLORE_WITH</x:v>
      </x:c>
      <x:c r="E327" s="9" t="str">
        <x:v>T07.06</x:v>
      </x:c>
      <x:c r="F327" s="9" t="str">
        <x:v>Capital expenditure and asset disposal proceeds</x:v>
      </x:c>
      <x:c r="G327" s="9" t="str">
        <x:v>Study these together to reconcile accounting performance with actual cash movement.</x:v>
      </x:c>
      <x:c r="H327" s="9" t="str">
        <x:v>A topical exploration link, not a claim that one determines the other.</x:v>
      </x:c>
      <x:c r="I327" s="9" t="str">
        <x:v>Curated curriculum relationship</x:v>
      </x:c>
    </x:row>
    <x:row r="328" ht="58" customHeight="1">
      <x:c r="A328" s="10" t="str">
        <x:v>E0323</x:v>
      </x:c>
      <x:c r="B328" s="10" t="str">
        <x:v>T04.05</x:v>
      </x:c>
      <x:c r="C328" s="10" t="str">
        <x:v>Cash accounting versus accrual accounting</x:v>
      </x:c>
      <x:c r="D328" s="14" t="str">
        <x:v>RECOMMENDED_BEFORE</x:v>
      </x:c>
      <x:c r="E328" s="10" t="str">
        <x:v>T07.07</x:v>
      </x:c>
      <x:c r="F328" s="10" t="str">
        <x:v>Acquisitions and investment transactions</x:v>
      </x:c>
      <x:c r="G328" s="10" t="str">
        <x:v>Suggested starting knowledge: Cash accounting versus accrual accounting. It helps you reconcile accounting performance with actual cash movement.</x:v>
      </x:c>
      <x:c r="H328" s="10" t="str">
        <x:v>Suggested learning order; learners can still explore freely.</x:v>
      </x:c>
      <x:c r="I328" s="10" t="str">
        <x:v>Curated curriculum relationship</x:v>
      </x:c>
    </x:row>
    <x:row r="329" ht="58" customHeight="1">
      <x:c r="A329" s="9" t="str">
        <x:v>E0324</x:v>
      </x:c>
      <x:c r="B329" s="9" t="str">
        <x:v>T07.08</x:v>
      </x:c>
      <x:c r="C329" s="9" t="str">
        <x:v>Debt issuance and repayment</x:v>
      </x:c>
      <x:c r="D329" s="15" t="str">
        <x:v>PART_OF</x:v>
      </x:c>
      <x:c r="E329" s="9" t="str">
        <x:v>D07</x:v>
      </x:c>
      <x:c r="F329" s="9" t="str">
        <x:v>Cash-flow statement and three-statement connections</x:v>
      </x:c>
      <x:c r="G329" s="9" t="str">
        <x:v>Curriculum membership. Use this link to move between the topic and its finance area.</x:v>
      </x:c>
      <x:c r="H329" s="9" t="str">
        <x:v>Classification only; this edge is not a causal or calculation relationship.</x:v>
      </x:c>
      <x:c r="I329" s="9" t="str">
        <x:v>Curated curriculum relationship</x:v>
      </x:c>
    </x:row>
    <x:row r="330" ht="58" customHeight="1">
      <x:c r="A330" s="10" t="str">
        <x:v>E0325</x:v>
      </x:c>
      <x:c r="B330" s="10" t="str">
        <x:v>T07.08</x:v>
      </x:c>
      <x:c r="C330" s="10" t="str">
        <x:v>Debt issuance and repayment</x:v>
      </x:c>
      <x:c r="D330" s="14" t="str">
        <x:v>EXPLORE_WITH</x:v>
      </x:c>
      <x:c r="E330" s="10" t="str">
        <x:v>T07.13</x:v>
      </x:c>
      <x:c r="F330" s="10" t="str">
        <x:v>Free cash flow and its different definitions</x:v>
      </x:c>
      <x:c r="G330" s="10" t="str">
        <x:v>Study these together to reconcile accounting performance with actual cash movement.</x:v>
      </x:c>
      <x:c r="H330" s="10" t="str">
        <x:v>A topical exploration link, not a claim that one determines the other.</x:v>
      </x:c>
      <x:c r="I330" s="10" t="str">
        <x:v>Curated curriculum relationship</x:v>
      </x:c>
    </x:row>
    <x:row r="331" ht="58" customHeight="1">
      <x:c r="A331" s="9" t="str">
        <x:v>E0326</x:v>
      </x:c>
      <x:c r="B331" s="9" t="str">
        <x:v>T04.05</x:v>
      </x:c>
      <x:c r="C331" s="9" t="str">
        <x:v>Cash accounting versus accrual accounting</x:v>
      </x:c>
      <x:c r="D331" s="15" t="str">
        <x:v>RECOMMENDED_BEFORE</x:v>
      </x:c>
      <x:c r="E331" s="9" t="str">
        <x:v>T07.08</x:v>
      </x:c>
      <x:c r="F331" s="9" t="str">
        <x:v>Debt issuance and repayment</x:v>
      </x:c>
      <x:c r="G331" s="9" t="str">
        <x:v>Suggested starting knowledge: Cash accounting versus accrual accounting. It helps you reconcile accounting performance with actual cash movement.</x:v>
      </x:c>
      <x:c r="H331" s="9" t="str">
        <x:v>Suggested learning order; learners can still explore freely.</x:v>
      </x:c>
      <x:c r="I331" s="9" t="str">
        <x:v>Curated curriculum relationship</x:v>
      </x:c>
    </x:row>
    <x:row r="332" ht="58" customHeight="1">
      <x:c r="A332" s="10" t="str">
        <x:v>E0327</x:v>
      </x:c>
      <x:c r="B332" s="10" t="str">
        <x:v>T07.09</x:v>
      </x:c>
      <x:c r="C332" s="10" t="str">
        <x:v>Equity issuance, buybacks, and dividends</x:v>
      </x:c>
      <x:c r="D332" s="14" t="str">
        <x:v>PART_OF</x:v>
      </x:c>
      <x:c r="E332" s="10" t="str">
        <x:v>D07</x:v>
      </x:c>
      <x:c r="F332" s="10" t="str">
        <x:v>Cash-flow statement and three-statement connections</x:v>
      </x:c>
      <x:c r="G332" s="10" t="str">
        <x:v>Curriculum membership. Use this link to move between the topic and its finance area.</x:v>
      </x:c>
      <x:c r="H332" s="10" t="str">
        <x:v>Classification only; this edge is not a causal or calculation relationship.</x:v>
      </x:c>
      <x:c r="I332" s="10" t="str">
        <x:v>Curated curriculum relationship</x:v>
      </x:c>
    </x:row>
    <x:row r="333" ht="58" customHeight="1">
      <x:c r="A333" s="9" t="str">
        <x:v>E0328</x:v>
      </x:c>
      <x:c r="B333" s="9" t="str">
        <x:v>T07.09</x:v>
      </x:c>
      <x:c r="C333" s="9" t="str">
        <x:v>Equity issuance, buybacks, and dividends</x:v>
      </x:c>
      <x:c r="D333" s="15" t="str">
        <x:v>EXPLORE_WITH</x:v>
      </x:c>
      <x:c r="E333" s="9" t="str">
        <x:v>T07.13</x:v>
      </x:c>
      <x:c r="F333" s="9" t="str">
        <x:v>Free cash flow and its different definitions</x:v>
      </x:c>
      <x:c r="G333" s="9" t="str">
        <x:v>Study these together to reconcile accounting performance with actual cash movement.</x:v>
      </x:c>
      <x:c r="H333" s="9" t="str">
        <x:v>A topical exploration link, not a claim that one determines the other.</x:v>
      </x:c>
      <x:c r="I333" s="9" t="str">
        <x:v>Curated curriculum relationship</x:v>
      </x:c>
    </x:row>
    <x:row r="334" ht="58" customHeight="1">
      <x:c r="A334" s="10" t="str">
        <x:v>E0329</x:v>
      </x:c>
      <x:c r="B334" s="10" t="str">
        <x:v>T04.05</x:v>
      </x:c>
      <x:c r="C334" s="10" t="str">
        <x:v>Cash accounting versus accrual accounting</x:v>
      </x:c>
      <x:c r="D334" s="14" t="str">
        <x:v>RECOMMENDED_BEFORE</x:v>
      </x:c>
      <x:c r="E334" s="10" t="str">
        <x:v>T07.09</x:v>
      </x:c>
      <x:c r="F334" s="10" t="str">
        <x:v>Equity issuance, buybacks, and dividends</x:v>
      </x:c>
      <x:c r="G334" s="10" t="str">
        <x:v>Suggested starting knowledge: Cash accounting versus accrual accounting. It helps you reconcile accounting performance with actual cash movement.</x:v>
      </x:c>
      <x:c r="H334" s="10" t="str">
        <x:v>Suggested learning order; learners can still explore freely.</x:v>
      </x:c>
      <x:c r="I334" s="10" t="str">
        <x:v>Curated curriculum relationship</x:v>
      </x:c>
    </x:row>
    <x:row r="335" ht="58" customHeight="1">
      <x:c r="A335" s="9" t="str">
        <x:v>E0330</x:v>
      </x:c>
      <x:c r="B335" s="9" t="str">
        <x:v>T07.10</x:v>
      </x:c>
      <x:c r="C335" s="9" t="str">
        <x:v>Interest and dividend classifications across reporting frameworks</x:v>
      </x:c>
      <x:c r="D335" s="15" t="str">
        <x:v>PART_OF</x:v>
      </x:c>
      <x:c r="E335" s="9" t="str">
        <x:v>D07</x:v>
      </x:c>
      <x:c r="F335" s="9" t="str">
        <x:v>Cash-flow statement and three-statement connections</x:v>
      </x:c>
      <x:c r="G335" s="9" t="str">
        <x:v>Curriculum membership. Use this link to move between the topic and its finance area.</x:v>
      </x:c>
      <x:c r="H335" s="9" t="str">
        <x:v>Classification only; this edge is not a causal or calculation relationship.</x:v>
      </x:c>
      <x:c r="I335" s="9" t="str">
        <x:v>Curated curriculum relationship</x:v>
      </x:c>
    </x:row>
    <x:row r="336" ht="58" customHeight="1">
      <x:c r="A336" s="10" t="str">
        <x:v>E0331</x:v>
      </x:c>
      <x:c r="B336" s="10" t="str">
        <x:v>T07.10</x:v>
      </x:c>
      <x:c r="C336" s="10" t="str">
        <x:v>Interest and dividend classifications across reporting frameworks</x:v>
      </x:c>
      <x:c r="D336" s="14" t="str">
        <x:v>EXPLORE_WITH</x:v>
      </x:c>
      <x:c r="E336" s="10" t="str">
        <x:v>T07.01</x:v>
      </x:c>
      <x:c r="F336" s="10" t="str">
        <x:v>Cash flow from operations, investing, and financing</x:v>
      </x:c>
      <x:c r="G336" s="10" t="str">
        <x:v>Study these together to reconcile accounting performance with actual cash movement.</x:v>
      </x:c>
      <x:c r="H336" s="10" t="str">
        <x:v>A topical exploration link, not a claim that one determines the other.</x:v>
      </x:c>
      <x:c r="I336" s="10" t="str">
        <x:v>Curated curriculum relationship</x:v>
      </x:c>
    </x:row>
    <x:row r="337" ht="58" customHeight="1">
      <x:c r="A337" s="9" t="str">
        <x:v>E0332</x:v>
      </x:c>
      <x:c r="B337" s="9" t="str">
        <x:v>T04.05</x:v>
      </x:c>
      <x:c r="C337" s="9" t="str">
        <x:v>Cash accounting versus accrual accounting</x:v>
      </x:c>
      <x:c r="D337" s="15" t="str">
        <x:v>RECOMMENDED_BEFORE</x:v>
      </x:c>
      <x:c r="E337" s="9" t="str">
        <x:v>T07.10</x:v>
      </x:c>
      <x:c r="F337" s="9" t="str">
        <x:v>Interest and dividend classifications across reporting frameworks</x:v>
      </x:c>
      <x:c r="G337" s="9" t="str">
        <x:v>Suggested starting knowledge: Cash accounting versus accrual accounting. It helps you reconcile accounting performance with actual cash movement.</x:v>
      </x:c>
      <x:c r="H337" s="9" t="str">
        <x:v>Suggested learning order; learners can still explore freely.</x:v>
      </x:c>
      <x:c r="I337" s="9" t="str">
        <x:v>Curated curriculum relationship</x:v>
      </x:c>
    </x:row>
    <x:row r="338" ht="58" customHeight="1">
      <x:c r="A338" s="10" t="str">
        <x:v>E0333</x:v>
      </x:c>
      <x:c r="B338" s="10" t="str">
        <x:v>T07.11</x:v>
      </x:c>
      <x:c r="C338" s="10" t="str">
        <x:v>Foreign-exchange effects on cash</x:v>
      </x:c>
      <x:c r="D338" s="14" t="str">
        <x:v>PART_OF</x:v>
      </x:c>
      <x:c r="E338" s="10" t="str">
        <x:v>D07</x:v>
      </x:c>
      <x:c r="F338" s="10" t="str">
        <x:v>Cash-flow statement and three-statement connections</x:v>
      </x:c>
      <x:c r="G338" s="10" t="str">
        <x:v>Curriculum membership. Use this link to move between the topic and its finance area.</x:v>
      </x:c>
      <x:c r="H338" s="10" t="str">
        <x:v>Classification only; this edge is not a causal or calculation relationship.</x:v>
      </x:c>
      <x:c r="I338" s="10" t="str">
        <x:v>Curated curriculum relationship</x:v>
      </x:c>
    </x:row>
    <x:row r="339" ht="58" customHeight="1">
      <x:c r="A339" s="9" t="str">
        <x:v>E0334</x:v>
      </x:c>
      <x:c r="B339" s="9" t="str">
        <x:v>T07.11</x:v>
      </x:c>
      <x:c r="C339" s="9" t="str">
        <x:v>Foreign-exchange effects on cash</x:v>
      </x:c>
      <x:c r="D339" s="15" t="str">
        <x:v>EXPLORE_WITH</x:v>
      </x:c>
      <x:c r="E339" s="9" t="str">
        <x:v>T07.12</x:v>
      </x:c>
      <x:c r="F339" s="9" t="str">
        <x:v>Restricted cash and cash reconciliation</x:v>
      </x:c>
      <x:c r="G339" s="9" t="str">
        <x:v>Study these together to reconcile accounting performance with actual cash movement.</x:v>
      </x:c>
      <x:c r="H339" s="9" t="str">
        <x:v>A topical exploration link, not a claim that one determines the other.</x:v>
      </x:c>
      <x:c r="I339" s="9" t="str">
        <x:v>Curated curriculum relationship</x:v>
      </x:c>
    </x:row>
    <x:row r="340" ht="58" customHeight="1">
      <x:c r="A340" s="10" t="str">
        <x:v>E0335</x:v>
      </x:c>
      <x:c r="B340" s="10" t="str">
        <x:v>T04.05</x:v>
      </x:c>
      <x:c r="C340" s="10" t="str">
        <x:v>Cash accounting versus accrual accounting</x:v>
      </x:c>
      <x:c r="D340" s="14" t="str">
        <x:v>RECOMMENDED_BEFORE</x:v>
      </x:c>
      <x:c r="E340" s="10" t="str">
        <x:v>T07.11</x:v>
      </x:c>
      <x:c r="F340" s="10" t="str">
        <x:v>Foreign-exchange effects on cash</x:v>
      </x:c>
      <x:c r="G340" s="10" t="str">
        <x:v>Suggested starting knowledge: Cash accounting versus accrual accounting. It helps you reconcile accounting performance with actual cash movement.</x:v>
      </x:c>
      <x:c r="H340" s="10" t="str">
        <x:v>Suggested learning order; learners can still explore freely.</x:v>
      </x:c>
      <x:c r="I340" s="10" t="str">
        <x:v>Curated curriculum relationship</x:v>
      </x:c>
    </x:row>
    <x:row r="341" ht="58" customHeight="1">
      <x:c r="A341" s="9" t="str">
        <x:v>E0336</x:v>
      </x:c>
      <x:c r="B341" s="9" t="str">
        <x:v>T07.12</x:v>
      </x:c>
      <x:c r="C341" s="9" t="str">
        <x:v>Restricted cash and cash reconciliation</x:v>
      </x:c>
      <x:c r="D341" s="15" t="str">
        <x:v>PART_OF</x:v>
      </x:c>
      <x:c r="E341" s="9" t="str">
        <x:v>D07</x:v>
      </x:c>
      <x:c r="F341" s="9" t="str">
        <x:v>Cash-flow statement and three-statement connections</x:v>
      </x:c>
      <x:c r="G341" s="9" t="str">
        <x:v>Curriculum membership. Use this link to move between the topic and its finance area.</x:v>
      </x:c>
      <x:c r="H341" s="9" t="str">
        <x:v>Classification only; this edge is not a causal or calculation relationship.</x:v>
      </x:c>
      <x:c r="I341" s="9" t="str">
        <x:v>Curated curriculum relationship</x:v>
      </x:c>
    </x:row>
    <x:row r="342" ht="58" customHeight="1">
      <x:c r="A342" s="10" t="str">
        <x:v>E0337</x:v>
      </x:c>
      <x:c r="B342" s="10" t="str">
        <x:v>T07.12</x:v>
      </x:c>
      <x:c r="C342" s="10" t="str">
        <x:v>Restricted cash and cash reconciliation</x:v>
      </x:c>
      <x:c r="D342" s="14" t="str">
        <x:v>EXPLORE_WITH</x:v>
      </x:c>
      <x:c r="E342" s="10" t="str">
        <x:v>T07.01</x:v>
      </x:c>
      <x:c r="F342" s="10" t="str">
        <x:v>Cash flow from operations, investing, and financing</x:v>
      </x:c>
      <x:c r="G342" s="10" t="str">
        <x:v>Study these together to reconcile accounting performance with actual cash movement.</x:v>
      </x:c>
      <x:c r="H342" s="10" t="str">
        <x:v>A topical exploration link, not a claim that one determines the other.</x:v>
      </x:c>
      <x:c r="I342" s="10" t="str">
        <x:v>Curated curriculum relationship</x:v>
      </x:c>
    </x:row>
    <x:row r="343" ht="58" customHeight="1">
      <x:c r="A343" s="9" t="str">
        <x:v>E0338</x:v>
      </x:c>
      <x:c r="B343" s="9" t="str">
        <x:v>T04.05</x:v>
      </x:c>
      <x:c r="C343" s="9" t="str">
        <x:v>Cash accounting versus accrual accounting</x:v>
      </x:c>
      <x:c r="D343" s="15" t="str">
        <x:v>RECOMMENDED_BEFORE</x:v>
      </x:c>
      <x:c r="E343" s="9" t="str">
        <x:v>T07.12</x:v>
      </x:c>
      <x:c r="F343" s="9" t="str">
        <x:v>Restricted cash and cash reconciliation</x:v>
      </x:c>
      <x:c r="G343" s="9" t="str">
        <x:v>Suggested starting knowledge: Cash accounting versus accrual accounting. It helps you reconcile accounting performance with actual cash movement.</x:v>
      </x:c>
      <x:c r="H343" s="9" t="str">
        <x:v>Suggested learning order; learners can still explore freely.</x:v>
      </x:c>
      <x:c r="I343" s="9" t="str">
        <x:v>Curated curriculum relationship</x:v>
      </x:c>
    </x:row>
    <x:row r="344" ht="58" customHeight="1">
      <x:c r="A344" s="10" t="str">
        <x:v>E0339</x:v>
      </x:c>
      <x:c r="B344" s="10" t="str">
        <x:v>T07.13</x:v>
      </x:c>
      <x:c r="C344" s="10" t="str">
        <x:v>Free cash flow and its different definitions</x:v>
      </x:c>
      <x:c r="D344" s="14" t="str">
        <x:v>PART_OF</x:v>
      </x:c>
      <x:c r="E344" s="10" t="str">
        <x:v>D07</x:v>
      </x:c>
      <x:c r="F344" s="10" t="str">
        <x:v>Cash-flow statement and three-statement connections</x:v>
      </x:c>
      <x:c r="G344" s="10" t="str">
        <x:v>Curriculum membership. Use this link to move between the topic and its finance area.</x:v>
      </x:c>
      <x:c r="H344" s="10" t="str">
        <x:v>Classification only; this edge is not a causal or calculation relationship.</x:v>
      </x:c>
      <x:c r="I344" s="10" t="str">
        <x:v>Curated curriculum relationship</x:v>
      </x:c>
    </x:row>
    <x:row r="345" ht="58" customHeight="1">
      <x:c r="A345" s="9" t="str">
        <x:v>E0340</x:v>
      </x:c>
      <x:c r="B345" s="9" t="str">
        <x:v>T07.13</x:v>
      </x:c>
      <x:c r="C345" s="9" t="str">
        <x:v>Free cash flow and its different definitions</x:v>
      </x:c>
      <x:c r="D345" s="15" t="str">
        <x:v>EXPLORE_WITH</x:v>
      </x:c>
      <x:c r="E345" s="9" t="str">
        <x:v>T07.03</x:v>
      </x:c>
      <x:c r="F345" s="9" t="str">
        <x:v>Reconciling profit to operating cash flow</x:v>
      </x:c>
      <x:c r="G345" s="9" t="str">
        <x:v>Study these together to reconcile accounting performance with actual cash movement.</x:v>
      </x:c>
      <x:c r="H345" s="9" t="str">
        <x:v>A topical exploration link, not a claim that one determines the other.</x:v>
      </x:c>
      <x:c r="I345" s="9" t="str">
        <x:v>Curated curriculum relationship</x:v>
      </x:c>
    </x:row>
    <x:row r="346" ht="58" customHeight="1">
      <x:c r="A346" s="10" t="str">
        <x:v>E0341</x:v>
      </x:c>
      <x:c r="B346" s="10" t="str">
        <x:v>T04.05</x:v>
      </x:c>
      <x:c r="C346" s="10" t="str">
        <x:v>Cash accounting versus accrual accounting</x:v>
      </x:c>
      <x:c r="D346" s="14" t="str">
        <x:v>RECOMMENDED_BEFORE</x:v>
      </x:c>
      <x:c r="E346" s="10" t="str">
        <x:v>T07.13</x:v>
      </x:c>
      <x:c r="F346" s="10" t="str">
        <x:v>Free cash flow and its different definitions</x:v>
      </x:c>
      <x:c r="G346" s="10" t="str">
        <x:v>Suggested starting knowledge: Cash accounting versus accrual accounting. It helps you reconcile accounting performance with actual cash movement.</x:v>
      </x:c>
      <x:c r="H346" s="10" t="str">
        <x:v>Suggested learning order; learners can still explore freely.</x:v>
      </x:c>
      <x:c r="I346" s="10" t="str">
        <x:v>Curated curriculum relationship</x:v>
      </x:c>
    </x:row>
    <x:row r="347" ht="58" customHeight="1">
      <x:c r="A347" s="9" t="str">
        <x:v>E0342</x:v>
      </x:c>
      <x:c r="B347" s="9" t="str">
        <x:v>T07.14</x:v>
      </x:c>
      <x:c r="C347" s="9" t="str">
        <x:v>How transactions move through all three statements</x:v>
      </x:c>
      <x:c r="D347" s="15" t="str">
        <x:v>PART_OF</x:v>
      </x:c>
      <x:c r="E347" s="9" t="str">
        <x:v>D07</x:v>
      </x:c>
      <x:c r="F347" s="9" t="str">
        <x:v>Cash-flow statement and three-statement connections</x:v>
      </x:c>
      <x:c r="G347" s="9" t="str">
        <x:v>Curriculum membership. Use this link to move between the topic and its finance area.</x:v>
      </x:c>
      <x:c r="H347" s="9" t="str">
        <x:v>Classification only; this edge is not a causal or calculation relationship.</x:v>
      </x:c>
      <x:c r="I347" s="9" t="str">
        <x:v>Curated curriculum relationship</x:v>
      </x:c>
    </x:row>
    <x:row r="348" ht="58" customHeight="1">
      <x:c r="A348" s="10" t="str">
        <x:v>E0343</x:v>
      </x:c>
      <x:c r="B348" s="10" t="str">
        <x:v>T07.14</x:v>
      </x:c>
      <x:c r="C348" s="10" t="str">
        <x:v>How transactions move through all three statements</x:v>
      </x:c>
      <x:c r="D348" s="14" t="str">
        <x:v>EXPLORE_WITH</x:v>
      </x:c>
      <x:c r="E348" s="10" t="str">
        <x:v>T07.03</x:v>
      </x:c>
      <x:c r="F348" s="10" t="str">
        <x:v>Reconciling profit to operating cash flow</x:v>
      </x:c>
      <x:c r="G348" s="10" t="str">
        <x:v>Study these together to reconcile accounting performance with actual cash movement.</x:v>
      </x:c>
      <x:c r="H348" s="10" t="str">
        <x:v>A topical exploration link, not a claim that one determines the other.</x:v>
      </x:c>
      <x:c r="I348" s="10" t="str">
        <x:v>Curated curriculum relationship</x:v>
      </x:c>
    </x:row>
    <x:row r="349" ht="58" customHeight="1">
      <x:c r="A349" s="9" t="str">
        <x:v>E0344</x:v>
      </x:c>
      <x:c r="B349" s="9" t="str">
        <x:v>T04.05</x:v>
      </x:c>
      <x:c r="C349" s="9" t="str">
        <x:v>Cash accounting versus accrual accounting</x:v>
      </x:c>
      <x:c r="D349" s="15" t="str">
        <x:v>RECOMMENDED_BEFORE</x:v>
      </x:c>
      <x:c r="E349" s="9" t="str">
        <x:v>T07.14</x:v>
      </x:c>
      <x:c r="F349" s="9" t="str">
        <x:v>How transactions move through all three statements</x:v>
      </x:c>
      <x:c r="G349" s="9" t="str">
        <x:v>Suggested starting knowledge: Cash accounting versus accrual accounting. It helps you reconcile accounting performance with actual cash movement.</x:v>
      </x:c>
      <x:c r="H349" s="9" t="str">
        <x:v>Suggested learning order; learners can still explore freely.</x:v>
      </x:c>
      <x:c r="I349" s="9" t="str">
        <x:v>Curated curriculum relationship</x:v>
      </x:c>
    </x:row>
    <x:row r="350" ht="58" customHeight="1">
      <x:c r="A350" s="10" t="str">
        <x:v>E0345</x:v>
      </x:c>
      <x:c r="B350" s="10" t="str">
        <x:v>T07.15</x:v>
      </x:c>
      <x:c r="C350" s="10" t="str">
        <x:v>Why profitable companies can run out of cash</x:v>
      </x:c>
      <x:c r="D350" s="14" t="str">
        <x:v>PART_OF</x:v>
      </x:c>
      <x:c r="E350" s="10" t="str">
        <x:v>D07</x:v>
      </x:c>
      <x:c r="F350" s="10" t="str">
        <x:v>Cash-flow statement and three-statement connections</x:v>
      </x:c>
      <x:c r="G350" s="10" t="str">
        <x:v>Curriculum membership. Use this link to move between the topic and its finance area.</x:v>
      </x:c>
      <x:c r="H350" s="10" t="str">
        <x:v>Classification only; this edge is not a causal or calculation relationship.</x:v>
      </x:c>
      <x:c r="I350" s="10" t="str">
        <x:v>Curated curriculum relationship</x:v>
      </x:c>
    </x:row>
    <x:row r="351" ht="58" customHeight="1">
      <x:c r="A351" s="9" t="str">
        <x:v>E0346</x:v>
      </x:c>
      <x:c r="B351" s="9" t="str">
        <x:v>T07.15</x:v>
      </x:c>
      <x:c r="C351" s="9" t="str">
        <x:v>Why profitable companies can run out of cash</x:v>
      </x:c>
      <x:c r="D351" s="15" t="str">
        <x:v>EXPLORE_WITH</x:v>
      </x:c>
      <x:c r="E351" s="9" t="str">
        <x:v>T07.03</x:v>
      </x:c>
      <x:c r="F351" s="9" t="str">
        <x:v>Reconciling profit to operating cash flow</x:v>
      </x:c>
      <x:c r="G351" s="9" t="str">
        <x:v>Study these together to reconcile accounting performance with actual cash movement.</x:v>
      </x:c>
      <x:c r="H351" s="9" t="str">
        <x:v>A topical exploration link, not a claim that one determines the other.</x:v>
      </x:c>
      <x:c r="I351" s="9" t="str">
        <x:v>Curated curriculum relationship</x:v>
      </x:c>
    </x:row>
    <x:row r="352" ht="58" customHeight="1">
      <x:c r="A352" s="10" t="str">
        <x:v>E0347</x:v>
      </x:c>
      <x:c r="B352" s="10" t="str">
        <x:v>T04.05</x:v>
      </x:c>
      <x:c r="C352" s="10" t="str">
        <x:v>Cash accounting versus accrual accounting</x:v>
      </x:c>
      <x:c r="D352" s="14" t="str">
        <x:v>RECOMMENDED_BEFORE</x:v>
      </x:c>
      <x:c r="E352" s="10" t="str">
        <x:v>T07.15</x:v>
      </x:c>
      <x:c r="F352" s="10" t="str">
        <x:v>Why profitable companies can run out of cash</x:v>
      </x:c>
      <x:c r="G352" s="10" t="str">
        <x:v>Suggested starting knowledge: Cash accounting versus accrual accounting. It helps you reconcile accounting performance with actual cash movement.</x:v>
      </x:c>
      <x:c r="H352" s="10" t="str">
        <x:v>Suggested learning order; learners can still explore freely.</x:v>
      </x:c>
      <x:c r="I352" s="10" t="str">
        <x:v>Curated curriculum relationship</x:v>
      </x:c>
    </x:row>
    <x:row r="353" ht="58" customHeight="1">
      <x:c r="A353" s="9" t="str">
        <x:v>E0348</x:v>
      </x:c>
      <x:c r="B353" s="9" t="str">
        <x:v>T07.16</x:v>
      </x:c>
      <x:c r="C353" s="9" t="str">
        <x:v>Why cash-rich companies can report losses</x:v>
      </x:c>
      <x:c r="D353" s="15" t="str">
        <x:v>PART_OF</x:v>
      </x:c>
      <x:c r="E353" s="9" t="str">
        <x:v>D07</x:v>
      </x:c>
      <x:c r="F353" s="9" t="str">
        <x:v>Cash-flow statement and three-statement connections</x:v>
      </x:c>
      <x:c r="G353" s="9" t="str">
        <x:v>Curriculum membership. Use this link to move between the topic and its finance area.</x:v>
      </x:c>
      <x:c r="H353" s="9" t="str">
        <x:v>Classification only; this edge is not a causal or calculation relationship.</x:v>
      </x:c>
      <x:c r="I353" s="9" t="str">
        <x:v>Curated curriculum relationship</x:v>
      </x:c>
    </x:row>
    <x:row r="354" ht="58" customHeight="1">
      <x:c r="A354" s="10" t="str">
        <x:v>E0349</x:v>
      </x:c>
      <x:c r="B354" s="10" t="str">
        <x:v>T07.16</x:v>
      </x:c>
      <x:c r="C354" s="10" t="str">
        <x:v>Why cash-rich companies can report losses</x:v>
      </x:c>
      <x:c r="D354" s="14" t="str">
        <x:v>EXPLORE_WITH</x:v>
      </x:c>
      <x:c r="E354" s="10" t="str">
        <x:v>T07.04</x:v>
      </x:c>
      <x:c r="F354" s="10" t="str">
        <x:v>Non-cash expenses and non-cash income</x:v>
      </x:c>
      <x:c r="G354" s="10" t="str">
        <x:v>Study these together to reconcile accounting performance with actual cash movement.</x:v>
      </x:c>
      <x:c r="H354" s="10" t="str">
        <x:v>A topical exploration link, not a claim that one determines the other.</x:v>
      </x:c>
      <x:c r="I354" s="10" t="str">
        <x:v>Curated curriculum relationship</x:v>
      </x:c>
    </x:row>
    <x:row r="355" ht="58" customHeight="1">
      <x:c r="A355" s="9" t="str">
        <x:v>E0350</x:v>
      </x:c>
      <x:c r="B355" s="9" t="str">
        <x:v>T04.05</x:v>
      </x:c>
      <x:c r="C355" s="9" t="str">
        <x:v>Cash accounting versus accrual accounting</x:v>
      </x:c>
      <x:c r="D355" s="15" t="str">
        <x:v>RECOMMENDED_BEFORE</x:v>
      </x:c>
      <x:c r="E355" s="9" t="str">
        <x:v>T07.16</x:v>
      </x:c>
      <x:c r="F355" s="9" t="str">
        <x:v>Why cash-rich companies can report losses</x:v>
      </x:c>
      <x:c r="G355" s="9" t="str">
        <x:v>Suggested starting knowledge: Cash accounting versus accrual accounting. It helps you reconcile accounting performance with actual cash movement.</x:v>
      </x:c>
      <x:c r="H355" s="9" t="str">
        <x:v>Suggested learning order; learners can still explore freely.</x:v>
      </x:c>
      <x:c r="I355" s="9" t="str">
        <x:v>Curated curriculum relationship</x:v>
      </x:c>
    </x:row>
    <x:row r="356" ht="58" customHeight="1">
      <x:c r="A356" s="10" t="str">
        <x:v>E0351</x:v>
      </x:c>
      <x:c r="B356" s="10" t="str">
        <x:v>T08.01</x:v>
      </x:c>
      <x:c r="C356" s="10" t="str">
        <x:v>Business combinations and purchase-price allocation</x:v>
      </x:c>
      <x:c r="D356" s="14" t="str">
        <x:v>PART_OF</x:v>
      </x:c>
      <x:c r="E356" s="10" t="str">
        <x:v>D08</x:v>
      </x:c>
      <x:c r="F356" s="10" t="str">
        <x:v>Advanced accounting and reporting</x:v>
      </x:c>
      <x:c r="G356" s="10" t="str">
        <x:v>Curriculum membership. Use this link to move between the topic and its finance area.</x:v>
      </x:c>
      <x:c r="H356" s="10" t="str">
        <x:v>Classification only; this edge is not a causal or calculation relationship.</x:v>
      </x:c>
      <x:c r="I356" s="10" t="str">
        <x:v>Curated curriculum relationship</x:v>
      </x:c>
    </x:row>
    <x:row r="357" ht="58" customHeight="1">
      <x:c r="A357" s="9" t="str">
        <x:v>E0352</x:v>
      </x:c>
      <x:c r="B357" s="9" t="str">
        <x:v>T08.01</x:v>
      </x:c>
      <x:c r="C357" s="9" t="str">
        <x:v>Business combinations and purchase-price allocation</x:v>
      </x:c>
      <x:c r="D357" s="15" t="str">
        <x:v>EXPLORE_WITH</x:v>
      </x:c>
      <x:c r="E357" s="9" t="str">
        <x:v>T08.02</x:v>
      </x:c>
      <x:c r="F357" s="9" t="str">
        <x:v>Goodwill recognition and impairment testing</x:v>
      </x:c>
      <x:c r="G357" s="9" t="str">
        <x:v>Study these together to understand recognition and measurement choices that change reported numbers.</x:v>
      </x:c>
      <x:c r="H357" s="9" t="str">
        <x:v>A topical exploration link, not a claim that one determines the other.</x:v>
      </x:c>
      <x:c r="I357" s="9" t="str">
        <x:v>Curated curriculum relationship</x:v>
      </x:c>
    </x:row>
    <x:row r="358" ht="58" customHeight="1">
      <x:c r="A358" s="10" t="str">
        <x:v>E0353</x:v>
      </x:c>
      <x:c r="B358" s="10" t="str">
        <x:v>T04.15</x:v>
      </x:c>
      <x:c r="C358" s="10" t="str">
        <x:v>Financial reporting frameworks: Ind AS, IFRS, and US GAAP</x:v>
      </x:c>
      <x:c r="D358" s="14" t="str">
        <x:v>RECOMMENDED_BEFORE</x:v>
      </x:c>
      <x:c r="E358" s="10" t="str">
        <x:v>T08.01</x:v>
      </x:c>
      <x:c r="F358" s="10" t="str">
        <x:v>Business combinations and purchase-price allocation</x:v>
      </x:c>
      <x:c r="G358" s="10" t="str">
        <x:v>Suggested starting knowledge: Financial reporting frameworks: Ind AS, IFRS, and US GAAP. It helps you understand recognition and measurement choices that change reported numbers.</x:v>
      </x:c>
      <x:c r="H358" s="10" t="str">
        <x:v>Suggested learning order; learners can still explore freely.</x:v>
      </x:c>
      <x:c r="I358" s="10" t="str">
        <x:v>Curated curriculum relationship</x:v>
      </x:c>
    </x:row>
    <x:row r="359" ht="58" customHeight="1">
      <x:c r="A359" s="9" t="str">
        <x:v>E0354</x:v>
      </x:c>
      <x:c r="B359" s="9" t="str">
        <x:v>T08.02</x:v>
      </x:c>
      <x:c r="C359" s="9" t="str">
        <x:v>Goodwill recognition and impairment testing</x:v>
      </x:c>
      <x:c r="D359" s="15" t="str">
        <x:v>PART_OF</x:v>
      </x:c>
      <x:c r="E359" s="9" t="str">
        <x:v>D08</x:v>
      </x:c>
      <x:c r="F359" s="9" t="str">
        <x:v>Advanced accounting and reporting</x:v>
      </x:c>
      <x:c r="G359" s="9" t="str">
        <x:v>Curriculum membership. Use this link to move between the topic and its finance area.</x:v>
      </x:c>
      <x:c r="H359" s="9" t="str">
        <x:v>Classification only; this edge is not a causal or calculation relationship.</x:v>
      </x:c>
      <x:c r="I359" s="9" t="str">
        <x:v>Curated curriculum relationship</x:v>
      </x:c>
    </x:row>
    <x:row r="360" ht="58" customHeight="1">
      <x:c r="A360" s="10" t="str">
        <x:v>E0355</x:v>
      </x:c>
      <x:c r="B360" s="10" t="str">
        <x:v>T08.02</x:v>
      </x:c>
      <x:c r="C360" s="10" t="str">
        <x:v>Goodwill recognition and impairment testing</x:v>
      </x:c>
      <x:c r="D360" s="14" t="str">
        <x:v>EXPLORE_WITH</x:v>
      </x:c>
      <x:c r="E360" s="10" t="str">
        <x:v>T08.01</x:v>
      </x:c>
      <x:c r="F360" s="10" t="str">
        <x:v>Business combinations and purchase-price allocation</x:v>
      </x:c>
      <x:c r="G360" s="10" t="str">
        <x:v>Study these together to understand recognition and measurement choices that change reported numbers.</x:v>
      </x:c>
      <x:c r="H360" s="10" t="str">
        <x:v>A topical exploration link, not a claim that one determines the other.</x:v>
      </x:c>
      <x:c r="I360" s="10" t="str">
        <x:v>Curated curriculum relationship</x:v>
      </x:c>
    </x:row>
    <x:row r="361" ht="58" customHeight="1">
      <x:c r="A361" s="9" t="str">
        <x:v>E0356</x:v>
      </x:c>
      <x:c r="B361" s="9" t="str">
        <x:v>T04.15</x:v>
      </x:c>
      <x:c r="C361" s="9" t="str">
        <x:v>Financial reporting frameworks: Ind AS, IFRS, and US GAAP</x:v>
      </x:c>
      <x:c r="D361" s="15" t="str">
        <x:v>RECOMMENDED_BEFORE</x:v>
      </x:c>
      <x:c r="E361" s="9" t="str">
        <x:v>T08.02</x:v>
      </x:c>
      <x:c r="F361" s="9" t="str">
        <x:v>Goodwill recognition and impairment testing</x:v>
      </x:c>
      <x:c r="G361" s="9" t="str">
        <x:v>Suggested starting knowledge: Financial reporting frameworks: Ind AS, IFRS, and US GAAP. It helps you understand recognition and measurement choices that change reported numbers.</x:v>
      </x:c>
      <x:c r="H361" s="9" t="str">
        <x:v>Suggested learning order; learners can still explore freely.</x:v>
      </x:c>
      <x:c r="I361" s="9" t="str">
        <x:v>Curated curriculum relationship</x:v>
      </x:c>
    </x:row>
    <x:row r="362" ht="58" customHeight="1">
      <x:c r="A362" s="10" t="str">
        <x:v>E0357</x:v>
      </x:c>
      <x:c r="B362" s="10" t="str">
        <x:v>T08.03</x:v>
      </x:c>
      <x:c r="C362" s="10" t="str">
        <x:v>Subsidiaries, associates, and joint ventures</x:v>
      </x:c>
      <x:c r="D362" s="14" t="str">
        <x:v>PART_OF</x:v>
      </x:c>
      <x:c r="E362" s="10" t="str">
        <x:v>D08</x:v>
      </x:c>
      <x:c r="F362" s="10" t="str">
        <x:v>Advanced accounting and reporting</x:v>
      </x:c>
      <x:c r="G362" s="10" t="str">
        <x:v>Curriculum membership. Use this link to move between the topic and its finance area.</x:v>
      </x:c>
      <x:c r="H362" s="10" t="str">
        <x:v>Classification only; this edge is not a causal or calculation relationship.</x:v>
      </x:c>
      <x:c r="I362" s="10" t="str">
        <x:v>Curated curriculum relationship</x:v>
      </x:c>
    </x:row>
    <x:row r="363" ht="58" customHeight="1">
      <x:c r="A363" s="9" t="str">
        <x:v>E0358</x:v>
      </x:c>
      <x:c r="B363" s="9" t="str">
        <x:v>T08.03</x:v>
      </x:c>
      <x:c r="C363" s="9" t="str">
        <x:v>Subsidiaries, associates, and joint ventures</x:v>
      </x:c>
      <x:c r="D363" s="15" t="str">
        <x:v>EXPLORE_WITH</x:v>
      </x:c>
      <x:c r="E363" s="9" t="str">
        <x:v>T08.04</x:v>
      </x:c>
      <x:c r="F363" s="9" t="str">
        <x:v>Consolidation and intercompany eliminations</x:v>
      </x:c>
      <x:c r="G363" s="9" t="str">
        <x:v>Study these together to understand recognition and measurement choices that change reported numbers.</x:v>
      </x:c>
      <x:c r="H363" s="9" t="str">
        <x:v>A topical exploration link, not a claim that one determines the other.</x:v>
      </x:c>
      <x:c r="I363" s="9" t="str">
        <x:v>Curated curriculum relationship</x:v>
      </x:c>
    </x:row>
    <x:row r="364" ht="58" customHeight="1">
      <x:c r="A364" s="10" t="str">
        <x:v>E0359</x:v>
      </x:c>
      <x:c r="B364" s="10" t="str">
        <x:v>T04.15</x:v>
      </x:c>
      <x:c r="C364" s="10" t="str">
        <x:v>Financial reporting frameworks: Ind AS, IFRS, and US GAAP</x:v>
      </x:c>
      <x:c r="D364" s="14" t="str">
        <x:v>RECOMMENDED_BEFORE</x:v>
      </x:c>
      <x:c r="E364" s="10" t="str">
        <x:v>T08.03</x:v>
      </x:c>
      <x:c r="F364" s="10" t="str">
        <x:v>Subsidiaries, associates, and joint ventures</x:v>
      </x:c>
      <x:c r="G364" s="10" t="str">
        <x:v>Suggested starting knowledge: Financial reporting frameworks: Ind AS, IFRS, and US GAAP. It helps you understand recognition and measurement choices that change reported numbers.</x:v>
      </x:c>
      <x:c r="H364" s="10" t="str">
        <x:v>Suggested learning order; learners can still explore freely.</x:v>
      </x:c>
      <x:c r="I364" s="10" t="str">
        <x:v>Curated curriculum relationship</x:v>
      </x:c>
    </x:row>
    <x:row r="365" ht="58" customHeight="1">
      <x:c r="A365" s="9" t="str">
        <x:v>E0360</x:v>
      </x:c>
      <x:c r="B365" s="9" t="str">
        <x:v>T08.04</x:v>
      </x:c>
      <x:c r="C365" s="9" t="str">
        <x:v>Consolidation and intercompany eliminations</x:v>
      </x:c>
      <x:c r="D365" s="15" t="str">
        <x:v>PART_OF</x:v>
      </x:c>
      <x:c r="E365" s="9" t="str">
        <x:v>D08</x:v>
      </x:c>
      <x:c r="F365" s="9" t="str">
        <x:v>Advanced accounting and reporting</x:v>
      </x:c>
      <x:c r="G365" s="9" t="str">
        <x:v>Curriculum membership. Use this link to move between the topic and its finance area.</x:v>
      </x:c>
      <x:c r="H365" s="9" t="str">
        <x:v>Classification only; this edge is not a causal or calculation relationship.</x:v>
      </x:c>
      <x:c r="I365" s="9" t="str">
        <x:v>Curated curriculum relationship</x:v>
      </x:c>
    </x:row>
    <x:row r="366" ht="58" customHeight="1">
      <x:c r="A366" s="10" t="str">
        <x:v>E0361</x:v>
      </x:c>
      <x:c r="B366" s="10" t="str">
        <x:v>T08.04</x:v>
      </x:c>
      <x:c r="C366" s="10" t="str">
        <x:v>Consolidation and intercompany eliminations</x:v>
      </x:c>
      <x:c r="D366" s="14" t="str">
        <x:v>EXPLORE_WITH</x:v>
      </x:c>
      <x:c r="E366" s="10" t="str">
        <x:v>T08.03</x:v>
      </x:c>
      <x:c r="F366" s="10" t="str">
        <x:v>Subsidiaries, associates, and joint ventures</x:v>
      </x:c>
      <x:c r="G366" s="10" t="str">
        <x:v>Study these together to understand recognition and measurement choices that change reported numbers.</x:v>
      </x:c>
      <x:c r="H366" s="10" t="str">
        <x:v>A topical exploration link, not a claim that one determines the other.</x:v>
      </x:c>
      <x:c r="I366" s="10" t="str">
        <x:v>Curated curriculum relationship</x:v>
      </x:c>
    </x:row>
    <x:row r="367" ht="58" customHeight="1">
      <x:c r="A367" s="9" t="str">
        <x:v>E0362</x:v>
      </x:c>
      <x:c r="B367" s="9" t="str">
        <x:v>T04.15</x:v>
      </x:c>
      <x:c r="C367" s="9" t="str">
        <x:v>Financial reporting frameworks: Ind AS, IFRS, and US GAAP</x:v>
      </x:c>
      <x:c r="D367" s="15" t="str">
        <x:v>RECOMMENDED_BEFORE</x:v>
      </x:c>
      <x:c r="E367" s="9" t="str">
        <x:v>T08.04</x:v>
      </x:c>
      <x:c r="F367" s="9" t="str">
        <x:v>Consolidation and intercompany eliminations</x:v>
      </x:c>
      <x:c r="G367" s="9" t="str">
        <x:v>Suggested starting knowledge: Financial reporting frameworks: Ind AS, IFRS, and US GAAP. It helps you understand recognition and measurement choices that change reported numbers.</x:v>
      </x:c>
      <x:c r="H367" s="9" t="str">
        <x:v>Suggested learning order; learners can still explore freely.</x:v>
      </x:c>
      <x:c r="I367" s="9" t="str">
        <x:v>Curated curriculum relationship</x:v>
      </x:c>
    </x:row>
    <x:row r="368" ht="58" customHeight="1">
      <x:c r="A368" s="10" t="str">
        <x:v>E0363</x:v>
      </x:c>
      <x:c r="B368" s="10" t="str">
        <x:v>T08.05</x:v>
      </x:c>
      <x:c r="C368" s="10" t="str">
        <x:v>Equity-method accounting</x:v>
      </x:c>
      <x:c r="D368" s="14" t="str">
        <x:v>PART_OF</x:v>
      </x:c>
      <x:c r="E368" s="10" t="str">
        <x:v>D08</x:v>
      </x:c>
      <x:c r="F368" s="10" t="str">
        <x:v>Advanced accounting and reporting</x:v>
      </x:c>
      <x:c r="G368" s="10" t="str">
        <x:v>Curriculum membership. Use this link to move between the topic and its finance area.</x:v>
      </x:c>
      <x:c r="H368" s="10" t="str">
        <x:v>Classification only; this edge is not a causal or calculation relationship.</x:v>
      </x:c>
      <x:c r="I368" s="10" t="str">
        <x:v>Curated curriculum relationship</x:v>
      </x:c>
    </x:row>
    <x:row r="369" ht="58" customHeight="1">
      <x:c r="A369" s="9" t="str">
        <x:v>E0364</x:v>
      </x:c>
      <x:c r="B369" s="9" t="str">
        <x:v>T08.05</x:v>
      </x:c>
      <x:c r="C369" s="9" t="str">
        <x:v>Equity-method accounting</x:v>
      </x:c>
      <x:c r="D369" s="15" t="str">
        <x:v>EXPLORE_WITH</x:v>
      </x:c>
      <x:c r="E369" s="9" t="str">
        <x:v>T08.03</x:v>
      </x:c>
      <x:c r="F369" s="9" t="str">
        <x:v>Subsidiaries, associates, and joint ventures</x:v>
      </x:c>
      <x:c r="G369" s="9" t="str">
        <x:v>Study these together to understand recognition and measurement choices that change reported numbers.</x:v>
      </x:c>
      <x:c r="H369" s="9" t="str">
        <x:v>A topical exploration link, not a claim that one determines the other.</x:v>
      </x:c>
      <x:c r="I369" s="9" t="str">
        <x:v>Curated curriculum relationship</x:v>
      </x:c>
    </x:row>
    <x:row r="370" ht="58" customHeight="1">
      <x:c r="A370" s="10" t="str">
        <x:v>E0365</x:v>
      </x:c>
      <x:c r="B370" s="10" t="str">
        <x:v>T04.15</x:v>
      </x:c>
      <x:c r="C370" s="10" t="str">
        <x:v>Financial reporting frameworks: Ind AS, IFRS, and US GAAP</x:v>
      </x:c>
      <x:c r="D370" s="14" t="str">
        <x:v>RECOMMENDED_BEFORE</x:v>
      </x:c>
      <x:c r="E370" s="10" t="str">
        <x:v>T08.05</x:v>
      </x:c>
      <x:c r="F370" s="10" t="str">
        <x:v>Equity-method accounting</x:v>
      </x:c>
      <x:c r="G370" s="10" t="str">
        <x:v>Suggested starting knowledge: Financial reporting frameworks: Ind AS, IFRS, and US GAAP. It helps you understand recognition and measurement choices that change reported numbers.</x:v>
      </x:c>
      <x:c r="H370" s="10" t="str">
        <x:v>Suggested learning order; learners can still explore freely.</x:v>
      </x:c>
      <x:c r="I370" s="10" t="str">
        <x:v>Curated curriculum relationship</x:v>
      </x:c>
    </x:row>
    <x:row r="371" ht="58" customHeight="1">
      <x:c r="A371" s="9" t="str">
        <x:v>E0366</x:v>
      </x:c>
      <x:c r="B371" s="9" t="str">
        <x:v>T08.06</x:v>
      </x:c>
      <x:c r="C371" s="9" t="str">
        <x:v>Lease accounting</x:v>
      </x:c>
      <x:c r="D371" s="15" t="str">
        <x:v>PART_OF</x:v>
      </x:c>
      <x:c r="E371" s="9" t="str">
        <x:v>D08</x:v>
      </x:c>
      <x:c r="F371" s="9" t="str">
        <x:v>Advanced accounting and reporting</x:v>
      </x:c>
      <x:c r="G371" s="9" t="str">
        <x:v>Curriculum membership. Use this link to move between the topic and its finance area.</x:v>
      </x:c>
      <x:c r="H371" s="9" t="str">
        <x:v>Classification only; this edge is not a causal or calculation relationship.</x:v>
      </x:c>
      <x:c r="I371" s="9" t="str">
        <x:v>Curated curriculum relationship</x:v>
      </x:c>
    </x:row>
    <x:row r="372" ht="58" customHeight="1">
      <x:c r="A372" s="10" t="str">
        <x:v>E0367</x:v>
      </x:c>
      <x:c r="B372" s="10" t="str">
        <x:v>T08.06</x:v>
      </x:c>
      <x:c r="C372" s="10" t="str">
        <x:v>Lease accounting</x:v>
      </x:c>
      <x:c r="D372" s="14" t="str">
        <x:v>EXPLORE_WITH</x:v>
      </x:c>
      <x:c r="E372" s="10" t="str">
        <x:v>T08.07</x:v>
      </x:c>
      <x:c r="F372" s="10" t="str">
        <x:v>Financial instrument classification and measurement</x:v>
      </x:c>
      <x:c r="G372" s="10" t="str">
        <x:v>Study these together to understand recognition and measurement choices that change reported numbers.</x:v>
      </x:c>
      <x:c r="H372" s="10" t="str">
        <x:v>A topical exploration link, not a claim that one determines the other.</x:v>
      </x:c>
      <x:c r="I372" s="10" t="str">
        <x:v>Curated curriculum relationship</x:v>
      </x:c>
    </x:row>
    <x:row r="373" ht="58" customHeight="1">
      <x:c r="A373" s="9" t="str">
        <x:v>E0368</x:v>
      </x:c>
      <x:c r="B373" s="9" t="str">
        <x:v>T04.15</x:v>
      </x:c>
      <x:c r="C373" s="9" t="str">
        <x:v>Financial reporting frameworks: Ind AS, IFRS, and US GAAP</x:v>
      </x:c>
      <x:c r="D373" s="15" t="str">
        <x:v>RECOMMENDED_BEFORE</x:v>
      </x:c>
      <x:c r="E373" s="9" t="str">
        <x:v>T08.06</x:v>
      </x:c>
      <x:c r="F373" s="9" t="str">
        <x:v>Lease accounting</x:v>
      </x:c>
      <x:c r="G373" s="9" t="str">
        <x:v>Suggested starting knowledge: Financial reporting frameworks: Ind AS, IFRS, and US GAAP. It helps you understand recognition and measurement choices that change reported numbers.</x:v>
      </x:c>
      <x:c r="H373" s="9" t="str">
        <x:v>Suggested learning order; learners can still explore freely.</x:v>
      </x:c>
      <x:c r="I373" s="9" t="str">
        <x:v>Curated curriculum relationship</x:v>
      </x:c>
    </x:row>
    <x:row r="374" ht="58" customHeight="1">
      <x:c r="A374" s="10" t="str">
        <x:v>E0369</x:v>
      </x:c>
      <x:c r="B374" s="10" t="str">
        <x:v>T08.07</x:v>
      </x:c>
      <x:c r="C374" s="10" t="str">
        <x:v>Financial instrument classification and measurement</x:v>
      </x:c>
      <x:c r="D374" s="14" t="str">
        <x:v>PART_OF</x:v>
      </x:c>
      <x:c r="E374" s="10" t="str">
        <x:v>D08</x:v>
      </x:c>
      <x:c r="F374" s="10" t="str">
        <x:v>Advanced accounting and reporting</x:v>
      </x:c>
      <x:c r="G374" s="10" t="str">
        <x:v>Curriculum membership. Use this link to move between the topic and its finance area.</x:v>
      </x:c>
      <x:c r="H374" s="10" t="str">
        <x:v>Classification only; this edge is not a causal or calculation relationship.</x:v>
      </x:c>
      <x:c r="I374" s="10" t="str">
        <x:v>Curated curriculum relationship</x:v>
      </x:c>
    </x:row>
    <x:row r="375" ht="58" customHeight="1">
      <x:c r="A375" s="9" t="str">
        <x:v>E0370</x:v>
      </x:c>
      <x:c r="B375" s="9" t="str">
        <x:v>T08.07</x:v>
      </x:c>
      <x:c r="C375" s="9" t="str">
        <x:v>Financial instrument classification and measurement</x:v>
      </x:c>
      <x:c r="D375" s="15" t="str">
        <x:v>EXPLORE_WITH</x:v>
      </x:c>
      <x:c r="E375" s="9" t="str">
        <x:v>T08.08</x:v>
      </x:c>
      <x:c r="F375" s="9" t="str">
        <x:v>Hedge accounting</x:v>
      </x:c>
      <x:c r="G375" s="9" t="str">
        <x:v>Study these together to understand recognition and measurement choices that change reported numbers.</x:v>
      </x:c>
      <x:c r="H375" s="9" t="str">
        <x:v>A topical exploration link, not a claim that one determines the other.</x:v>
      </x:c>
      <x:c r="I375" s="9" t="str">
        <x:v>Curated curriculum relationship</x:v>
      </x:c>
    </x:row>
    <x:row r="376" ht="58" customHeight="1">
      <x:c r="A376" s="10" t="str">
        <x:v>E0371</x:v>
      </x:c>
      <x:c r="B376" s="10" t="str">
        <x:v>T04.15</x:v>
      </x:c>
      <x:c r="C376" s="10" t="str">
        <x:v>Financial reporting frameworks: Ind AS, IFRS, and US GAAP</x:v>
      </x:c>
      <x:c r="D376" s="14" t="str">
        <x:v>RECOMMENDED_BEFORE</x:v>
      </x:c>
      <x:c r="E376" s="10" t="str">
        <x:v>T08.07</x:v>
      </x:c>
      <x:c r="F376" s="10" t="str">
        <x:v>Financial instrument classification and measurement</x:v>
      </x:c>
      <x:c r="G376" s="10" t="str">
        <x:v>Suggested starting knowledge: Financial reporting frameworks: Ind AS, IFRS, and US GAAP. It helps you understand recognition and measurement choices that change reported numbers.</x:v>
      </x:c>
      <x:c r="H376" s="10" t="str">
        <x:v>Suggested learning order; learners can still explore freely.</x:v>
      </x:c>
      <x:c r="I376" s="10" t="str">
        <x:v>Curated curriculum relationship</x:v>
      </x:c>
    </x:row>
    <x:row r="377" ht="58" customHeight="1">
      <x:c r="A377" s="9" t="str">
        <x:v>E0372</x:v>
      </x:c>
      <x:c r="B377" s="9" t="str">
        <x:v>T08.08</x:v>
      </x:c>
      <x:c r="C377" s="9" t="str">
        <x:v>Hedge accounting</x:v>
      </x:c>
      <x:c r="D377" s="15" t="str">
        <x:v>PART_OF</x:v>
      </x:c>
      <x:c r="E377" s="9" t="str">
        <x:v>D08</x:v>
      </x:c>
      <x:c r="F377" s="9" t="str">
        <x:v>Advanced accounting and reporting</x:v>
      </x:c>
      <x:c r="G377" s="9" t="str">
        <x:v>Curriculum membership. Use this link to move between the topic and its finance area.</x:v>
      </x:c>
      <x:c r="H377" s="9" t="str">
        <x:v>Classification only; this edge is not a causal or calculation relationship.</x:v>
      </x:c>
      <x:c r="I377" s="9" t="str">
        <x:v>Curated curriculum relationship</x:v>
      </x:c>
    </x:row>
    <x:row r="378" ht="58" customHeight="1">
      <x:c r="A378" s="10" t="str">
        <x:v>E0373</x:v>
      </x:c>
      <x:c r="B378" s="10" t="str">
        <x:v>T08.08</x:v>
      </x:c>
      <x:c r="C378" s="10" t="str">
        <x:v>Hedge accounting</x:v>
      </x:c>
      <x:c r="D378" s="14" t="str">
        <x:v>EXPLORE_WITH</x:v>
      </x:c>
      <x:c r="E378" s="10" t="str">
        <x:v>T08.07</x:v>
      </x:c>
      <x:c r="F378" s="10" t="str">
        <x:v>Financial instrument classification and measurement</x:v>
      </x:c>
      <x:c r="G378" s="10" t="str">
        <x:v>Study these together to understand recognition and measurement choices that change reported numbers.</x:v>
      </x:c>
      <x:c r="H378" s="10" t="str">
        <x:v>A topical exploration link, not a claim that one determines the other.</x:v>
      </x:c>
      <x:c r="I378" s="10" t="str">
        <x:v>Curated curriculum relationship</x:v>
      </x:c>
    </x:row>
    <x:row r="379" ht="58" customHeight="1">
      <x:c r="A379" s="9" t="str">
        <x:v>E0374</x:v>
      </x:c>
      <x:c r="B379" s="9" t="str">
        <x:v>T04.15</x:v>
      </x:c>
      <x:c r="C379" s="9" t="str">
        <x:v>Financial reporting frameworks: Ind AS, IFRS, and US GAAP</x:v>
      </x:c>
      <x:c r="D379" s="15" t="str">
        <x:v>RECOMMENDED_BEFORE</x:v>
      </x:c>
      <x:c r="E379" s="9" t="str">
        <x:v>T08.08</x:v>
      </x:c>
      <x:c r="F379" s="9" t="str">
        <x:v>Hedge accounting</x:v>
      </x:c>
      <x:c r="G379" s="9" t="str">
        <x:v>Suggested starting knowledge: Financial reporting frameworks: Ind AS, IFRS, and US GAAP. It helps you understand recognition and measurement choices that change reported numbers.</x:v>
      </x:c>
      <x:c r="H379" s="9" t="str">
        <x:v>Suggested learning order; learners can still explore freely.</x:v>
      </x:c>
      <x:c r="I379" s="9" t="str">
        <x:v>Curated curriculum relationship</x:v>
      </x:c>
    </x:row>
    <x:row r="380" ht="58" customHeight="1">
      <x:c r="A380" s="10" t="str">
        <x:v>E0375</x:v>
      </x:c>
      <x:c r="B380" s="10" t="str">
        <x:v>T08.09</x:v>
      </x:c>
      <x:c r="C380" s="10" t="str">
        <x:v>Foreign-currency transactions and translation</x:v>
      </x:c>
      <x:c r="D380" s="14" t="str">
        <x:v>PART_OF</x:v>
      </x:c>
      <x:c r="E380" s="10" t="str">
        <x:v>D08</x:v>
      </x:c>
      <x:c r="F380" s="10" t="str">
        <x:v>Advanced accounting and reporting</x:v>
      </x:c>
      <x:c r="G380" s="10" t="str">
        <x:v>Curriculum membership. Use this link to move between the topic and its finance area.</x:v>
      </x:c>
      <x:c r="H380" s="10" t="str">
        <x:v>Classification only; this edge is not a causal or calculation relationship.</x:v>
      </x:c>
      <x:c r="I380" s="10" t="str">
        <x:v>Curated curriculum relationship</x:v>
      </x:c>
    </x:row>
    <x:row r="381" ht="58" customHeight="1">
      <x:c r="A381" s="9" t="str">
        <x:v>E0376</x:v>
      </x:c>
      <x:c r="B381" s="9" t="str">
        <x:v>T08.09</x:v>
      </x:c>
      <x:c r="C381" s="9" t="str">
        <x:v>Foreign-currency transactions and translation</x:v>
      </x:c>
      <x:c r="D381" s="15" t="str">
        <x:v>EXPLORE_WITH</x:v>
      </x:c>
      <x:c r="E381" s="9" t="str">
        <x:v>T08.07</x:v>
      </x:c>
      <x:c r="F381" s="9" t="str">
        <x:v>Financial instrument classification and measurement</x:v>
      </x:c>
      <x:c r="G381" s="9" t="str">
        <x:v>Study these together to understand recognition and measurement choices that change reported numbers.</x:v>
      </x:c>
      <x:c r="H381" s="9" t="str">
        <x:v>A topical exploration link, not a claim that one determines the other.</x:v>
      </x:c>
      <x:c r="I381" s="9" t="str">
        <x:v>Curated curriculum relationship</x:v>
      </x:c>
    </x:row>
    <x:row r="382" ht="58" customHeight="1">
      <x:c r="A382" s="10" t="str">
        <x:v>E0377</x:v>
      </x:c>
      <x:c r="B382" s="10" t="str">
        <x:v>T04.15</x:v>
      </x:c>
      <x:c r="C382" s="10" t="str">
        <x:v>Financial reporting frameworks: Ind AS, IFRS, and US GAAP</x:v>
      </x:c>
      <x:c r="D382" s="14" t="str">
        <x:v>RECOMMENDED_BEFORE</x:v>
      </x:c>
      <x:c r="E382" s="10" t="str">
        <x:v>T08.09</x:v>
      </x:c>
      <x:c r="F382" s="10" t="str">
        <x:v>Foreign-currency transactions and translation</x:v>
      </x:c>
      <x:c r="G382" s="10" t="str">
        <x:v>Suggested starting knowledge: Financial reporting frameworks: Ind AS, IFRS, and US GAAP. It helps you understand recognition and measurement choices that change reported numbers.</x:v>
      </x:c>
      <x:c r="H382" s="10" t="str">
        <x:v>Suggested learning order; learners can still explore freely.</x:v>
      </x:c>
      <x:c r="I382" s="10" t="str">
        <x:v>Curated curriculum relationship</x:v>
      </x:c>
    </x:row>
    <x:row r="383" ht="58" customHeight="1">
      <x:c r="A383" s="9" t="str">
        <x:v>E0378</x:v>
      </x:c>
      <x:c r="B383" s="9" t="str">
        <x:v>T08.10</x:v>
      </x:c>
      <x:c r="C383" s="9" t="str">
        <x:v>Share-based compensation</x:v>
      </x:c>
      <x:c r="D383" s="15" t="str">
        <x:v>PART_OF</x:v>
      </x:c>
      <x:c r="E383" s="9" t="str">
        <x:v>D08</x:v>
      </x:c>
      <x:c r="F383" s="9" t="str">
        <x:v>Advanced accounting and reporting</x:v>
      </x:c>
      <x:c r="G383" s="9" t="str">
        <x:v>Curriculum membership. Use this link to move between the topic and its finance area.</x:v>
      </x:c>
      <x:c r="H383" s="9" t="str">
        <x:v>Classification only; this edge is not a causal or calculation relationship.</x:v>
      </x:c>
      <x:c r="I383" s="9" t="str">
        <x:v>Curated curriculum relationship</x:v>
      </x:c>
    </x:row>
    <x:row r="384" ht="58" customHeight="1">
      <x:c r="A384" s="10" t="str">
        <x:v>E0379</x:v>
      </x:c>
      <x:c r="B384" s="10" t="str">
        <x:v>T08.10</x:v>
      </x:c>
      <x:c r="C384" s="10" t="str">
        <x:v>Share-based compensation</x:v>
      </x:c>
      <x:c r="D384" s="14" t="str">
        <x:v>EXPLORE_WITH</x:v>
      </x:c>
      <x:c r="E384" s="10" t="str">
        <x:v>T08.04</x:v>
      </x:c>
      <x:c r="F384" s="10" t="str">
        <x:v>Consolidation and intercompany eliminations</x:v>
      </x:c>
      <x:c r="G384" s="10" t="str">
        <x:v>Study these together to understand recognition and measurement choices that change reported numbers.</x:v>
      </x:c>
      <x:c r="H384" s="10" t="str">
        <x:v>A topical exploration link, not a claim that one determines the other.</x:v>
      </x:c>
      <x:c r="I384" s="10" t="str">
        <x:v>Curated curriculum relationship</x:v>
      </x:c>
    </x:row>
    <x:row r="385" ht="58" customHeight="1">
      <x:c r="A385" s="9" t="str">
        <x:v>E0380</x:v>
      </x:c>
      <x:c r="B385" s="9" t="str">
        <x:v>T04.15</x:v>
      </x:c>
      <x:c r="C385" s="9" t="str">
        <x:v>Financial reporting frameworks: Ind AS, IFRS, and US GAAP</x:v>
      </x:c>
      <x:c r="D385" s="15" t="str">
        <x:v>RECOMMENDED_BEFORE</x:v>
      </x:c>
      <x:c r="E385" s="9" t="str">
        <x:v>T08.10</x:v>
      </x:c>
      <x:c r="F385" s="9" t="str">
        <x:v>Share-based compensation</x:v>
      </x:c>
      <x:c r="G385" s="9" t="str">
        <x:v>Suggested starting knowledge: Financial reporting frameworks: Ind AS, IFRS, and US GAAP. It helps you understand recognition and measurement choices that change reported numbers.</x:v>
      </x:c>
      <x:c r="H385" s="9" t="str">
        <x:v>Suggested learning order; learners can still explore freely.</x:v>
      </x:c>
      <x:c r="I385" s="9" t="str">
        <x:v>Curated curriculum relationship</x:v>
      </x:c>
    </x:row>
    <x:row r="386" ht="58" customHeight="1">
      <x:c r="A386" s="10" t="str">
        <x:v>E0381</x:v>
      </x:c>
      <x:c r="B386" s="10" t="str">
        <x:v>T08.11</x:v>
      </x:c>
      <x:c r="C386" s="10" t="str">
        <x:v>Pension and post-employment accounting</x:v>
      </x:c>
      <x:c r="D386" s="14" t="str">
        <x:v>PART_OF</x:v>
      </x:c>
      <x:c r="E386" s="10" t="str">
        <x:v>D08</x:v>
      </x:c>
      <x:c r="F386" s="10" t="str">
        <x:v>Advanced accounting and reporting</x:v>
      </x:c>
      <x:c r="G386" s="10" t="str">
        <x:v>Curriculum membership. Use this link to move between the topic and its finance area.</x:v>
      </x:c>
      <x:c r="H386" s="10" t="str">
        <x:v>Classification only; this edge is not a causal or calculation relationship.</x:v>
      </x:c>
      <x:c r="I386" s="10" t="str">
        <x:v>Curated curriculum relationship</x:v>
      </x:c>
    </x:row>
    <x:row r="387" ht="58" customHeight="1">
      <x:c r="A387" s="9" t="str">
        <x:v>E0382</x:v>
      </x:c>
      <x:c r="B387" s="9" t="str">
        <x:v>T08.11</x:v>
      </x:c>
      <x:c r="C387" s="9" t="str">
        <x:v>Pension and post-employment accounting</x:v>
      </x:c>
      <x:c r="D387" s="15" t="str">
        <x:v>EXPLORE_WITH</x:v>
      </x:c>
      <x:c r="E387" s="9" t="str">
        <x:v>T08.12</x:v>
      </x:c>
      <x:c r="F387" s="9" t="str">
        <x:v>Deferred tax and tax-loss carryforwards</x:v>
      </x:c>
      <x:c r="G387" s="9" t="str">
        <x:v>Study these together to understand recognition and measurement choices that change reported numbers.</x:v>
      </x:c>
      <x:c r="H387" s="9" t="str">
        <x:v>A topical exploration link, not a claim that one determines the other.</x:v>
      </x:c>
      <x:c r="I387" s="9" t="str">
        <x:v>Curated curriculum relationship</x:v>
      </x:c>
    </x:row>
    <x:row r="388" ht="58" customHeight="1">
      <x:c r="A388" s="10" t="str">
        <x:v>E0383</x:v>
      </x:c>
      <x:c r="B388" s="10" t="str">
        <x:v>T04.15</x:v>
      </x:c>
      <x:c r="C388" s="10" t="str">
        <x:v>Financial reporting frameworks: Ind AS, IFRS, and US GAAP</x:v>
      </x:c>
      <x:c r="D388" s="14" t="str">
        <x:v>RECOMMENDED_BEFORE</x:v>
      </x:c>
      <x:c r="E388" s="10" t="str">
        <x:v>T08.11</x:v>
      </x:c>
      <x:c r="F388" s="10" t="str">
        <x:v>Pension and post-employment accounting</x:v>
      </x:c>
      <x:c r="G388" s="10" t="str">
        <x:v>Suggested starting knowledge: Financial reporting frameworks: Ind AS, IFRS, and US GAAP. It helps you understand recognition and measurement choices that change reported numbers.</x:v>
      </x:c>
      <x:c r="H388" s="10" t="str">
        <x:v>Suggested learning order; learners can still explore freely.</x:v>
      </x:c>
      <x:c r="I388" s="10" t="str">
        <x:v>Curated curriculum relationship</x:v>
      </x:c>
    </x:row>
    <x:row r="389" ht="58" customHeight="1">
      <x:c r="A389" s="9" t="str">
        <x:v>E0384</x:v>
      </x:c>
      <x:c r="B389" s="9" t="str">
        <x:v>T08.12</x:v>
      </x:c>
      <x:c r="C389" s="9" t="str">
        <x:v>Deferred tax and tax-loss carryforwards</x:v>
      </x:c>
      <x:c r="D389" s="15" t="str">
        <x:v>PART_OF</x:v>
      </x:c>
      <x:c r="E389" s="9" t="str">
        <x:v>D08</x:v>
      </x:c>
      <x:c r="F389" s="9" t="str">
        <x:v>Advanced accounting and reporting</x:v>
      </x:c>
      <x:c r="G389" s="9" t="str">
        <x:v>Curriculum membership. Use this link to move between the topic and its finance area.</x:v>
      </x:c>
      <x:c r="H389" s="9" t="str">
        <x:v>Classification only; this edge is not a causal or calculation relationship.</x:v>
      </x:c>
      <x:c r="I389" s="9" t="str">
        <x:v>Curated curriculum relationship</x:v>
      </x:c>
    </x:row>
    <x:row r="390" ht="58" customHeight="1">
      <x:c r="A390" s="10" t="str">
        <x:v>E0385</x:v>
      </x:c>
      <x:c r="B390" s="10" t="str">
        <x:v>T08.12</x:v>
      </x:c>
      <x:c r="C390" s="10" t="str">
        <x:v>Deferred tax and tax-loss carryforwards</x:v>
      </x:c>
      <x:c r="D390" s="14" t="str">
        <x:v>EXPLORE_WITH</x:v>
      </x:c>
      <x:c r="E390" s="10" t="str">
        <x:v>T08.11</x:v>
      </x:c>
      <x:c r="F390" s="10" t="str">
        <x:v>Pension and post-employment accounting</x:v>
      </x:c>
      <x:c r="G390" s="10" t="str">
        <x:v>Study these together to understand recognition and measurement choices that change reported numbers.</x:v>
      </x:c>
      <x:c r="H390" s="10" t="str">
        <x:v>A topical exploration link, not a claim that one determines the other.</x:v>
      </x:c>
      <x:c r="I390" s="10" t="str">
        <x:v>Curated curriculum relationship</x:v>
      </x:c>
    </x:row>
    <x:row r="391" ht="58" customHeight="1">
      <x:c r="A391" s="9" t="str">
        <x:v>E0386</x:v>
      </x:c>
      <x:c r="B391" s="9" t="str">
        <x:v>T04.15</x:v>
      </x:c>
      <x:c r="C391" s="9" t="str">
        <x:v>Financial reporting frameworks: Ind AS, IFRS, and US GAAP</x:v>
      </x:c>
      <x:c r="D391" s="15" t="str">
        <x:v>RECOMMENDED_BEFORE</x:v>
      </x:c>
      <x:c r="E391" s="9" t="str">
        <x:v>T08.12</x:v>
      </x:c>
      <x:c r="F391" s="9" t="str">
        <x:v>Deferred tax and tax-loss carryforwards</x:v>
      </x:c>
      <x:c r="G391" s="9" t="str">
        <x:v>Suggested starting knowledge: Financial reporting frameworks: Ind AS, IFRS, and US GAAP. It helps you understand recognition and measurement choices that change reported numbers.</x:v>
      </x:c>
      <x:c r="H391" s="9" t="str">
        <x:v>Suggested learning order; learners can still explore freely.</x:v>
      </x:c>
      <x:c r="I391" s="9" t="str">
        <x:v>Curated curriculum relationship</x:v>
      </x:c>
    </x:row>
    <x:row r="392" ht="58" customHeight="1">
      <x:c r="A392" s="10" t="str">
        <x:v>E0387</x:v>
      </x:c>
      <x:c r="B392" s="10" t="str">
        <x:v>T08.13</x:v>
      </x:c>
      <x:c r="C392" s="10" t="str">
        <x:v>Construction and long-term contract accounting</x:v>
      </x:c>
      <x:c r="D392" s="14" t="str">
        <x:v>PART_OF</x:v>
      </x:c>
      <x:c r="E392" s="10" t="str">
        <x:v>D08</x:v>
      </x:c>
      <x:c r="F392" s="10" t="str">
        <x:v>Advanced accounting and reporting</x:v>
      </x:c>
      <x:c r="G392" s="10" t="str">
        <x:v>Curriculum membership. Use this link to move between the topic and its finance area.</x:v>
      </x:c>
      <x:c r="H392" s="10" t="str">
        <x:v>Classification only; this edge is not a causal or calculation relationship.</x:v>
      </x:c>
      <x:c r="I392" s="10" t="str">
        <x:v>Curated curriculum relationship</x:v>
      </x:c>
    </x:row>
    <x:row r="393" ht="58" customHeight="1">
      <x:c r="A393" s="9" t="str">
        <x:v>E0388</x:v>
      </x:c>
      <x:c r="B393" s="9" t="str">
        <x:v>T08.13</x:v>
      </x:c>
      <x:c r="C393" s="9" t="str">
        <x:v>Construction and long-term contract accounting</x:v>
      </x:c>
      <x:c r="D393" s="15" t="str">
        <x:v>EXPLORE_WITH</x:v>
      </x:c>
      <x:c r="E393" s="9" t="str">
        <x:v>T08.04</x:v>
      </x:c>
      <x:c r="F393" s="9" t="str">
        <x:v>Consolidation and intercompany eliminations</x:v>
      </x:c>
      <x:c r="G393" s="9" t="str">
        <x:v>Study these together to understand recognition and measurement choices that change reported numbers.</x:v>
      </x:c>
      <x:c r="H393" s="9" t="str">
        <x:v>A topical exploration link, not a claim that one determines the other.</x:v>
      </x:c>
      <x:c r="I393" s="9" t="str">
        <x:v>Curated curriculum relationship</x:v>
      </x:c>
    </x:row>
    <x:row r="394" ht="58" customHeight="1">
      <x:c r="A394" s="10" t="str">
        <x:v>E0389</x:v>
      </x:c>
      <x:c r="B394" s="10" t="str">
        <x:v>T04.15</x:v>
      </x:c>
      <x:c r="C394" s="10" t="str">
        <x:v>Financial reporting frameworks: Ind AS, IFRS, and US GAAP</x:v>
      </x:c>
      <x:c r="D394" s="14" t="str">
        <x:v>RECOMMENDED_BEFORE</x:v>
      </x:c>
      <x:c r="E394" s="10" t="str">
        <x:v>T08.13</x:v>
      </x:c>
      <x:c r="F394" s="10" t="str">
        <x:v>Construction and long-term contract accounting</x:v>
      </x:c>
      <x:c r="G394" s="10" t="str">
        <x:v>Suggested starting knowledge: Financial reporting frameworks: Ind AS, IFRS, and US GAAP. It helps you understand recognition and measurement choices that change reported numbers.</x:v>
      </x:c>
      <x:c r="H394" s="10" t="str">
        <x:v>Suggested learning order; learners can still explore freely.</x:v>
      </x:c>
      <x:c r="I394" s="10" t="str">
        <x:v>Curated curriculum relationship</x:v>
      </x:c>
    </x:row>
    <x:row r="395" ht="58" customHeight="1">
      <x:c r="A395" s="9" t="str">
        <x:v>E0390</x:v>
      </x:c>
      <x:c r="B395" s="9" t="str">
        <x:v>T08.14</x:v>
      </x:c>
      <x:c r="C395" s="9" t="str">
        <x:v>Securitisation and derecognition</x:v>
      </x:c>
      <x:c r="D395" s="15" t="str">
        <x:v>PART_OF</x:v>
      </x:c>
      <x:c r="E395" s="9" t="str">
        <x:v>D08</x:v>
      </x:c>
      <x:c r="F395" s="9" t="str">
        <x:v>Advanced accounting and reporting</x:v>
      </x:c>
      <x:c r="G395" s="9" t="str">
        <x:v>Curriculum membership. Use this link to move between the topic and its finance area.</x:v>
      </x:c>
      <x:c r="H395" s="9" t="str">
        <x:v>Classification only; this edge is not a causal or calculation relationship.</x:v>
      </x:c>
      <x:c r="I395" s="9" t="str">
        <x:v>Curated curriculum relationship</x:v>
      </x:c>
    </x:row>
    <x:row r="396" ht="58" customHeight="1">
      <x:c r="A396" s="10" t="str">
        <x:v>E0391</x:v>
      </x:c>
      <x:c r="B396" s="10" t="str">
        <x:v>T08.14</x:v>
      </x:c>
      <x:c r="C396" s="10" t="str">
        <x:v>Securitisation and derecognition</x:v>
      </x:c>
      <x:c r="D396" s="14" t="str">
        <x:v>EXPLORE_WITH</x:v>
      </x:c>
      <x:c r="E396" s="10" t="str">
        <x:v>T08.07</x:v>
      </x:c>
      <x:c r="F396" s="10" t="str">
        <x:v>Financial instrument classification and measurement</x:v>
      </x:c>
      <x:c r="G396" s="10" t="str">
        <x:v>Study these together to understand recognition and measurement choices that change reported numbers.</x:v>
      </x:c>
      <x:c r="H396" s="10" t="str">
        <x:v>A topical exploration link, not a claim that one determines the other.</x:v>
      </x:c>
      <x:c r="I396" s="10" t="str">
        <x:v>Curated curriculum relationship</x:v>
      </x:c>
    </x:row>
    <x:row r="397" ht="58" customHeight="1">
      <x:c r="A397" s="9" t="str">
        <x:v>E0392</x:v>
      </x:c>
      <x:c r="B397" s="9" t="str">
        <x:v>T04.15</x:v>
      </x:c>
      <x:c r="C397" s="9" t="str">
        <x:v>Financial reporting frameworks: Ind AS, IFRS, and US GAAP</x:v>
      </x:c>
      <x:c r="D397" s="15" t="str">
        <x:v>RECOMMENDED_BEFORE</x:v>
      </x:c>
      <x:c r="E397" s="9" t="str">
        <x:v>T08.14</x:v>
      </x:c>
      <x:c r="F397" s="9" t="str">
        <x:v>Securitisation and derecognition</x:v>
      </x:c>
      <x:c r="G397" s="9" t="str">
        <x:v>Suggested starting knowledge: Financial reporting frameworks: Ind AS, IFRS, and US GAAP. It helps you understand recognition and measurement choices that change reported numbers.</x:v>
      </x:c>
      <x:c r="H397" s="9" t="str">
        <x:v>Suggested learning order; learners can still explore freely.</x:v>
      </x:c>
      <x:c r="I397" s="9" t="str">
        <x:v>Curated curriculum relationship</x:v>
      </x:c>
    </x:row>
    <x:row r="398" ht="58" customHeight="1">
      <x:c r="A398" s="10" t="str">
        <x:v>E0393</x:v>
      </x:c>
      <x:c r="B398" s="10" t="str">
        <x:v>T08.15</x:v>
      </x:c>
      <x:c r="C398" s="10" t="str">
        <x:v>Related-party transactions</x:v>
      </x:c>
      <x:c r="D398" s="14" t="str">
        <x:v>PART_OF</x:v>
      </x:c>
      <x:c r="E398" s="10" t="str">
        <x:v>D08</x:v>
      </x:c>
      <x:c r="F398" s="10" t="str">
        <x:v>Advanced accounting and reporting</x:v>
      </x:c>
      <x:c r="G398" s="10" t="str">
        <x:v>Curriculum membership. Use this link to move between the topic and its finance area.</x:v>
      </x:c>
      <x:c r="H398" s="10" t="str">
        <x:v>Classification only; this edge is not a causal or calculation relationship.</x:v>
      </x:c>
      <x:c r="I398" s="10" t="str">
        <x:v>Curated curriculum relationship</x:v>
      </x:c>
    </x:row>
    <x:row r="399" ht="58" customHeight="1">
      <x:c r="A399" s="9" t="str">
        <x:v>E0394</x:v>
      </x:c>
      <x:c r="B399" s="9" t="str">
        <x:v>T08.15</x:v>
      </x:c>
      <x:c r="C399" s="9" t="str">
        <x:v>Related-party transactions</x:v>
      </x:c>
      <x:c r="D399" s="15" t="str">
        <x:v>EXPLORE_WITH</x:v>
      </x:c>
      <x:c r="E399" s="9" t="str">
        <x:v>T08.04</x:v>
      </x:c>
      <x:c r="F399" s="9" t="str">
        <x:v>Consolidation and intercompany eliminations</x:v>
      </x:c>
      <x:c r="G399" s="9" t="str">
        <x:v>Study these together to understand recognition and measurement choices that change reported numbers.</x:v>
      </x:c>
      <x:c r="H399" s="9" t="str">
        <x:v>A topical exploration link, not a claim that one determines the other.</x:v>
      </x:c>
      <x:c r="I399" s="9" t="str">
        <x:v>Curated curriculum relationship</x:v>
      </x:c>
    </x:row>
    <x:row r="400" ht="58" customHeight="1">
      <x:c r="A400" s="10" t="str">
        <x:v>E0395</x:v>
      </x:c>
      <x:c r="B400" s="10" t="str">
        <x:v>T04.15</x:v>
      </x:c>
      <x:c r="C400" s="10" t="str">
        <x:v>Financial reporting frameworks: Ind AS, IFRS, and US GAAP</x:v>
      </x:c>
      <x:c r="D400" s="14" t="str">
        <x:v>RECOMMENDED_BEFORE</x:v>
      </x:c>
      <x:c r="E400" s="10" t="str">
        <x:v>T08.15</x:v>
      </x:c>
      <x:c r="F400" s="10" t="str">
        <x:v>Related-party transactions</x:v>
      </x:c>
      <x:c r="G400" s="10" t="str">
        <x:v>Suggested starting knowledge: Financial reporting frameworks: Ind AS, IFRS, and US GAAP. It helps you understand recognition and measurement choices that change reported numbers.</x:v>
      </x:c>
      <x:c r="H400" s="10" t="str">
        <x:v>Suggested learning order; learners can still explore freely.</x:v>
      </x:c>
      <x:c r="I400" s="10" t="str">
        <x:v>Curated curriculum relationship</x:v>
      </x:c>
    </x:row>
    <x:row r="401" ht="58" customHeight="1">
      <x:c r="A401" s="9" t="str">
        <x:v>E0396</x:v>
      </x:c>
      <x:c r="B401" s="9" t="str">
        <x:v>T08.16</x:v>
      </x:c>
      <x:c r="C401" s="9" t="str">
        <x:v>Accounting for restructuring, disposals, and discontinued operations</x:v>
      </x:c>
      <x:c r="D401" s="15" t="str">
        <x:v>PART_OF</x:v>
      </x:c>
      <x:c r="E401" s="9" t="str">
        <x:v>D08</x:v>
      </x:c>
      <x:c r="F401" s="9" t="str">
        <x:v>Advanced accounting and reporting</x:v>
      </x:c>
      <x:c r="G401" s="9" t="str">
        <x:v>Curriculum membership. Use this link to move between the topic and its finance area.</x:v>
      </x:c>
      <x:c r="H401" s="9" t="str">
        <x:v>Classification only; this edge is not a causal or calculation relationship.</x:v>
      </x:c>
      <x:c r="I401" s="9" t="str">
        <x:v>Curated curriculum relationship</x:v>
      </x:c>
    </x:row>
    <x:row r="402" ht="58" customHeight="1">
      <x:c r="A402" s="10" t="str">
        <x:v>E0397</x:v>
      </x:c>
      <x:c r="B402" s="10" t="str">
        <x:v>T08.16</x:v>
      </x:c>
      <x:c r="C402" s="10" t="str">
        <x:v>Accounting for restructuring, disposals, and discontinued operations</x:v>
      </x:c>
      <x:c r="D402" s="14" t="str">
        <x:v>EXPLORE_WITH</x:v>
      </x:c>
      <x:c r="E402" s="10" t="str">
        <x:v>T08.01</x:v>
      </x:c>
      <x:c r="F402" s="10" t="str">
        <x:v>Business combinations and purchase-price allocation</x:v>
      </x:c>
      <x:c r="G402" s="10" t="str">
        <x:v>Study these together to understand recognition and measurement choices that change reported numbers.</x:v>
      </x:c>
      <x:c r="H402" s="10" t="str">
        <x:v>A topical exploration link, not a claim that one determines the other.</x:v>
      </x:c>
      <x:c r="I402" s="10" t="str">
        <x:v>Curated curriculum relationship</x:v>
      </x:c>
    </x:row>
    <x:row r="403" ht="58" customHeight="1">
      <x:c r="A403" s="9" t="str">
        <x:v>E0398</x:v>
      </x:c>
      <x:c r="B403" s="9" t="str">
        <x:v>T04.15</x:v>
      </x:c>
      <x:c r="C403" s="9" t="str">
        <x:v>Financial reporting frameworks: Ind AS, IFRS, and US GAAP</x:v>
      </x:c>
      <x:c r="D403" s="15" t="str">
        <x:v>RECOMMENDED_BEFORE</x:v>
      </x:c>
      <x:c r="E403" s="9" t="str">
        <x:v>T08.16</x:v>
      </x:c>
      <x:c r="F403" s="9" t="str">
        <x:v>Accounting for restructuring, disposals, and discontinued operations</x:v>
      </x:c>
      <x:c r="G403" s="9" t="str">
        <x:v>Suggested starting knowledge: Financial reporting frameworks: Ind AS, IFRS, and US GAAP. It helps you understand recognition and measurement choices that change reported numbers.</x:v>
      </x:c>
      <x:c r="H403" s="9" t="str">
        <x:v>Suggested learning order; learners can still explore freely.</x:v>
      </x:c>
      <x:c r="I403" s="9" t="str">
        <x:v>Curated curriculum relationship</x:v>
      </x:c>
    </x:row>
    <x:row r="404" ht="58" customHeight="1">
      <x:c r="A404" s="10" t="str">
        <x:v>E0399</x:v>
      </x:c>
      <x:c r="B404" s="10" t="str">
        <x:v>T09.01</x:v>
      </x:c>
      <x:c r="C404" s="10" t="str">
        <x:v>Common-size statements</x:v>
      </x:c>
      <x:c r="D404" s="14" t="str">
        <x:v>PART_OF</x:v>
      </x:c>
      <x:c r="E404" s="10" t="str">
        <x:v>D09</x:v>
      </x:c>
      <x:c r="F404" s="10" t="str">
        <x:v>Financial statement analysis</x:v>
      </x:c>
      <x:c r="G404" s="10" t="str">
        <x:v>Curriculum membership. Use this link to move between the topic and its finance area.</x:v>
      </x:c>
      <x:c r="H404" s="10" t="str">
        <x:v>Classification only; this edge is not a causal or calculation relationship.</x:v>
      </x:c>
      <x:c r="I404" s="10" t="str">
        <x:v>Curated curriculum relationship</x:v>
      </x:c>
    </x:row>
    <x:row r="405" ht="58" customHeight="1">
      <x:c r="A405" s="9" t="str">
        <x:v>E0400</x:v>
      </x:c>
      <x:c r="B405" s="9" t="str">
        <x:v>T09.01</x:v>
      </x:c>
      <x:c r="C405" s="9" t="str">
        <x:v>Common-size statements</x:v>
      </x:c>
      <x:c r="D405" s="15" t="str">
        <x:v>EXPLORE_WITH</x:v>
      </x:c>
      <x:c r="E405" s="9" t="str">
        <x:v>T09.02</x:v>
      </x:c>
      <x:c r="F405" s="9" t="str">
        <x:v>Horizontal and vertical analysis</x:v>
      </x:c>
      <x:c r="G405" s="9" t="str">
        <x:v>Study these together to interpret performance using consistent denominators, periods and peer context.</x:v>
      </x:c>
      <x:c r="H405" s="9" t="str">
        <x:v>A topical exploration link, not a claim that one determines the other.</x:v>
      </x:c>
      <x:c r="I405" s="9" t="str">
        <x:v>Curated curriculum relationship</x:v>
      </x:c>
    </x:row>
    <x:row r="406" ht="58" customHeight="1">
      <x:c r="A406" s="10" t="str">
        <x:v>E0401</x:v>
      </x:c>
      <x:c r="B406" s="10" t="str">
        <x:v>T02.02</x:v>
      </x:c>
      <x:c r="C406" s="10" t="str">
        <x:v>Ratios, proportions, weighted averages, and index numbers</x:v>
      </x:c>
      <x:c r="D406" s="14" t="str">
        <x:v>RECOMMENDED_BEFORE</x:v>
      </x:c>
      <x:c r="E406" s="10" t="str">
        <x:v>T09.01</x:v>
      </x:c>
      <x:c r="F406" s="10" t="str">
        <x:v>Common-size statements</x:v>
      </x:c>
      <x:c r="G406" s="10" t="str">
        <x:v>Suggested starting knowledge: Ratios, proportions, weighted averages, and index numbers. It helps you interpret performance using consistent denominators, periods and peer context.</x:v>
      </x:c>
      <x:c r="H406" s="10" t="str">
        <x:v>Suggested learning order; learners can still explore freely.</x:v>
      </x:c>
      <x:c r="I406" s="10" t="str">
        <x:v>Curated curriculum relationship</x:v>
      </x:c>
    </x:row>
    <x:row r="407" ht="58" customHeight="1">
      <x:c r="A407" s="9" t="str">
        <x:v>E0402</x:v>
      </x:c>
      <x:c r="B407" s="9" t="str">
        <x:v>T09.02</x:v>
      </x:c>
      <x:c r="C407" s="9" t="str">
        <x:v>Horizontal and vertical analysis</x:v>
      </x:c>
      <x:c r="D407" s="15" t="str">
        <x:v>PART_OF</x:v>
      </x:c>
      <x:c r="E407" s="9" t="str">
        <x:v>D09</x:v>
      </x:c>
      <x:c r="F407" s="9" t="str">
        <x:v>Financial statement analysis</x:v>
      </x:c>
      <x:c r="G407" s="9" t="str">
        <x:v>Curriculum membership. Use this link to move between the topic and its finance area.</x:v>
      </x:c>
      <x:c r="H407" s="9" t="str">
        <x:v>Classification only; this edge is not a causal or calculation relationship.</x:v>
      </x:c>
      <x:c r="I407" s="9" t="str">
        <x:v>Curated curriculum relationship</x:v>
      </x:c>
    </x:row>
    <x:row r="408" ht="58" customHeight="1">
      <x:c r="A408" s="10" t="str">
        <x:v>E0403</x:v>
      </x:c>
      <x:c r="B408" s="10" t="str">
        <x:v>T09.02</x:v>
      </x:c>
      <x:c r="C408" s="10" t="str">
        <x:v>Horizontal and vertical analysis</x:v>
      </x:c>
      <x:c r="D408" s="14" t="str">
        <x:v>EXPLORE_WITH</x:v>
      </x:c>
      <x:c r="E408" s="10" t="str">
        <x:v>T09.01</x:v>
      </x:c>
      <x:c r="F408" s="10" t="str">
        <x:v>Common-size statements</x:v>
      </x:c>
      <x:c r="G408" s="10" t="str">
        <x:v>Study these together to interpret performance using consistent denominators, periods and peer context.</x:v>
      </x:c>
      <x:c r="H408" s="10" t="str">
        <x:v>A topical exploration link, not a claim that one determines the other.</x:v>
      </x:c>
      <x:c r="I408" s="10" t="str">
        <x:v>Curated curriculum relationship</x:v>
      </x:c>
    </x:row>
    <x:row r="409" ht="58" customHeight="1">
      <x:c r="A409" s="9" t="str">
        <x:v>E0404</x:v>
      </x:c>
      <x:c r="B409" s="9" t="str">
        <x:v>T02.02</x:v>
      </x:c>
      <x:c r="C409" s="9" t="str">
        <x:v>Ratios, proportions, weighted averages, and index numbers</x:v>
      </x:c>
      <x:c r="D409" s="15" t="str">
        <x:v>RECOMMENDED_BEFORE</x:v>
      </x:c>
      <x:c r="E409" s="9" t="str">
        <x:v>T09.02</x:v>
      </x:c>
      <x:c r="F409" s="9" t="str">
        <x:v>Horizontal and vertical analysis</x:v>
      </x:c>
      <x:c r="G409" s="9" t="str">
        <x:v>Suggested starting knowledge: Ratios, proportions, weighted averages, and index numbers. It helps you interpret performance using consistent denominators, periods and peer context.</x:v>
      </x:c>
      <x:c r="H409" s="9" t="str">
        <x:v>Suggested learning order; learners can still explore freely.</x:v>
      </x:c>
      <x:c r="I409" s="9" t="str">
        <x:v>Curated curriculum relationship</x:v>
      </x:c>
    </x:row>
    <x:row r="410" ht="58" customHeight="1">
      <x:c r="A410" s="10" t="str">
        <x:v>E0405</x:v>
      </x:c>
      <x:c r="B410" s="10" t="str">
        <x:v>T09.03</x:v>
      </x:c>
      <x:c r="C410" s="10" t="str">
        <x:v>Growth analysis and trend analysis</x:v>
      </x:c>
      <x:c r="D410" s="14" t="str">
        <x:v>PART_OF</x:v>
      </x:c>
      <x:c r="E410" s="10" t="str">
        <x:v>D09</x:v>
      </x:c>
      <x:c r="F410" s="10" t="str">
        <x:v>Financial statement analysis</x:v>
      </x:c>
      <x:c r="G410" s="10" t="str">
        <x:v>Curriculum membership. Use this link to move between the topic and its finance area.</x:v>
      </x:c>
      <x:c r="H410" s="10" t="str">
        <x:v>Classification only; this edge is not a causal or calculation relationship.</x:v>
      </x:c>
      <x:c r="I410" s="10" t="str">
        <x:v>Curated curriculum relationship</x:v>
      </x:c>
    </x:row>
    <x:row r="411" ht="58" customHeight="1">
      <x:c r="A411" s="9" t="str">
        <x:v>E0406</x:v>
      </x:c>
      <x:c r="B411" s="9" t="str">
        <x:v>T09.03</x:v>
      </x:c>
      <x:c r="C411" s="9" t="str">
        <x:v>Growth analysis and trend analysis</x:v>
      </x:c>
      <x:c r="D411" s="15" t="str">
        <x:v>EXPLORE_WITH</x:v>
      </x:c>
      <x:c r="E411" s="9" t="str">
        <x:v>T09.17</x:v>
      </x:c>
      <x:c r="F411" s="9" t="str">
        <x:v>Seasonality, cyclicality, and base effects</x:v>
      </x:c>
      <x:c r="G411" s="9" t="str">
        <x:v>Study these together to interpret performance using consistent denominators, periods and peer context.</x:v>
      </x:c>
      <x:c r="H411" s="9" t="str">
        <x:v>A topical exploration link, not a claim that one determines the other.</x:v>
      </x:c>
      <x:c r="I411" s="9" t="str">
        <x:v>Curated curriculum relationship</x:v>
      </x:c>
    </x:row>
    <x:row r="412" ht="58" customHeight="1">
      <x:c r="A412" s="10" t="str">
        <x:v>E0407</x:v>
      </x:c>
      <x:c r="B412" s="10" t="str">
        <x:v>T02.02</x:v>
      </x:c>
      <x:c r="C412" s="10" t="str">
        <x:v>Ratios, proportions, weighted averages, and index numbers</x:v>
      </x:c>
      <x:c r="D412" s="14" t="str">
        <x:v>RECOMMENDED_BEFORE</x:v>
      </x:c>
      <x:c r="E412" s="10" t="str">
        <x:v>T09.03</x:v>
      </x:c>
      <x:c r="F412" s="10" t="str">
        <x:v>Growth analysis and trend analysis</x:v>
      </x:c>
      <x:c r="G412" s="10" t="str">
        <x:v>Suggested starting knowledge: Ratios, proportions, weighted averages, and index numbers. It helps you interpret performance using consistent denominators, periods and peer context.</x:v>
      </x:c>
      <x:c r="H412" s="10" t="str">
        <x:v>Suggested learning order; learners can still explore freely.</x:v>
      </x:c>
      <x:c r="I412" s="10" t="str">
        <x:v>Curated curriculum relationship</x:v>
      </x:c>
    </x:row>
    <x:row r="413" ht="58" customHeight="1">
      <x:c r="A413" s="9" t="str">
        <x:v>E0408</x:v>
      </x:c>
      <x:c r="B413" s="9" t="str">
        <x:v>T09.04</x:v>
      </x:c>
      <x:c r="C413" s="9" t="str">
        <x:v>Liquidity ratios</x:v>
      </x:c>
      <x:c r="D413" s="15" t="str">
        <x:v>PART_OF</x:v>
      </x:c>
      <x:c r="E413" s="9" t="str">
        <x:v>D09</x:v>
      </x:c>
      <x:c r="F413" s="9" t="str">
        <x:v>Financial statement analysis</x:v>
      </x:c>
      <x:c r="G413" s="9" t="str">
        <x:v>Curriculum membership. Use this link to move between the topic and its finance area.</x:v>
      </x:c>
      <x:c r="H413" s="9" t="str">
        <x:v>Classification only; this edge is not a causal or calculation relationship.</x:v>
      </x:c>
      <x:c r="I413" s="9" t="str">
        <x:v>Curated curriculum relationship</x:v>
      </x:c>
    </x:row>
    <x:row r="414" ht="58" customHeight="1">
      <x:c r="A414" s="10" t="str">
        <x:v>E0409</x:v>
      </x:c>
      <x:c r="B414" s="10" t="str">
        <x:v>T09.04</x:v>
      </x:c>
      <x:c r="C414" s="10" t="str">
        <x:v>Liquidity ratios</x:v>
      </x:c>
      <x:c r="D414" s="14" t="str">
        <x:v>EXPLORE_WITH</x:v>
      </x:c>
      <x:c r="E414" s="10" t="str">
        <x:v>T09.07</x:v>
      </x:c>
      <x:c r="F414" s="10" t="str">
        <x:v>Leverage, coverage, and solvency ratios</x:v>
      </x:c>
      <x:c r="G414" s="10" t="str">
        <x:v>Study these together to interpret performance using consistent denominators, periods and peer context.</x:v>
      </x:c>
      <x:c r="H414" s="10" t="str">
        <x:v>A topical exploration link, not a claim that one determines the other.</x:v>
      </x:c>
      <x:c r="I414" s="10" t="str">
        <x:v>Curated curriculum relationship</x:v>
      </x:c>
    </x:row>
    <x:row r="415" ht="58" customHeight="1">
      <x:c r="A415" s="9" t="str">
        <x:v>E0410</x:v>
      </x:c>
      <x:c r="B415" s="9" t="str">
        <x:v>T02.02</x:v>
      </x:c>
      <x:c r="C415" s="9" t="str">
        <x:v>Ratios, proportions, weighted averages, and index numbers</x:v>
      </x:c>
      <x:c r="D415" s="15" t="str">
        <x:v>RECOMMENDED_BEFORE</x:v>
      </x:c>
      <x:c r="E415" s="9" t="str">
        <x:v>T09.04</x:v>
      </x:c>
      <x:c r="F415" s="9" t="str">
        <x:v>Liquidity ratios</x:v>
      </x:c>
      <x:c r="G415" s="9" t="str">
        <x:v>Suggested starting knowledge: Ratios, proportions, weighted averages, and index numbers. It helps you interpret performance using consistent denominators, periods and peer context.</x:v>
      </x:c>
      <x:c r="H415" s="9" t="str">
        <x:v>Suggested learning order; learners can still explore freely.</x:v>
      </x:c>
      <x:c r="I415" s="9" t="str">
        <x:v>Curated curriculum relationship</x:v>
      </x:c>
    </x:row>
    <x:row r="416" ht="58" customHeight="1">
      <x:c r="A416" s="10" t="str">
        <x:v>E0411</x:v>
      </x:c>
      <x:c r="B416" s="10" t="str">
        <x:v>T09.05</x:v>
      </x:c>
      <x:c r="C416" s="10" t="str">
        <x:v>Profitability and margin ratios</x:v>
      </x:c>
      <x:c r="D416" s="14" t="str">
        <x:v>PART_OF</x:v>
      </x:c>
      <x:c r="E416" s="10" t="str">
        <x:v>D09</x:v>
      </x:c>
      <x:c r="F416" s="10" t="str">
        <x:v>Financial statement analysis</x:v>
      </x:c>
      <x:c r="G416" s="10" t="str">
        <x:v>Curriculum membership. Use this link to move between the topic and its finance area.</x:v>
      </x:c>
      <x:c r="H416" s="10" t="str">
        <x:v>Classification only; this edge is not a causal or calculation relationship.</x:v>
      </x:c>
      <x:c r="I416" s="10" t="str">
        <x:v>Curated curriculum relationship</x:v>
      </x:c>
    </x:row>
    <x:row r="417" ht="58" customHeight="1">
      <x:c r="A417" s="9" t="str">
        <x:v>E0412</x:v>
      </x:c>
      <x:c r="B417" s="9" t="str">
        <x:v>T09.05</x:v>
      </x:c>
      <x:c r="C417" s="9" t="str">
        <x:v>Profitability and margin ratios</x:v>
      </x:c>
      <x:c r="D417" s="15" t="str">
        <x:v>EXPLORE_WITH</x:v>
      </x:c>
      <x:c r="E417" s="9" t="str">
        <x:v>T09.08</x:v>
      </x:c>
      <x:c r="F417" s="9" t="str">
        <x:v>ROA, ROE, ROCE, and ROIC</x:v>
      </x:c>
      <x:c r="G417" s="9" t="str">
        <x:v>Study these together to interpret performance using consistent denominators, periods and peer context.</x:v>
      </x:c>
      <x:c r="H417" s="9" t="str">
        <x:v>A topical exploration link, not a claim that one determines the other.</x:v>
      </x:c>
      <x:c r="I417" s="9" t="str">
        <x:v>Curated curriculum relationship</x:v>
      </x:c>
    </x:row>
    <x:row r="418" ht="58" customHeight="1">
      <x:c r="A418" s="10" t="str">
        <x:v>E0413</x:v>
      </x:c>
      <x:c r="B418" s="10" t="str">
        <x:v>T02.02</x:v>
      </x:c>
      <x:c r="C418" s="10" t="str">
        <x:v>Ratios, proportions, weighted averages, and index numbers</x:v>
      </x:c>
      <x:c r="D418" s="14" t="str">
        <x:v>RECOMMENDED_BEFORE</x:v>
      </x:c>
      <x:c r="E418" s="10" t="str">
        <x:v>T09.05</x:v>
      </x:c>
      <x:c r="F418" s="10" t="str">
        <x:v>Profitability and margin ratios</x:v>
      </x:c>
      <x:c r="G418" s="10" t="str">
        <x:v>Suggested starting knowledge: Ratios, proportions, weighted averages, and index numbers. It helps you interpret performance using consistent denominators, periods and peer context.</x:v>
      </x:c>
      <x:c r="H418" s="10" t="str">
        <x:v>Suggested learning order; learners can still explore freely.</x:v>
      </x:c>
      <x:c r="I418" s="10" t="str">
        <x:v>Curated curriculum relationship</x:v>
      </x:c>
    </x:row>
    <x:row r="419" ht="58" customHeight="1">
      <x:c r="A419" s="9" t="str">
        <x:v>E0414</x:v>
      </x:c>
      <x:c r="B419" s="9" t="str">
        <x:v>T09.06</x:v>
      </x:c>
      <x:c r="C419" s="9" t="str">
        <x:v>Efficiency and asset-turnover ratios</x:v>
      </x:c>
      <x:c r="D419" s="15" t="str">
        <x:v>PART_OF</x:v>
      </x:c>
      <x:c r="E419" s="9" t="str">
        <x:v>D09</x:v>
      </x:c>
      <x:c r="F419" s="9" t="str">
        <x:v>Financial statement analysis</x:v>
      </x:c>
      <x:c r="G419" s="9" t="str">
        <x:v>Curriculum membership. Use this link to move between the topic and its finance area.</x:v>
      </x:c>
      <x:c r="H419" s="9" t="str">
        <x:v>Classification only; this edge is not a causal or calculation relationship.</x:v>
      </x:c>
      <x:c r="I419" s="9" t="str">
        <x:v>Curated curriculum relationship</x:v>
      </x:c>
    </x:row>
    <x:row r="420" ht="58" customHeight="1">
      <x:c r="A420" s="10" t="str">
        <x:v>E0415</x:v>
      </x:c>
      <x:c r="B420" s="10" t="str">
        <x:v>T09.06</x:v>
      </x:c>
      <x:c r="C420" s="10" t="str">
        <x:v>Efficiency and asset-turnover ratios</x:v>
      </x:c>
      <x:c r="D420" s="14" t="str">
        <x:v>EXPLORE_WITH</x:v>
      </x:c>
      <x:c r="E420" s="10" t="str">
        <x:v>T09.08</x:v>
      </x:c>
      <x:c r="F420" s="10" t="str">
        <x:v>ROA, ROE, ROCE, and ROIC</x:v>
      </x:c>
      <x:c r="G420" s="10" t="str">
        <x:v>Study these together to interpret performance using consistent denominators, periods and peer context.</x:v>
      </x:c>
      <x:c r="H420" s="10" t="str">
        <x:v>A topical exploration link, not a claim that one determines the other.</x:v>
      </x:c>
      <x:c r="I420" s="10" t="str">
        <x:v>Curated curriculum relationship</x:v>
      </x:c>
    </x:row>
    <x:row r="421" ht="58" customHeight="1">
      <x:c r="A421" s="9" t="str">
        <x:v>E0416</x:v>
      </x:c>
      <x:c r="B421" s="9" t="str">
        <x:v>T02.02</x:v>
      </x:c>
      <x:c r="C421" s="9" t="str">
        <x:v>Ratios, proportions, weighted averages, and index numbers</x:v>
      </x:c>
      <x:c r="D421" s="15" t="str">
        <x:v>RECOMMENDED_BEFORE</x:v>
      </x:c>
      <x:c r="E421" s="9" t="str">
        <x:v>T09.06</x:v>
      </x:c>
      <x:c r="F421" s="9" t="str">
        <x:v>Efficiency and asset-turnover ratios</x:v>
      </x:c>
      <x:c r="G421" s="9" t="str">
        <x:v>Suggested starting knowledge: Ratios, proportions, weighted averages, and index numbers. It helps you interpret performance using consistent denominators, periods and peer context.</x:v>
      </x:c>
      <x:c r="H421" s="9" t="str">
        <x:v>Suggested learning order; learners can still explore freely.</x:v>
      </x:c>
      <x:c r="I421" s="9" t="str">
        <x:v>Curated curriculum relationship</x:v>
      </x:c>
    </x:row>
    <x:row r="422" ht="58" customHeight="1">
      <x:c r="A422" s="10" t="str">
        <x:v>E0417</x:v>
      </x:c>
      <x:c r="B422" s="10" t="str">
        <x:v>T09.07</x:v>
      </x:c>
      <x:c r="C422" s="10" t="str">
        <x:v>Leverage, coverage, and solvency ratios</x:v>
      </x:c>
      <x:c r="D422" s="14" t="str">
        <x:v>PART_OF</x:v>
      </x:c>
      <x:c r="E422" s="10" t="str">
        <x:v>D09</x:v>
      </x:c>
      <x:c r="F422" s="10" t="str">
        <x:v>Financial statement analysis</x:v>
      </x:c>
      <x:c r="G422" s="10" t="str">
        <x:v>Curriculum membership. Use this link to move between the topic and its finance area.</x:v>
      </x:c>
      <x:c r="H422" s="10" t="str">
        <x:v>Classification only; this edge is not a causal or calculation relationship.</x:v>
      </x:c>
      <x:c r="I422" s="10" t="str">
        <x:v>Curated curriculum relationship</x:v>
      </x:c>
    </x:row>
    <x:row r="423" ht="58" customHeight="1">
      <x:c r="A423" s="9" t="str">
        <x:v>E0418</x:v>
      </x:c>
      <x:c r="B423" s="9" t="str">
        <x:v>T09.07</x:v>
      </x:c>
      <x:c r="C423" s="9" t="str">
        <x:v>Leverage, coverage, and solvency ratios</x:v>
      </x:c>
      <x:c r="D423" s="15" t="str">
        <x:v>EXPLORE_WITH</x:v>
      </x:c>
      <x:c r="E423" s="9" t="str">
        <x:v>T09.04</x:v>
      </x:c>
      <x:c r="F423" s="9" t="str">
        <x:v>Liquidity ratios</x:v>
      </x:c>
      <x:c r="G423" s="9" t="str">
        <x:v>Study these together to interpret performance using consistent denominators, periods and peer context.</x:v>
      </x:c>
      <x:c r="H423" s="9" t="str">
        <x:v>A topical exploration link, not a claim that one determines the other.</x:v>
      </x:c>
      <x:c r="I423" s="9" t="str">
        <x:v>Curated curriculum relationship</x:v>
      </x:c>
    </x:row>
    <x:row r="424" ht="58" customHeight="1">
      <x:c r="A424" s="10" t="str">
        <x:v>E0419</x:v>
      </x:c>
      <x:c r="B424" s="10" t="str">
        <x:v>T02.02</x:v>
      </x:c>
      <x:c r="C424" s="10" t="str">
        <x:v>Ratios, proportions, weighted averages, and index numbers</x:v>
      </x:c>
      <x:c r="D424" s="14" t="str">
        <x:v>RECOMMENDED_BEFORE</x:v>
      </x:c>
      <x:c r="E424" s="10" t="str">
        <x:v>T09.07</x:v>
      </x:c>
      <x:c r="F424" s="10" t="str">
        <x:v>Leverage, coverage, and solvency ratios</x:v>
      </x:c>
      <x:c r="G424" s="10" t="str">
        <x:v>Suggested starting knowledge: Ratios, proportions, weighted averages, and index numbers. It helps you interpret performance using consistent denominators, periods and peer context.</x:v>
      </x:c>
      <x:c r="H424" s="10" t="str">
        <x:v>Suggested learning order; learners can still explore freely.</x:v>
      </x:c>
      <x:c r="I424" s="10" t="str">
        <x:v>Curated curriculum relationship</x:v>
      </x:c>
    </x:row>
    <x:row r="425" ht="58" customHeight="1">
      <x:c r="A425" s="9" t="str">
        <x:v>E0420</x:v>
      </x:c>
      <x:c r="B425" s="9" t="str">
        <x:v>T09.08</x:v>
      </x:c>
      <x:c r="C425" s="9" t="str">
        <x:v>ROA, ROE, ROCE, and ROIC</x:v>
      </x:c>
      <x:c r="D425" s="15" t="str">
        <x:v>PART_OF</x:v>
      </x:c>
      <x:c r="E425" s="9" t="str">
        <x:v>D09</x:v>
      </x:c>
      <x:c r="F425" s="9" t="str">
        <x:v>Financial statement analysis</x:v>
      </x:c>
      <x:c r="G425" s="9" t="str">
        <x:v>Curriculum membership. Use this link to move between the topic and its finance area.</x:v>
      </x:c>
      <x:c r="H425" s="9" t="str">
        <x:v>Classification only; this edge is not a causal or calculation relationship.</x:v>
      </x:c>
      <x:c r="I425" s="9" t="str">
        <x:v>Curated curriculum relationship</x:v>
      </x:c>
    </x:row>
    <x:row r="426" ht="58" customHeight="1">
      <x:c r="A426" s="10" t="str">
        <x:v>E0421</x:v>
      </x:c>
      <x:c r="B426" s="10" t="str">
        <x:v>T09.08</x:v>
      </x:c>
      <x:c r="C426" s="10" t="str">
        <x:v>ROA, ROE, ROCE, and ROIC</x:v>
      </x:c>
      <x:c r="D426" s="14" t="str">
        <x:v>EXPLORE_WITH</x:v>
      </x:c>
      <x:c r="E426" s="10" t="str">
        <x:v>T09.09</x:v>
      </x:c>
      <x:c r="F426" s="10" t="str">
        <x:v>DuPont analysis</x:v>
      </x:c>
      <x:c r="G426" s="10" t="str">
        <x:v>Study these together to interpret performance using consistent denominators, periods and peer context.</x:v>
      </x:c>
      <x:c r="H426" s="10" t="str">
        <x:v>A topical exploration link, not a claim that one determines the other.</x:v>
      </x:c>
      <x:c r="I426" s="10" t="str">
        <x:v>Curated curriculum relationship</x:v>
      </x:c>
    </x:row>
    <x:row r="427" ht="58" customHeight="1">
      <x:c r="A427" s="9" t="str">
        <x:v>E0422</x:v>
      </x:c>
      <x:c r="B427" s="9" t="str">
        <x:v>T02.02</x:v>
      </x:c>
      <x:c r="C427" s="9" t="str">
        <x:v>Ratios, proportions, weighted averages, and index numbers</x:v>
      </x:c>
      <x:c r="D427" s="15" t="str">
        <x:v>RECOMMENDED_BEFORE</x:v>
      </x:c>
      <x:c r="E427" s="9" t="str">
        <x:v>T09.08</x:v>
      </x:c>
      <x:c r="F427" s="9" t="str">
        <x:v>ROA, ROE, ROCE, and ROIC</x:v>
      </x:c>
      <x:c r="G427" s="9" t="str">
        <x:v>Suggested starting knowledge: Ratios, proportions, weighted averages, and index numbers. It helps you interpret performance using consistent denominators, periods and peer context.</x:v>
      </x:c>
      <x:c r="H427" s="9" t="str">
        <x:v>Suggested learning order; learners can still explore freely.</x:v>
      </x:c>
      <x:c r="I427" s="9" t="str">
        <x:v>Curated curriculum relationship</x:v>
      </x:c>
    </x:row>
    <x:row r="428" ht="58" customHeight="1">
      <x:c r="A428" s="10" t="str">
        <x:v>E0423</x:v>
      </x:c>
      <x:c r="B428" s="10" t="str">
        <x:v>T09.09</x:v>
      </x:c>
      <x:c r="C428" s="10" t="str">
        <x:v>DuPont analysis</x:v>
      </x:c>
      <x:c r="D428" s="14" t="str">
        <x:v>PART_OF</x:v>
      </x:c>
      <x:c r="E428" s="10" t="str">
        <x:v>D09</x:v>
      </x:c>
      <x:c r="F428" s="10" t="str">
        <x:v>Financial statement analysis</x:v>
      </x:c>
      <x:c r="G428" s="10" t="str">
        <x:v>Curriculum membership. Use this link to move between the topic and its finance area.</x:v>
      </x:c>
      <x:c r="H428" s="10" t="str">
        <x:v>Classification only; this edge is not a causal or calculation relationship.</x:v>
      </x:c>
      <x:c r="I428" s="10" t="str">
        <x:v>Curated curriculum relationship</x:v>
      </x:c>
    </x:row>
    <x:row r="429" ht="58" customHeight="1">
      <x:c r="A429" s="9" t="str">
        <x:v>E0424</x:v>
      </x:c>
      <x:c r="B429" s="9" t="str">
        <x:v>T09.09</x:v>
      </x:c>
      <x:c r="C429" s="9" t="str">
        <x:v>DuPont analysis</x:v>
      </x:c>
      <x:c r="D429" s="15" t="str">
        <x:v>EXPLORE_WITH</x:v>
      </x:c>
      <x:c r="E429" s="9" t="str">
        <x:v>T09.08</x:v>
      </x:c>
      <x:c r="F429" s="9" t="str">
        <x:v>ROA, ROE, ROCE, and ROIC</x:v>
      </x:c>
      <x:c r="G429" s="9" t="str">
        <x:v>Study these together to interpret performance using consistent denominators, periods and peer context.</x:v>
      </x:c>
      <x:c r="H429" s="9" t="str">
        <x:v>A topical exploration link, not a claim that one determines the other.</x:v>
      </x:c>
      <x:c r="I429" s="9" t="str">
        <x:v>Curated curriculum relationship</x:v>
      </x:c>
    </x:row>
    <x:row r="430" ht="58" customHeight="1">
      <x:c r="A430" s="10" t="str">
        <x:v>E0425</x:v>
      </x:c>
      <x:c r="B430" s="10" t="str">
        <x:v>T02.02</x:v>
      </x:c>
      <x:c r="C430" s="10" t="str">
        <x:v>Ratios, proportions, weighted averages, and index numbers</x:v>
      </x:c>
      <x:c r="D430" s="14" t="str">
        <x:v>RECOMMENDED_BEFORE</x:v>
      </x:c>
      <x:c r="E430" s="10" t="str">
        <x:v>T09.09</x:v>
      </x:c>
      <x:c r="F430" s="10" t="str">
        <x:v>DuPont analysis</x:v>
      </x:c>
      <x:c r="G430" s="10" t="str">
        <x:v>Suggested starting knowledge: Ratios, proportions, weighted averages, and index numbers. It helps you interpret performance using consistent denominators, periods and peer context.</x:v>
      </x:c>
      <x:c r="H430" s="10" t="str">
        <x:v>Suggested learning order; learners can still explore freely.</x:v>
      </x:c>
      <x:c r="I430" s="10" t="str">
        <x:v>Curated curriculum relationship</x:v>
      </x:c>
    </x:row>
    <x:row r="431" ht="58" customHeight="1">
      <x:c r="A431" s="9" t="str">
        <x:v>E0426</x:v>
      </x:c>
      <x:c r="B431" s="9" t="str">
        <x:v>T09.10</x:v>
      </x:c>
      <x:c r="C431" s="9" t="str">
        <x:v>Cash conversion and earnings-to-cash conversion</x:v>
      </x:c>
      <x:c r="D431" s="15" t="str">
        <x:v>PART_OF</x:v>
      </x:c>
      <x:c r="E431" s="9" t="str">
        <x:v>D09</x:v>
      </x:c>
      <x:c r="F431" s="9" t="str">
        <x:v>Financial statement analysis</x:v>
      </x:c>
      <x:c r="G431" s="9" t="str">
        <x:v>Curriculum membership. Use this link to move between the topic and its finance area.</x:v>
      </x:c>
      <x:c r="H431" s="9" t="str">
        <x:v>Classification only; this edge is not a causal or calculation relationship.</x:v>
      </x:c>
      <x:c r="I431" s="9" t="str">
        <x:v>Curated curriculum relationship</x:v>
      </x:c>
    </x:row>
    <x:row r="432" ht="58" customHeight="1">
      <x:c r="A432" s="10" t="str">
        <x:v>E0427</x:v>
      </x:c>
      <x:c r="B432" s="10" t="str">
        <x:v>T09.10</x:v>
      </x:c>
      <x:c r="C432" s="10" t="str">
        <x:v>Cash conversion and earnings-to-cash conversion</x:v>
      </x:c>
      <x:c r="D432" s="14" t="str">
        <x:v>EXPLORE_WITH</x:v>
      </x:c>
      <x:c r="E432" s="10" t="str">
        <x:v>T09.04</x:v>
      </x:c>
      <x:c r="F432" s="10" t="str">
        <x:v>Liquidity ratios</x:v>
      </x:c>
      <x:c r="G432" s="10" t="str">
        <x:v>Study these together to interpret performance using consistent denominators, periods and peer context.</x:v>
      </x:c>
      <x:c r="H432" s="10" t="str">
        <x:v>A topical exploration link, not a claim that one determines the other.</x:v>
      </x:c>
      <x:c r="I432" s="10" t="str">
        <x:v>Curated curriculum relationship</x:v>
      </x:c>
    </x:row>
    <x:row r="433" ht="58" customHeight="1">
      <x:c r="A433" s="9" t="str">
        <x:v>E0428</x:v>
      </x:c>
      <x:c r="B433" s="9" t="str">
        <x:v>T02.02</x:v>
      </x:c>
      <x:c r="C433" s="9" t="str">
        <x:v>Ratios, proportions, weighted averages, and index numbers</x:v>
      </x:c>
      <x:c r="D433" s="15" t="str">
        <x:v>RECOMMENDED_BEFORE</x:v>
      </x:c>
      <x:c r="E433" s="9" t="str">
        <x:v>T09.10</x:v>
      </x:c>
      <x:c r="F433" s="9" t="str">
        <x:v>Cash conversion and earnings-to-cash conversion</x:v>
      </x:c>
      <x:c r="G433" s="9" t="str">
        <x:v>Suggested starting knowledge: Ratios, proportions, weighted averages, and index numbers. It helps you interpret performance using consistent denominators, periods and peer context.</x:v>
      </x:c>
      <x:c r="H433" s="9" t="str">
        <x:v>Suggested learning order; learners can still explore freely.</x:v>
      </x:c>
      <x:c r="I433" s="9" t="str">
        <x:v>Curated curriculum relationship</x:v>
      </x:c>
    </x:row>
    <x:row r="434" ht="58" customHeight="1">
      <x:c r="A434" s="10" t="str">
        <x:v>E0429</x:v>
      </x:c>
      <x:c r="B434" s="10" t="str">
        <x:v>T09.11</x:v>
      </x:c>
      <x:c r="C434" s="10" t="str">
        <x:v>Operating leverage and financial leverage</x:v>
      </x:c>
      <x:c r="D434" s="14" t="str">
        <x:v>PART_OF</x:v>
      </x:c>
      <x:c r="E434" s="10" t="str">
        <x:v>D09</x:v>
      </x:c>
      <x:c r="F434" s="10" t="str">
        <x:v>Financial statement analysis</x:v>
      </x:c>
      <x:c r="G434" s="10" t="str">
        <x:v>Curriculum membership. Use this link to move between the topic and its finance area.</x:v>
      </x:c>
      <x:c r="H434" s="10" t="str">
        <x:v>Classification only; this edge is not a causal or calculation relationship.</x:v>
      </x:c>
      <x:c r="I434" s="10" t="str">
        <x:v>Curated curriculum relationship</x:v>
      </x:c>
    </x:row>
    <x:row r="435" ht="58" customHeight="1">
      <x:c r="A435" s="9" t="str">
        <x:v>E0430</x:v>
      </x:c>
      <x:c r="B435" s="9" t="str">
        <x:v>T09.11</x:v>
      </x:c>
      <x:c r="C435" s="9" t="str">
        <x:v>Operating leverage and financial leverage</x:v>
      </x:c>
      <x:c r="D435" s="15" t="str">
        <x:v>EXPLORE_WITH</x:v>
      </x:c>
      <x:c r="E435" s="9" t="str">
        <x:v>T09.07</x:v>
      </x:c>
      <x:c r="F435" s="9" t="str">
        <x:v>Leverage, coverage, and solvency ratios</x:v>
      </x:c>
      <x:c r="G435" s="9" t="str">
        <x:v>Study these together to interpret performance using consistent denominators, periods and peer context.</x:v>
      </x:c>
      <x:c r="H435" s="9" t="str">
        <x:v>A topical exploration link, not a claim that one determines the other.</x:v>
      </x:c>
      <x:c r="I435" s="9" t="str">
        <x:v>Curated curriculum relationship</x:v>
      </x:c>
    </x:row>
    <x:row r="436" ht="58" customHeight="1">
      <x:c r="A436" s="10" t="str">
        <x:v>E0431</x:v>
      </x:c>
      <x:c r="B436" s="10" t="str">
        <x:v>T02.02</x:v>
      </x:c>
      <x:c r="C436" s="10" t="str">
        <x:v>Ratios, proportions, weighted averages, and index numbers</x:v>
      </x:c>
      <x:c r="D436" s="14" t="str">
        <x:v>RECOMMENDED_BEFORE</x:v>
      </x:c>
      <x:c r="E436" s="10" t="str">
        <x:v>T09.11</x:v>
      </x:c>
      <x:c r="F436" s="10" t="str">
        <x:v>Operating leverage and financial leverage</x:v>
      </x:c>
      <x:c r="G436" s="10" t="str">
        <x:v>Suggested starting knowledge: Ratios, proportions, weighted averages, and index numbers. It helps you interpret performance using consistent denominators, periods and peer context.</x:v>
      </x:c>
      <x:c r="H436" s="10" t="str">
        <x:v>Suggested learning order; learners can still explore freely.</x:v>
      </x:c>
      <x:c r="I436" s="10" t="str">
        <x:v>Curated curriculum relationship</x:v>
      </x:c>
    </x:row>
    <x:row r="437" ht="58" customHeight="1">
      <x:c r="A437" s="9" t="str">
        <x:v>E0432</x:v>
      </x:c>
      <x:c r="B437" s="9" t="str">
        <x:v>T09.12</x:v>
      </x:c>
      <x:c r="C437" s="9" t="str">
        <x:v>Sustainable growth and internal growth</x:v>
      </x:c>
      <x:c r="D437" s="15" t="str">
        <x:v>PART_OF</x:v>
      </x:c>
      <x:c r="E437" s="9" t="str">
        <x:v>D09</x:v>
      </x:c>
      <x:c r="F437" s="9" t="str">
        <x:v>Financial statement analysis</x:v>
      </x:c>
      <x:c r="G437" s="9" t="str">
        <x:v>Curriculum membership. Use this link to move between the topic and its finance area.</x:v>
      </x:c>
      <x:c r="H437" s="9" t="str">
        <x:v>Classification only; this edge is not a causal or calculation relationship.</x:v>
      </x:c>
      <x:c r="I437" s="9" t="str">
        <x:v>Curated curriculum relationship</x:v>
      </x:c>
    </x:row>
    <x:row r="438" ht="58" customHeight="1">
      <x:c r="A438" s="10" t="str">
        <x:v>E0433</x:v>
      </x:c>
      <x:c r="B438" s="10" t="str">
        <x:v>T09.12</x:v>
      </x:c>
      <x:c r="C438" s="10" t="str">
        <x:v>Sustainable growth and internal growth</x:v>
      </x:c>
      <x:c r="D438" s="14" t="str">
        <x:v>EXPLORE_WITH</x:v>
      </x:c>
      <x:c r="E438" s="10" t="str">
        <x:v>T09.13</x:v>
      </x:c>
      <x:c r="F438" s="10" t="str">
        <x:v>Incremental returns on capital</x:v>
      </x:c>
      <x:c r="G438" s="10" t="str">
        <x:v>Study these together to interpret performance using consistent denominators, periods and peer context.</x:v>
      </x:c>
      <x:c r="H438" s="10" t="str">
        <x:v>A topical exploration link, not a claim that one determines the other.</x:v>
      </x:c>
      <x:c r="I438" s="10" t="str">
        <x:v>Curated curriculum relationship</x:v>
      </x:c>
    </x:row>
    <x:row r="439" ht="58" customHeight="1">
      <x:c r="A439" s="9" t="str">
        <x:v>E0434</x:v>
      </x:c>
      <x:c r="B439" s="9" t="str">
        <x:v>T02.02</x:v>
      </x:c>
      <x:c r="C439" s="9" t="str">
        <x:v>Ratios, proportions, weighted averages, and index numbers</x:v>
      </x:c>
      <x:c r="D439" s="15" t="str">
        <x:v>RECOMMENDED_BEFORE</x:v>
      </x:c>
      <x:c r="E439" s="9" t="str">
        <x:v>T09.12</x:v>
      </x:c>
      <x:c r="F439" s="9" t="str">
        <x:v>Sustainable growth and internal growth</x:v>
      </x:c>
      <x:c r="G439" s="9" t="str">
        <x:v>Suggested starting knowledge: Ratios, proportions, weighted averages, and index numbers. It helps you interpret performance using consistent denominators, periods and peer context.</x:v>
      </x:c>
      <x:c r="H439" s="9" t="str">
        <x:v>Suggested learning order; learners can still explore freely.</x:v>
      </x:c>
      <x:c r="I439" s="9" t="str">
        <x:v>Curated curriculum relationship</x:v>
      </x:c>
    </x:row>
    <x:row r="440" ht="58" customHeight="1">
      <x:c r="A440" s="10" t="str">
        <x:v>E0435</x:v>
      </x:c>
      <x:c r="B440" s="10" t="str">
        <x:v>T09.13</x:v>
      </x:c>
      <x:c r="C440" s="10" t="str">
        <x:v>Incremental returns on capital</x:v>
      </x:c>
      <x:c r="D440" s="14" t="str">
        <x:v>PART_OF</x:v>
      </x:c>
      <x:c r="E440" s="10" t="str">
        <x:v>D09</x:v>
      </x:c>
      <x:c r="F440" s="10" t="str">
        <x:v>Financial statement analysis</x:v>
      </x:c>
      <x:c r="G440" s="10" t="str">
        <x:v>Curriculum membership. Use this link to move between the topic and its finance area.</x:v>
      </x:c>
      <x:c r="H440" s="10" t="str">
        <x:v>Classification only; this edge is not a causal or calculation relationship.</x:v>
      </x:c>
      <x:c r="I440" s="10" t="str">
        <x:v>Curated curriculum relationship</x:v>
      </x:c>
    </x:row>
    <x:row r="441" ht="58" customHeight="1">
      <x:c r="A441" s="9" t="str">
        <x:v>E0436</x:v>
      </x:c>
      <x:c r="B441" s="9" t="str">
        <x:v>T09.13</x:v>
      </x:c>
      <x:c r="C441" s="9" t="str">
        <x:v>Incremental returns on capital</x:v>
      </x:c>
      <x:c r="D441" s="15" t="str">
        <x:v>EXPLORE_WITH</x:v>
      </x:c>
      <x:c r="E441" s="9" t="str">
        <x:v>T09.08</x:v>
      </x:c>
      <x:c r="F441" s="9" t="str">
        <x:v>ROA, ROE, ROCE, and ROIC</x:v>
      </x:c>
      <x:c r="G441" s="9" t="str">
        <x:v>Study these together to interpret performance using consistent denominators, periods and peer context.</x:v>
      </x:c>
      <x:c r="H441" s="9" t="str">
        <x:v>A topical exploration link, not a claim that one determines the other.</x:v>
      </x:c>
      <x:c r="I441" s="9" t="str">
        <x:v>Curated curriculum relationship</x:v>
      </x:c>
    </x:row>
    <x:row r="442" ht="58" customHeight="1">
      <x:c r="A442" s="10" t="str">
        <x:v>E0437</x:v>
      </x:c>
      <x:c r="B442" s="10" t="str">
        <x:v>T02.02</x:v>
      </x:c>
      <x:c r="C442" s="10" t="str">
        <x:v>Ratios, proportions, weighted averages, and index numbers</x:v>
      </x:c>
      <x:c r="D442" s="14" t="str">
        <x:v>RECOMMENDED_BEFORE</x:v>
      </x:c>
      <x:c r="E442" s="10" t="str">
        <x:v>T09.13</x:v>
      </x:c>
      <x:c r="F442" s="10" t="str">
        <x:v>Incremental returns on capital</x:v>
      </x:c>
      <x:c r="G442" s="10" t="str">
        <x:v>Suggested starting knowledge: Ratios, proportions, weighted averages, and index numbers. It helps you interpret performance using consistent denominators, periods and peer context.</x:v>
      </x:c>
      <x:c r="H442" s="10" t="str">
        <x:v>Suggested learning order; learners can still explore freely.</x:v>
      </x:c>
      <x:c r="I442" s="10" t="str">
        <x:v>Curated curriculum relationship</x:v>
      </x:c>
    </x:row>
    <x:row r="443" ht="58" customHeight="1">
      <x:c r="A443" s="9" t="str">
        <x:v>E0438</x:v>
      </x:c>
      <x:c r="B443" s="9" t="str">
        <x:v>T09.14</x:v>
      </x:c>
      <x:c r="C443" s="9" t="str">
        <x:v>Segment analysis</x:v>
      </x:c>
      <x:c r="D443" s="15" t="str">
        <x:v>PART_OF</x:v>
      </x:c>
      <x:c r="E443" s="9" t="str">
        <x:v>D09</x:v>
      </x:c>
      <x:c r="F443" s="9" t="str">
        <x:v>Financial statement analysis</x:v>
      </x:c>
      <x:c r="G443" s="9" t="str">
        <x:v>Curriculum membership. Use this link to move between the topic and its finance area.</x:v>
      </x:c>
      <x:c r="H443" s="9" t="str">
        <x:v>Classification only; this edge is not a causal or calculation relationship.</x:v>
      </x:c>
      <x:c r="I443" s="9" t="str">
        <x:v>Curated curriculum relationship</x:v>
      </x:c>
    </x:row>
    <x:row r="444" ht="58" customHeight="1">
      <x:c r="A444" s="10" t="str">
        <x:v>E0439</x:v>
      </x:c>
      <x:c r="B444" s="10" t="str">
        <x:v>T09.14</x:v>
      </x:c>
      <x:c r="C444" s="10" t="str">
        <x:v>Segment analysis</x:v>
      </x:c>
      <x:c r="D444" s="14" t="str">
        <x:v>EXPLORE_WITH</x:v>
      </x:c>
      <x:c r="E444" s="10" t="str">
        <x:v>T09.15</x:v>
      </x:c>
      <x:c r="F444" s="10" t="str">
        <x:v>Peer benchmarking and industry-specific ratios</x:v>
      </x:c>
      <x:c r="G444" s="10" t="str">
        <x:v>Study these together to interpret performance using consistent denominators, periods and peer context.</x:v>
      </x:c>
      <x:c r="H444" s="10" t="str">
        <x:v>A topical exploration link, not a claim that one determines the other.</x:v>
      </x:c>
      <x:c r="I444" s="10" t="str">
        <x:v>Curated curriculum relationship</x:v>
      </x:c>
    </x:row>
    <x:row r="445" ht="58" customHeight="1">
      <x:c r="A445" s="9" t="str">
        <x:v>E0440</x:v>
      </x:c>
      <x:c r="B445" s="9" t="str">
        <x:v>T02.02</x:v>
      </x:c>
      <x:c r="C445" s="9" t="str">
        <x:v>Ratios, proportions, weighted averages, and index numbers</x:v>
      </x:c>
      <x:c r="D445" s="15" t="str">
        <x:v>RECOMMENDED_BEFORE</x:v>
      </x:c>
      <x:c r="E445" s="9" t="str">
        <x:v>T09.14</x:v>
      </x:c>
      <x:c r="F445" s="9" t="str">
        <x:v>Segment analysis</x:v>
      </x:c>
      <x:c r="G445" s="9" t="str">
        <x:v>Suggested starting knowledge: Ratios, proportions, weighted averages, and index numbers. It helps you interpret performance using consistent denominators, periods and peer context.</x:v>
      </x:c>
      <x:c r="H445" s="9" t="str">
        <x:v>Suggested learning order; learners can still explore freely.</x:v>
      </x:c>
      <x:c r="I445" s="9" t="str">
        <x:v>Curated curriculum relationship</x:v>
      </x:c>
    </x:row>
    <x:row r="446" ht="58" customHeight="1">
      <x:c r="A446" s="10" t="str">
        <x:v>E0441</x:v>
      </x:c>
      <x:c r="B446" s="10" t="str">
        <x:v>T09.15</x:v>
      </x:c>
      <x:c r="C446" s="10" t="str">
        <x:v>Peer benchmarking and industry-specific ratios</x:v>
      </x:c>
      <x:c r="D446" s="14" t="str">
        <x:v>PART_OF</x:v>
      </x:c>
      <x:c r="E446" s="10" t="str">
        <x:v>D09</x:v>
      </x:c>
      <x:c r="F446" s="10" t="str">
        <x:v>Financial statement analysis</x:v>
      </x:c>
      <x:c r="G446" s="10" t="str">
        <x:v>Curriculum membership. Use this link to move between the topic and its finance area.</x:v>
      </x:c>
      <x:c r="H446" s="10" t="str">
        <x:v>Classification only; this edge is not a causal or calculation relationship.</x:v>
      </x:c>
      <x:c r="I446" s="10" t="str">
        <x:v>Curated curriculum relationship</x:v>
      </x:c>
    </x:row>
    <x:row r="447" ht="58" customHeight="1">
      <x:c r="A447" s="9" t="str">
        <x:v>E0442</x:v>
      </x:c>
      <x:c r="B447" s="9" t="str">
        <x:v>T09.15</x:v>
      </x:c>
      <x:c r="C447" s="9" t="str">
        <x:v>Peer benchmarking and industry-specific ratios</x:v>
      </x:c>
      <x:c r="D447" s="15" t="str">
        <x:v>EXPLORE_WITH</x:v>
      </x:c>
      <x:c r="E447" s="9" t="str">
        <x:v>T09.14</x:v>
      </x:c>
      <x:c r="F447" s="9" t="str">
        <x:v>Segment analysis</x:v>
      </x:c>
      <x:c r="G447" s="9" t="str">
        <x:v>Study these together to interpret performance using consistent denominators, periods and peer context.</x:v>
      </x:c>
      <x:c r="H447" s="9" t="str">
        <x:v>A topical exploration link, not a claim that one determines the other.</x:v>
      </x:c>
      <x:c r="I447" s="9" t="str">
        <x:v>Curated curriculum relationship</x:v>
      </x:c>
    </x:row>
    <x:row r="448" ht="58" customHeight="1">
      <x:c r="A448" s="10" t="str">
        <x:v>E0443</x:v>
      </x:c>
      <x:c r="B448" s="10" t="str">
        <x:v>T02.02</x:v>
      </x:c>
      <x:c r="C448" s="10" t="str">
        <x:v>Ratios, proportions, weighted averages, and index numbers</x:v>
      </x:c>
      <x:c r="D448" s="14" t="str">
        <x:v>RECOMMENDED_BEFORE</x:v>
      </x:c>
      <x:c r="E448" s="10" t="str">
        <x:v>T09.15</x:v>
      </x:c>
      <x:c r="F448" s="10" t="str">
        <x:v>Peer benchmarking and industry-specific ratios</x:v>
      </x:c>
      <x:c r="G448" s="10" t="str">
        <x:v>Suggested starting knowledge: Ratios, proportions, weighted averages, and index numbers. It helps you interpret performance using consistent denominators, periods and peer context.</x:v>
      </x:c>
      <x:c r="H448" s="10" t="str">
        <x:v>Suggested learning order; learners can still explore freely.</x:v>
      </x:c>
      <x:c r="I448" s="10" t="str">
        <x:v>Curated curriculum relationship</x:v>
      </x:c>
    </x:row>
    <x:row r="449" ht="58" customHeight="1">
      <x:c r="A449" s="9" t="str">
        <x:v>E0444</x:v>
      </x:c>
      <x:c r="B449" s="9" t="str">
        <x:v>T09.16</x:v>
      </x:c>
      <x:c r="C449" s="9" t="str">
        <x:v>Normalising financial statements</x:v>
      </x:c>
      <x:c r="D449" s="15" t="str">
        <x:v>PART_OF</x:v>
      </x:c>
      <x:c r="E449" s="9" t="str">
        <x:v>D09</x:v>
      </x:c>
      <x:c r="F449" s="9" t="str">
        <x:v>Financial statement analysis</x:v>
      </x:c>
      <x:c r="G449" s="9" t="str">
        <x:v>Curriculum membership. Use this link to move between the topic and its finance area.</x:v>
      </x:c>
      <x:c r="H449" s="9" t="str">
        <x:v>Classification only; this edge is not a causal or calculation relationship.</x:v>
      </x:c>
      <x:c r="I449" s="9" t="str">
        <x:v>Curated curriculum relationship</x:v>
      </x:c>
    </x:row>
    <x:row r="450" ht="58" customHeight="1">
      <x:c r="A450" s="10" t="str">
        <x:v>E0445</x:v>
      </x:c>
      <x:c r="B450" s="10" t="str">
        <x:v>T09.16</x:v>
      </x:c>
      <x:c r="C450" s="10" t="str">
        <x:v>Normalising financial statements</x:v>
      </x:c>
      <x:c r="D450" s="14" t="str">
        <x:v>EXPLORE_WITH</x:v>
      </x:c>
      <x:c r="E450" s="10" t="str">
        <x:v>T09.18</x:v>
      </x:c>
      <x:c r="F450" s="10" t="str">
        <x:v>Reconciling reported, adjusted, and underlying performance</x:v>
      </x:c>
      <x:c r="G450" s="10" t="str">
        <x:v>Study these together to interpret performance using consistent denominators, periods and peer context.</x:v>
      </x:c>
      <x:c r="H450" s="10" t="str">
        <x:v>A topical exploration link, not a claim that one determines the other.</x:v>
      </x:c>
      <x:c r="I450" s="10" t="str">
        <x:v>Curated curriculum relationship</x:v>
      </x:c>
    </x:row>
    <x:row r="451" ht="58" customHeight="1">
      <x:c r="A451" s="9" t="str">
        <x:v>E0446</x:v>
      </x:c>
      <x:c r="B451" s="9" t="str">
        <x:v>T02.02</x:v>
      </x:c>
      <x:c r="C451" s="9" t="str">
        <x:v>Ratios, proportions, weighted averages, and index numbers</x:v>
      </x:c>
      <x:c r="D451" s="15" t="str">
        <x:v>RECOMMENDED_BEFORE</x:v>
      </x:c>
      <x:c r="E451" s="9" t="str">
        <x:v>T09.16</x:v>
      </x:c>
      <x:c r="F451" s="9" t="str">
        <x:v>Normalising financial statements</x:v>
      </x:c>
      <x:c r="G451" s="9" t="str">
        <x:v>Suggested starting knowledge: Ratios, proportions, weighted averages, and index numbers. It helps you interpret performance using consistent denominators, periods and peer context.</x:v>
      </x:c>
      <x:c r="H451" s="9" t="str">
        <x:v>Suggested learning order; learners can still explore freely.</x:v>
      </x:c>
      <x:c r="I451" s="9" t="str">
        <x:v>Curated curriculum relationship</x:v>
      </x:c>
    </x:row>
    <x:row r="452" ht="58" customHeight="1">
      <x:c r="A452" s="10" t="str">
        <x:v>E0447</x:v>
      </x:c>
      <x:c r="B452" s="10" t="str">
        <x:v>T09.17</x:v>
      </x:c>
      <x:c r="C452" s="10" t="str">
        <x:v>Seasonality, cyclicality, and base effects</x:v>
      </x:c>
      <x:c r="D452" s="14" t="str">
        <x:v>PART_OF</x:v>
      </x:c>
      <x:c r="E452" s="10" t="str">
        <x:v>D09</x:v>
      </x:c>
      <x:c r="F452" s="10" t="str">
        <x:v>Financial statement analysis</x:v>
      </x:c>
      <x:c r="G452" s="10" t="str">
        <x:v>Curriculum membership. Use this link to move between the topic and its finance area.</x:v>
      </x:c>
      <x:c r="H452" s="10" t="str">
        <x:v>Classification only; this edge is not a causal or calculation relationship.</x:v>
      </x:c>
      <x:c r="I452" s="10" t="str">
        <x:v>Curated curriculum relationship</x:v>
      </x:c>
    </x:row>
    <x:row r="453" ht="58" customHeight="1">
      <x:c r="A453" s="9" t="str">
        <x:v>E0448</x:v>
      </x:c>
      <x:c r="B453" s="9" t="str">
        <x:v>T09.17</x:v>
      </x:c>
      <x:c r="C453" s="9" t="str">
        <x:v>Seasonality, cyclicality, and base effects</x:v>
      </x:c>
      <x:c r="D453" s="15" t="str">
        <x:v>EXPLORE_WITH</x:v>
      </x:c>
      <x:c r="E453" s="9" t="str">
        <x:v>T09.03</x:v>
      </x:c>
      <x:c r="F453" s="9" t="str">
        <x:v>Growth analysis and trend analysis</x:v>
      </x:c>
      <x:c r="G453" s="9" t="str">
        <x:v>Study these together to interpret performance using consistent denominators, periods and peer context.</x:v>
      </x:c>
      <x:c r="H453" s="9" t="str">
        <x:v>A topical exploration link, not a claim that one determines the other.</x:v>
      </x:c>
      <x:c r="I453" s="9" t="str">
        <x:v>Curated curriculum relationship</x:v>
      </x:c>
    </x:row>
    <x:row r="454" ht="58" customHeight="1">
      <x:c r="A454" s="10" t="str">
        <x:v>E0449</x:v>
      </x:c>
      <x:c r="B454" s="10" t="str">
        <x:v>T02.02</x:v>
      </x:c>
      <x:c r="C454" s="10" t="str">
        <x:v>Ratios, proportions, weighted averages, and index numbers</x:v>
      </x:c>
      <x:c r="D454" s="14" t="str">
        <x:v>RECOMMENDED_BEFORE</x:v>
      </x:c>
      <x:c r="E454" s="10" t="str">
        <x:v>T09.17</x:v>
      </x:c>
      <x:c r="F454" s="10" t="str">
        <x:v>Seasonality, cyclicality, and base effects</x:v>
      </x:c>
      <x:c r="G454" s="10" t="str">
        <x:v>Suggested starting knowledge: Ratios, proportions, weighted averages, and index numbers. It helps you interpret performance using consistent denominators, periods and peer context.</x:v>
      </x:c>
      <x:c r="H454" s="10" t="str">
        <x:v>Suggested learning order; learners can still explore freely.</x:v>
      </x:c>
      <x:c r="I454" s="10" t="str">
        <x:v>Curated curriculum relationship</x:v>
      </x:c>
    </x:row>
    <x:row r="455" ht="58" customHeight="1">
      <x:c r="A455" s="9" t="str">
        <x:v>E0450</x:v>
      </x:c>
      <x:c r="B455" s="9" t="str">
        <x:v>T09.18</x:v>
      </x:c>
      <x:c r="C455" s="9" t="str">
        <x:v>Reconciling reported, adjusted, and underlying performance</x:v>
      </x:c>
      <x:c r="D455" s="15" t="str">
        <x:v>PART_OF</x:v>
      </x:c>
      <x:c r="E455" s="9" t="str">
        <x:v>D09</x:v>
      </x:c>
      <x:c r="F455" s="9" t="str">
        <x:v>Financial statement analysis</x:v>
      </x:c>
      <x:c r="G455" s="9" t="str">
        <x:v>Curriculum membership. Use this link to move between the topic and its finance area.</x:v>
      </x:c>
      <x:c r="H455" s="9" t="str">
        <x:v>Classification only; this edge is not a causal or calculation relationship.</x:v>
      </x:c>
      <x:c r="I455" s="9" t="str">
        <x:v>Curated curriculum relationship</x:v>
      </x:c>
    </x:row>
    <x:row r="456" ht="58" customHeight="1">
      <x:c r="A456" s="10" t="str">
        <x:v>E0451</x:v>
      </x:c>
      <x:c r="B456" s="10" t="str">
        <x:v>T09.18</x:v>
      </x:c>
      <x:c r="C456" s="10" t="str">
        <x:v>Reconciling reported, adjusted, and underlying performance</x:v>
      </x:c>
      <x:c r="D456" s="14" t="str">
        <x:v>EXPLORE_WITH</x:v>
      </x:c>
      <x:c r="E456" s="10" t="str">
        <x:v>T09.16</x:v>
      </x:c>
      <x:c r="F456" s="10" t="str">
        <x:v>Normalising financial statements</x:v>
      </x:c>
      <x:c r="G456" s="10" t="str">
        <x:v>Study these together to interpret performance using consistent denominators, periods and peer context.</x:v>
      </x:c>
      <x:c r="H456" s="10" t="str">
        <x:v>A topical exploration link, not a claim that one determines the other.</x:v>
      </x:c>
      <x:c r="I456" s="10" t="str">
        <x:v>Curated curriculum relationship</x:v>
      </x:c>
    </x:row>
    <x:row r="457" ht="58" customHeight="1">
      <x:c r="A457" s="9" t="str">
        <x:v>E0452</x:v>
      </x:c>
      <x:c r="B457" s="9" t="str">
        <x:v>T02.02</x:v>
      </x:c>
      <x:c r="C457" s="9" t="str">
        <x:v>Ratios, proportions, weighted averages, and index numbers</x:v>
      </x:c>
      <x:c r="D457" s="15" t="str">
        <x:v>RECOMMENDED_BEFORE</x:v>
      </x:c>
      <x:c r="E457" s="9" t="str">
        <x:v>T09.18</x:v>
      </x:c>
      <x:c r="F457" s="9" t="str">
        <x:v>Reconciling reported, adjusted, and underlying performance</x:v>
      </x:c>
      <x:c r="G457" s="9" t="str">
        <x:v>Suggested starting knowledge: Ratios, proportions, weighted averages, and index numbers. It helps you interpret performance using consistent denominators, periods and peer context.</x:v>
      </x:c>
      <x:c r="H457" s="9" t="str">
        <x:v>Suggested learning order; learners can still explore freely.</x:v>
      </x:c>
      <x:c r="I457" s="9" t="str">
        <x:v>Curated curriculum relationship</x:v>
      </x:c>
    </x:row>
    <x:row r="458" ht="58" customHeight="1">
      <x:c r="A458" s="10" t="str">
        <x:v>E0453</x:v>
      </x:c>
      <x:c r="B458" s="10" t="str">
        <x:v>T10.01</x:v>
      </x:c>
      <x:c r="C458" s="10" t="str">
        <x:v>Earnings quality versus earnings growth</x:v>
      </x:c>
      <x:c r="D458" s="14" t="str">
        <x:v>PART_OF</x:v>
      </x:c>
      <x:c r="E458" s="10" t="str">
        <x:v>D10</x:v>
      </x:c>
      <x:c r="F458" s="10" t="str">
        <x:v>Earnings quality, forensic accounting, and fraud</x:v>
      </x:c>
      <x:c r="G458" s="10" t="str">
        <x:v>Curriculum membership. Use this link to move between the topic and its finance area.</x:v>
      </x:c>
      <x:c r="H458" s="10" t="str">
        <x:v>Classification only; this edge is not a causal or calculation relationship.</x:v>
      </x:c>
      <x:c r="I458" s="10" t="str">
        <x:v>Curated curriculum relationship</x:v>
      </x:c>
    </x:row>
    <x:row r="459" ht="58" customHeight="1">
      <x:c r="A459" s="9" t="str">
        <x:v>E0454</x:v>
      </x:c>
      <x:c r="B459" s="9" t="str">
        <x:v>T10.01</x:v>
      </x:c>
      <x:c r="C459" s="9" t="str">
        <x:v>Earnings quality versus earnings growth</x:v>
      </x:c>
      <x:c r="D459" s="15" t="str">
        <x:v>EXPLORE_WITH</x:v>
      </x:c>
      <x:c r="E459" s="9" t="str">
        <x:v>T10.06</x:v>
      </x:c>
      <x:c r="F459" s="9" t="str">
        <x:v>Accrual quality</x:v>
      </x:c>
      <x:c r="G459" s="9" t="str">
        <x:v>Study these together to test whether reported performance is supported by cash, disclosures and controls.</x:v>
      </x:c>
      <x:c r="H459" s="9" t="str">
        <x:v>A topical exploration link, not a claim that one determines the other.</x:v>
      </x:c>
      <x:c r="I459" s="9" t="str">
        <x:v>Curated curriculum relationship</x:v>
      </x:c>
    </x:row>
    <x:row r="460" ht="58" customHeight="1">
      <x:c r="A460" s="10" t="str">
        <x:v>E0455</x:v>
      </x:c>
      <x:c r="B460" s="10" t="str">
        <x:v>T04.05</x:v>
      </x:c>
      <x:c r="C460" s="10" t="str">
        <x:v>Cash accounting versus accrual accounting</x:v>
      </x:c>
      <x:c r="D460" s="14" t="str">
        <x:v>RECOMMENDED_BEFORE</x:v>
      </x:c>
      <x:c r="E460" s="10" t="str">
        <x:v>T10.01</x:v>
      </x:c>
      <x:c r="F460" s="10" t="str">
        <x:v>Earnings quality versus earnings growth</x:v>
      </x:c>
      <x:c r="G460" s="10" t="str">
        <x:v>Suggested starting knowledge: Cash accounting versus accrual accounting. It helps you test whether reported performance is supported by cash, disclosures and controls.</x:v>
      </x:c>
      <x:c r="H460" s="10" t="str">
        <x:v>Suggested learning order; learners can still explore freely.</x:v>
      </x:c>
      <x:c r="I460" s="10" t="str">
        <x:v>Curated curriculum relationship</x:v>
      </x:c>
    </x:row>
    <x:row r="461" ht="58" customHeight="1">
      <x:c r="A461" s="9" t="str">
        <x:v>E0456</x:v>
      </x:c>
      <x:c r="B461" s="9" t="str">
        <x:v>T10.02</x:v>
      </x:c>
      <x:c r="C461" s="9" t="str">
        <x:v>Aggressive revenue recognition</x:v>
      </x:c>
      <x:c r="D461" s="15" t="str">
        <x:v>PART_OF</x:v>
      </x:c>
      <x:c r="E461" s="9" t="str">
        <x:v>D10</x:v>
      </x:c>
      <x:c r="F461" s="9" t="str">
        <x:v>Earnings quality, forensic accounting, and fraud</x:v>
      </x:c>
      <x:c r="G461" s="9" t="str">
        <x:v>Curriculum membership. Use this link to move between the topic and its finance area.</x:v>
      </x:c>
      <x:c r="H461" s="9" t="str">
        <x:v>Classification only; this edge is not a causal or calculation relationship.</x:v>
      </x:c>
      <x:c r="I461" s="9" t="str">
        <x:v>Curated curriculum relationship</x:v>
      </x:c>
    </x:row>
    <x:row r="462" ht="58" customHeight="1">
      <x:c r="A462" s="10" t="str">
        <x:v>E0457</x:v>
      </x:c>
      <x:c r="B462" s="10" t="str">
        <x:v>T10.02</x:v>
      </x:c>
      <x:c r="C462" s="10" t="str">
        <x:v>Aggressive revenue recognition</x:v>
      </x:c>
      <x:c r="D462" s="14" t="str">
        <x:v>EXPLORE_WITH</x:v>
      </x:c>
      <x:c r="E462" s="10" t="str">
        <x:v>T10.03</x:v>
      </x:c>
      <x:c r="F462" s="10" t="str">
        <x:v>Channel stuffing and round-tripping</x:v>
      </x:c>
      <x:c r="G462" s="10" t="str">
        <x:v>Study these together to test whether reported performance is supported by cash, disclosures and controls.</x:v>
      </x:c>
      <x:c r="H462" s="10" t="str">
        <x:v>A topical exploration link, not a claim that one determines the other.</x:v>
      </x:c>
      <x:c r="I462" s="10" t="str">
        <x:v>Curated curriculum relationship</x:v>
      </x:c>
    </x:row>
    <x:row r="463" ht="58" customHeight="1">
      <x:c r="A463" s="9" t="str">
        <x:v>E0458</x:v>
      </x:c>
      <x:c r="B463" s="9" t="str">
        <x:v>T04.05</x:v>
      </x:c>
      <x:c r="C463" s="9" t="str">
        <x:v>Cash accounting versus accrual accounting</x:v>
      </x:c>
      <x:c r="D463" s="15" t="str">
        <x:v>RECOMMENDED_BEFORE</x:v>
      </x:c>
      <x:c r="E463" s="9" t="str">
        <x:v>T10.02</x:v>
      </x:c>
      <x:c r="F463" s="9" t="str">
        <x:v>Aggressive revenue recognition</x:v>
      </x:c>
      <x:c r="G463" s="9" t="str">
        <x:v>Suggested starting knowledge: Cash accounting versus accrual accounting. It helps you test whether reported performance is supported by cash, disclosures and controls.</x:v>
      </x:c>
      <x:c r="H463" s="9" t="str">
        <x:v>Suggested learning order; learners can still explore freely.</x:v>
      </x:c>
      <x:c r="I463" s="9" t="str">
        <x:v>Curated curriculum relationship</x:v>
      </x:c>
    </x:row>
    <x:row r="464" ht="58" customHeight="1">
      <x:c r="A464" s="10" t="str">
        <x:v>E0459</x:v>
      </x:c>
      <x:c r="B464" s="10" t="str">
        <x:v>T10.03</x:v>
      </x:c>
      <x:c r="C464" s="10" t="str">
        <x:v>Channel stuffing and round-tripping</x:v>
      </x:c>
      <x:c r="D464" s="14" t="str">
        <x:v>PART_OF</x:v>
      </x:c>
      <x:c r="E464" s="10" t="str">
        <x:v>D10</x:v>
      </x:c>
      <x:c r="F464" s="10" t="str">
        <x:v>Earnings quality, forensic accounting, and fraud</x:v>
      </x:c>
      <x:c r="G464" s="10" t="str">
        <x:v>Curriculum membership. Use this link to move between the topic and its finance area.</x:v>
      </x:c>
      <x:c r="H464" s="10" t="str">
        <x:v>Classification only; this edge is not a causal or calculation relationship.</x:v>
      </x:c>
      <x:c r="I464" s="10" t="str">
        <x:v>Curated curriculum relationship</x:v>
      </x:c>
    </x:row>
    <x:row r="465" ht="58" customHeight="1">
      <x:c r="A465" s="9" t="str">
        <x:v>E0460</x:v>
      </x:c>
      <x:c r="B465" s="9" t="str">
        <x:v>T10.03</x:v>
      </x:c>
      <x:c r="C465" s="9" t="str">
        <x:v>Channel stuffing and round-tripping</x:v>
      </x:c>
      <x:c r="D465" s="15" t="str">
        <x:v>EXPLORE_WITH</x:v>
      </x:c>
      <x:c r="E465" s="9" t="str">
        <x:v>T10.02</x:v>
      </x:c>
      <x:c r="F465" s="9" t="str">
        <x:v>Aggressive revenue recognition</x:v>
      </x:c>
      <x:c r="G465" s="9" t="str">
        <x:v>Study these together to test whether reported performance is supported by cash, disclosures and controls.</x:v>
      </x:c>
      <x:c r="H465" s="9" t="str">
        <x:v>A topical exploration link, not a claim that one determines the other.</x:v>
      </x:c>
      <x:c r="I465" s="9" t="str">
        <x:v>Curated curriculum relationship</x:v>
      </x:c>
    </x:row>
    <x:row r="466" ht="58" customHeight="1">
      <x:c r="A466" s="10" t="str">
        <x:v>E0461</x:v>
      </x:c>
      <x:c r="B466" s="10" t="str">
        <x:v>T04.05</x:v>
      </x:c>
      <x:c r="C466" s="10" t="str">
        <x:v>Cash accounting versus accrual accounting</x:v>
      </x:c>
      <x:c r="D466" s="14" t="str">
        <x:v>RECOMMENDED_BEFORE</x:v>
      </x:c>
      <x:c r="E466" s="10" t="str">
        <x:v>T10.03</x:v>
      </x:c>
      <x:c r="F466" s="10" t="str">
        <x:v>Channel stuffing and round-tripping</x:v>
      </x:c>
      <x:c r="G466" s="10" t="str">
        <x:v>Suggested starting knowledge: Cash accounting versus accrual accounting. It helps you test whether reported performance is supported by cash, disclosures and controls.</x:v>
      </x:c>
      <x:c r="H466" s="10" t="str">
        <x:v>Suggested learning order; learners can still explore freely.</x:v>
      </x:c>
      <x:c r="I466" s="10" t="str">
        <x:v>Curated curriculum relationship</x:v>
      </x:c>
    </x:row>
    <x:row r="467" ht="58" customHeight="1">
      <x:c r="A467" s="9" t="str">
        <x:v>E0462</x:v>
      </x:c>
      <x:c r="B467" s="9" t="str">
        <x:v>T10.04</x:v>
      </x:c>
      <x:c r="C467" s="9" t="str">
        <x:v>Expense deferral and improper capitalisation</x:v>
      </x:c>
      <x:c r="D467" s="15" t="str">
        <x:v>PART_OF</x:v>
      </x:c>
      <x:c r="E467" s="9" t="str">
        <x:v>D10</x:v>
      </x:c>
      <x:c r="F467" s="9" t="str">
        <x:v>Earnings quality, forensic accounting, and fraud</x:v>
      </x:c>
      <x:c r="G467" s="9" t="str">
        <x:v>Curriculum membership. Use this link to move between the topic and its finance area.</x:v>
      </x:c>
      <x:c r="H467" s="9" t="str">
        <x:v>Classification only; this edge is not a causal or calculation relationship.</x:v>
      </x:c>
      <x:c r="I467" s="9" t="str">
        <x:v>Curated curriculum relationship</x:v>
      </x:c>
    </x:row>
    <x:row r="468" ht="58" customHeight="1">
      <x:c r="A468" s="10" t="str">
        <x:v>E0463</x:v>
      </x:c>
      <x:c r="B468" s="10" t="str">
        <x:v>T10.04</x:v>
      </x:c>
      <x:c r="C468" s="10" t="str">
        <x:v>Expense deferral and improper capitalisation</x:v>
      </x:c>
      <x:c r="D468" s="14" t="str">
        <x:v>EXPLORE_WITH</x:v>
      </x:c>
      <x:c r="E468" s="10" t="str">
        <x:v>T10.06</x:v>
      </x:c>
      <x:c r="F468" s="10" t="str">
        <x:v>Accrual quality</x:v>
      </x:c>
      <x:c r="G468" s="10" t="str">
        <x:v>Study these together to test whether reported performance is supported by cash, disclosures and controls.</x:v>
      </x:c>
      <x:c r="H468" s="10" t="str">
        <x:v>A topical exploration link, not a claim that one determines the other.</x:v>
      </x:c>
      <x:c r="I468" s="10" t="str">
        <x:v>Curated curriculum relationship</x:v>
      </x:c>
    </x:row>
    <x:row r="469" ht="58" customHeight="1">
      <x:c r="A469" s="9" t="str">
        <x:v>E0464</x:v>
      </x:c>
      <x:c r="B469" s="9" t="str">
        <x:v>T04.05</x:v>
      </x:c>
      <x:c r="C469" s="9" t="str">
        <x:v>Cash accounting versus accrual accounting</x:v>
      </x:c>
      <x:c r="D469" s="15" t="str">
        <x:v>RECOMMENDED_BEFORE</x:v>
      </x:c>
      <x:c r="E469" s="9" t="str">
        <x:v>T10.04</x:v>
      </x:c>
      <x:c r="F469" s="9" t="str">
        <x:v>Expense deferral and improper capitalisation</x:v>
      </x:c>
      <x:c r="G469" s="9" t="str">
        <x:v>Suggested starting knowledge: Cash accounting versus accrual accounting. It helps you test whether reported performance is supported by cash, disclosures and controls.</x:v>
      </x:c>
      <x:c r="H469" s="9" t="str">
        <x:v>Suggested learning order; learners can still explore freely.</x:v>
      </x:c>
      <x:c r="I469" s="9" t="str">
        <x:v>Curated curriculum relationship</x:v>
      </x:c>
    </x:row>
    <x:row r="470" ht="58" customHeight="1">
      <x:c r="A470" s="10" t="str">
        <x:v>E0465</x:v>
      </x:c>
      <x:c r="B470" s="10" t="str">
        <x:v>T10.05</x:v>
      </x:c>
      <x:c r="C470" s="10" t="str">
        <x:v>Provision manipulation and reserve releases</x:v>
      </x:c>
      <x:c r="D470" s="14" t="str">
        <x:v>PART_OF</x:v>
      </x:c>
      <x:c r="E470" s="10" t="str">
        <x:v>D10</x:v>
      </x:c>
      <x:c r="F470" s="10" t="str">
        <x:v>Earnings quality, forensic accounting, and fraud</x:v>
      </x:c>
      <x:c r="G470" s="10" t="str">
        <x:v>Curriculum membership. Use this link to move between the topic and its finance area.</x:v>
      </x:c>
      <x:c r="H470" s="10" t="str">
        <x:v>Classification only; this edge is not a causal or calculation relationship.</x:v>
      </x:c>
      <x:c r="I470" s="10" t="str">
        <x:v>Curated curriculum relationship</x:v>
      </x:c>
    </x:row>
    <x:row r="471" ht="58" customHeight="1">
      <x:c r="A471" s="9" t="str">
        <x:v>E0466</x:v>
      </x:c>
      <x:c r="B471" s="9" t="str">
        <x:v>T10.05</x:v>
      </x:c>
      <x:c r="C471" s="9" t="str">
        <x:v>Provision manipulation and reserve releases</x:v>
      </x:c>
      <x:c r="D471" s="15" t="str">
        <x:v>EXPLORE_WITH</x:v>
      </x:c>
      <x:c r="E471" s="9" t="str">
        <x:v>T10.06</x:v>
      </x:c>
      <x:c r="F471" s="9" t="str">
        <x:v>Accrual quality</x:v>
      </x:c>
      <x:c r="G471" s="9" t="str">
        <x:v>Study these together to test whether reported performance is supported by cash, disclosures and controls.</x:v>
      </x:c>
      <x:c r="H471" s="9" t="str">
        <x:v>A topical exploration link, not a claim that one determines the other.</x:v>
      </x:c>
      <x:c r="I471" s="9" t="str">
        <x:v>Curated curriculum relationship</x:v>
      </x:c>
    </x:row>
    <x:row r="472" ht="58" customHeight="1">
      <x:c r="A472" s="10" t="str">
        <x:v>E0467</x:v>
      </x:c>
      <x:c r="B472" s="10" t="str">
        <x:v>T04.05</x:v>
      </x:c>
      <x:c r="C472" s="10" t="str">
        <x:v>Cash accounting versus accrual accounting</x:v>
      </x:c>
      <x:c r="D472" s="14" t="str">
        <x:v>RECOMMENDED_BEFORE</x:v>
      </x:c>
      <x:c r="E472" s="10" t="str">
        <x:v>T10.05</x:v>
      </x:c>
      <x:c r="F472" s="10" t="str">
        <x:v>Provision manipulation and reserve releases</x:v>
      </x:c>
      <x:c r="G472" s="10" t="str">
        <x:v>Suggested starting knowledge: Cash accounting versus accrual accounting. It helps you test whether reported performance is supported by cash, disclosures and controls.</x:v>
      </x:c>
      <x:c r="H472" s="10" t="str">
        <x:v>Suggested learning order; learners can still explore freely.</x:v>
      </x:c>
      <x:c r="I472" s="10" t="str">
        <x:v>Curated curriculum relationship</x:v>
      </x:c>
    </x:row>
    <x:row r="473" ht="58" customHeight="1">
      <x:c r="A473" s="9" t="str">
        <x:v>E0468</x:v>
      </x:c>
      <x:c r="B473" s="9" t="str">
        <x:v>T10.06</x:v>
      </x:c>
      <x:c r="C473" s="9" t="str">
        <x:v>Accrual quality</x:v>
      </x:c>
      <x:c r="D473" s="15" t="str">
        <x:v>PART_OF</x:v>
      </x:c>
      <x:c r="E473" s="9" t="str">
        <x:v>D10</x:v>
      </x:c>
      <x:c r="F473" s="9" t="str">
        <x:v>Earnings quality, forensic accounting, and fraud</x:v>
      </x:c>
      <x:c r="G473" s="9" t="str">
        <x:v>Curriculum membership. Use this link to move between the topic and its finance area.</x:v>
      </x:c>
      <x:c r="H473" s="9" t="str">
        <x:v>Classification only; this edge is not a causal or calculation relationship.</x:v>
      </x:c>
      <x:c r="I473" s="9" t="str">
        <x:v>Curated curriculum relationship</x:v>
      </x:c>
    </x:row>
    <x:row r="474" ht="58" customHeight="1">
      <x:c r="A474" s="10" t="str">
        <x:v>E0469</x:v>
      </x:c>
      <x:c r="B474" s="10" t="str">
        <x:v>T10.06</x:v>
      </x:c>
      <x:c r="C474" s="10" t="str">
        <x:v>Accrual quality</x:v>
      </x:c>
      <x:c r="D474" s="14" t="str">
        <x:v>EXPLORE_WITH</x:v>
      </x:c>
      <x:c r="E474" s="10" t="str">
        <x:v>T10.01</x:v>
      </x:c>
      <x:c r="F474" s="10" t="str">
        <x:v>Earnings quality versus earnings growth</x:v>
      </x:c>
      <x:c r="G474" s="10" t="str">
        <x:v>Study these together to test whether reported performance is supported by cash, disclosures and controls.</x:v>
      </x:c>
      <x:c r="H474" s="10" t="str">
        <x:v>A topical exploration link, not a claim that one determines the other.</x:v>
      </x:c>
      <x:c r="I474" s="10" t="str">
        <x:v>Curated curriculum relationship</x:v>
      </x:c>
    </x:row>
    <x:row r="475" ht="58" customHeight="1">
      <x:c r="A475" s="9" t="str">
        <x:v>E0470</x:v>
      </x:c>
      <x:c r="B475" s="9" t="str">
        <x:v>T04.05</x:v>
      </x:c>
      <x:c r="C475" s="9" t="str">
        <x:v>Cash accounting versus accrual accounting</x:v>
      </x:c>
      <x:c r="D475" s="15" t="str">
        <x:v>RECOMMENDED_BEFORE</x:v>
      </x:c>
      <x:c r="E475" s="9" t="str">
        <x:v>T10.06</x:v>
      </x:c>
      <x:c r="F475" s="9" t="str">
        <x:v>Accrual quality</x:v>
      </x:c>
      <x:c r="G475" s="9" t="str">
        <x:v>Suggested starting knowledge: Cash accounting versus accrual accounting. It helps you test whether reported performance is supported by cash, disclosures and controls.</x:v>
      </x:c>
      <x:c r="H475" s="9" t="str">
        <x:v>Suggested learning order; learners can still explore freely.</x:v>
      </x:c>
      <x:c r="I475" s="9" t="str">
        <x:v>Curated curriculum relationship</x:v>
      </x:c>
    </x:row>
    <x:row r="476" ht="58" customHeight="1">
      <x:c r="A476" s="10" t="str">
        <x:v>E0471</x:v>
      </x:c>
      <x:c r="B476" s="10" t="str">
        <x:v>T10.07</x:v>
      </x:c>
      <x:c r="C476" s="10" t="str">
        <x:v>Receivables and inventory warning signs</x:v>
      </x:c>
      <x:c r="D476" s="14" t="str">
        <x:v>PART_OF</x:v>
      </x:c>
      <x:c r="E476" s="10" t="str">
        <x:v>D10</x:v>
      </x:c>
      <x:c r="F476" s="10" t="str">
        <x:v>Earnings quality, forensic accounting, and fraud</x:v>
      </x:c>
      <x:c r="G476" s="10" t="str">
        <x:v>Curriculum membership. Use this link to move between the topic and its finance area.</x:v>
      </x:c>
      <x:c r="H476" s="10" t="str">
        <x:v>Classification only; this edge is not a causal or calculation relationship.</x:v>
      </x:c>
      <x:c r="I476" s="10" t="str">
        <x:v>Curated curriculum relationship</x:v>
      </x:c>
    </x:row>
    <x:row r="477" ht="58" customHeight="1">
      <x:c r="A477" s="9" t="str">
        <x:v>E0472</x:v>
      </x:c>
      <x:c r="B477" s="9" t="str">
        <x:v>T10.07</x:v>
      </x:c>
      <x:c r="C477" s="9" t="str">
        <x:v>Receivables and inventory warning signs</x:v>
      </x:c>
      <x:c r="D477" s="15" t="str">
        <x:v>EXPLORE_WITH</x:v>
      </x:c>
      <x:c r="E477" s="9" t="str">
        <x:v>T10.06</x:v>
      </x:c>
      <x:c r="F477" s="9" t="str">
        <x:v>Accrual quality</x:v>
      </x:c>
      <x:c r="G477" s="9" t="str">
        <x:v>Study these together to test whether reported performance is supported by cash, disclosures and controls.</x:v>
      </x:c>
      <x:c r="H477" s="9" t="str">
        <x:v>A topical exploration link, not a claim that one determines the other.</x:v>
      </x:c>
      <x:c r="I477" s="9" t="str">
        <x:v>Curated curriculum relationship</x:v>
      </x:c>
    </x:row>
    <x:row r="478" ht="58" customHeight="1">
      <x:c r="A478" s="10" t="str">
        <x:v>E0473</x:v>
      </x:c>
      <x:c r="B478" s="10" t="str">
        <x:v>T04.05</x:v>
      </x:c>
      <x:c r="C478" s="10" t="str">
        <x:v>Cash accounting versus accrual accounting</x:v>
      </x:c>
      <x:c r="D478" s="14" t="str">
        <x:v>RECOMMENDED_BEFORE</x:v>
      </x:c>
      <x:c r="E478" s="10" t="str">
        <x:v>T10.07</x:v>
      </x:c>
      <x:c r="F478" s="10" t="str">
        <x:v>Receivables and inventory warning signs</x:v>
      </x:c>
      <x:c r="G478" s="10" t="str">
        <x:v>Suggested starting knowledge: Cash accounting versus accrual accounting. It helps you test whether reported performance is supported by cash, disclosures and controls.</x:v>
      </x:c>
      <x:c r="H478" s="10" t="str">
        <x:v>Suggested learning order; learners can still explore freely.</x:v>
      </x:c>
      <x:c r="I478" s="10" t="str">
        <x:v>Curated curriculum relationship</x:v>
      </x:c>
    </x:row>
    <x:row r="479" ht="58" customHeight="1">
      <x:c r="A479" s="9" t="str">
        <x:v>E0474</x:v>
      </x:c>
      <x:c r="B479" s="9" t="str">
        <x:v>T10.08</x:v>
      </x:c>
      <x:c r="C479" s="9" t="str">
        <x:v>Cash-flow classification manipulation</x:v>
      </x:c>
      <x:c r="D479" s="15" t="str">
        <x:v>PART_OF</x:v>
      </x:c>
      <x:c r="E479" s="9" t="str">
        <x:v>D10</x:v>
      </x:c>
      <x:c r="F479" s="9" t="str">
        <x:v>Earnings quality, forensic accounting, and fraud</x:v>
      </x:c>
      <x:c r="G479" s="9" t="str">
        <x:v>Curriculum membership. Use this link to move between the topic and its finance area.</x:v>
      </x:c>
      <x:c r="H479" s="9" t="str">
        <x:v>Classification only; this edge is not a causal or calculation relationship.</x:v>
      </x:c>
      <x:c r="I479" s="9" t="str">
        <x:v>Curated curriculum relationship</x:v>
      </x:c>
    </x:row>
    <x:row r="480" ht="58" customHeight="1">
      <x:c r="A480" s="10" t="str">
        <x:v>E0475</x:v>
      </x:c>
      <x:c r="B480" s="10" t="str">
        <x:v>T10.08</x:v>
      </x:c>
      <x:c r="C480" s="10" t="str">
        <x:v>Cash-flow classification manipulation</x:v>
      </x:c>
      <x:c r="D480" s="14" t="str">
        <x:v>EXPLORE_WITH</x:v>
      </x:c>
      <x:c r="E480" s="10" t="str">
        <x:v>T10.06</x:v>
      </x:c>
      <x:c r="F480" s="10" t="str">
        <x:v>Accrual quality</x:v>
      </x:c>
      <x:c r="G480" s="10" t="str">
        <x:v>Study these together to test whether reported performance is supported by cash, disclosures and controls.</x:v>
      </x:c>
      <x:c r="H480" s="10" t="str">
        <x:v>A topical exploration link, not a claim that one determines the other.</x:v>
      </x:c>
      <x:c r="I480" s="10" t="str">
        <x:v>Curated curriculum relationship</x:v>
      </x:c>
    </x:row>
    <x:row r="481" ht="58" customHeight="1">
      <x:c r="A481" s="9" t="str">
        <x:v>E0476</x:v>
      </x:c>
      <x:c r="B481" s="9" t="str">
        <x:v>T04.05</x:v>
      </x:c>
      <x:c r="C481" s="9" t="str">
        <x:v>Cash accounting versus accrual accounting</x:v>
      </x:c>
      <x:c r="D481" s="15" t="str">
        <x:v>RECOMMENDED_BEFORE</x:v>
      </x:c>
      <x:c r="E481" s="9" t="str">
        <x:v>T10.08</x:v>
      </x:c>
      <x:c r="F481" s="9" t="str">
        <x:v>Cash-flow classification manipulation</x:v>
      </x:c>
      <x:c r="G481" s="9" t="str">
        <x:v>Suggested starting knowledge: Cash accounting versus accrual accounting. It helps you test whether reported performance is supported by cash, disclosures and controls.</x:v>
      </x:c>
      <x:c r="H481" s="9" t="str">
        <x:v>Suggested learning order; learners can still explore freely.</x:v>
      </x:c>
      <x:c r="I481" s="9" t="str">
        <x:v>Curated curriculum relationship</x:v>
      </x:c>
    </x:row>
    <x:row r="482" ht="58" customHeight="1">
      <x:c r="A482" s="10" t="str">
        <x:v>E0477</x:v>
      </x:c>
      <x:c r="B482" s="10" t="str">
        <x:v>T10.09</x:v>
      </x:c>
      <x:c r="C482" s="10" t="str">
        <x:v>Related-party dealings and fund diversion</x:v>
      </x:c>
      <x:c r="D482" s="14" t="str">
        <x:v>PART_OF</x:v>
      </x:c>
      <x:c r="E482" s="10" t="str">
        <x:v>D10</x:v>
      </x:c>
      <x:c r="F482" s="10" t="str">
        <x:v>Earnings quality, forensic accounting, and fraud</x:v>
      </x:c>
      <x:c r="G482" s="10" t="str">
        <x:v>Curriculum membership. Use this link to move between the topic and its finance area.</x:v>
      </x:c>
      <x:c r="H482" s="10" t="str">
        <x:v>Classification only; this edge is not a causal or calculation relationship.</x:v>
      </x:c>
      <x:c r="I482" s="10" t="str">
        <x:v>Curated curriculum relationship</x:v>
      </x:c>
    </x:row>
    <x:row r="483" ht="58" customHeight="1">
      <x:c r="A483" s="9" t="str">
        <x:v>E0478</x:v>
      </x:c>
      <x:c r="B483" s="9" t="str">
        <x:v>T10.09</x:v>
      </x:c>
      <x:c r="C483" s="9" t="str">
        <x:v>Related-party dealings and fund diversion</x:v>
      </x:c>
      <x:c r="D483" s="15" t="str">
        <x:v>EXPLORE_WITH</x:v>
      </x:c>
      <x:c r="E483" s="9" t="str">
        <x:v>T10.10</x:v>
      </x:c>
      <x:c r="F483" s="9" t="str">
        <x:v>Hidden leverage and guarantees</x:v>
      </x:c>
      <x:c r="G483" s="9" t="str">
        <x:v>Study these together to test whether reported performance is supported by cash, disclosures and controls.</x:v>
      </x:c>
      <x:c r="H483" s="9" t="str">
        <x:v>A topical exploration link, not a claim that one determines the other.</x:v>
      </x:c>
      <x:c r="I483" s="9" t="str">
        <x:v>Curated curriculum relationship</x:v>
      </x:c>
    </x:row>
    <x:row r="484" ht="58" customHeight="1">
      <x:c r="A484" s="10" t="str">
        <x:v>E0479</x:v>
      </x:c>
      <x:c r="B484" s="10" t="str">
        <x:v>T04.05</x:v>
      </x:c>
      <x:c r="C484" s="10" t="str">
        <x:v>Cash accounting versus accrual accounting</x:v>
      </x:c>
      <x:c r="D484" s="14" t="str">
        <x:v>RECOMMENDED_BEFORE</x:v>
      </x:c>
      <x:c r="E484" s="10" t="str">
        <x:v>T10.09</x:v>
      </x:c>
      <x:c r="F484" s="10" t="str">
        <x:v>Related-party dealings and fund diversion</x:v>
      </x:c>
      <x:c r="G484" s="10" t="str">
        <x:v>Suggested starting knowledge: Cash accounting versus accrual accounting. It helps you test whether reported performance is supported by cash, disclosures and controls.</x:v>
      </x:c>
      <x:c r="H484" s="10" t="str">
        <x:v>Suggested learning order; learners can still explore freely.</x:v>
      </x:c>
      <x:c r="I484" s="10" t="str">
        <x:v>Curated curriculum relationship</x:v>
      </x:c>
    </x:row>
    <x:row r="485" ht="58" customHeight="1">
      <x:c r="A485" s="9" t="str">
        <x:v>E0480</x:v>
      </x:c>
      <x:c r="B485" s="9" t="str">
        <x:v>T10.10</x:v>
      </x:c>
      <x:c r="C485" s="9" t="str">
        <x:v>Hidden leverage and guarantees</x:v>
      </x:c>
      <x:c r="D485" s="15" t="str">
        <x:v>PART_OF</x:v>
      </x:c>
      <x:c r="E485" s="9" t="str">
        <x:v>D10</x:v>
      </x:c>
      <x:c r="F485" s="9" t="str">
        <x:v>Earnings quality, forensic accounting, and fraud</x:v>
      </x:c>
      <x:c r="G485" s="9" t="str">
        <x:v>Curriculum membership. Use this link to move between the topic and its finance area.</x:v>
      </x:c>
      <x:c r="H485" s="9" t="str">
        <x:v>Classification only; this edge is not a causal or calculation relationship.</x:v>
      </x:c>
      <x:c r="I485" s="9" t="str">
        <x:v>Curated curriculum relationship</x:v>
      </x:c>
    </x:row>
    <x:row r="486" ht="58" customHeight="1">
      <x:c r="A486" s="10" t="str">
        <x:v>E0481</x:v>
      </x:c>
      <x:c r="B486" s="10" t="str">
        <x:v>T10.10</x:v>
      </x:c>
      <x:c r="C486" s="10" t="str">
        <x:v>Hidden leverage and guarantees</x:v>
      </x:c>
      <x:c r="D486" s="14" t="str">
        <x:v>EXPLORE_WITH</x:v>
      </x:c>
      <x:c r="E486" s="10" t="str">
        <x:v>T10.09</x:v>
      </x:c>
      <x:c r="F486" s="10" t="str">
        <x:v>Related-party dealings and fund diversion</x:v>
      </x:c>
      <x:c r="G486" s="10" t="str">
        <x:v>Study these together to test whether reported performance is supported by cash, disclosures and controls.</x:v>
      </x:c>
      <x:c r="H486" s="10" t="str">
        <x:v>A topical exploration link, not a claim that one determines the other.</x:v>
      </x:c>
      <x:c r="I486" s="10" t="str">
        <x:v>Curated curriculum relationship</x:v>
      </x:c>
    </x:row>
    <x:row r="487" ht="58" customHeight="1">
      <x:c r="A487" s="9" t="str">
        <x:v>E0482</x:v>
      </x:c>
      <x:c r="B487" s="9" t="str">
        <x:v>T04.05</x:v>
      </x:c>
      <x:c r="C487" s="9" t="str">
        <x:v>Cash accounting versus accrual accounting</x:v>
      </x:c>
      <x:c r="D487" s="15" t="str">
        <x:v>RECOMMENDED_BEFORE</x:v>
      </x:c>
      <x:c r="E487" s="9" t="str">
        <x:v>T10.10</x:v>
      </x:c>
      <x:c r="F487" s="9" t="str">
        <x:v>Hidden leverage and guarantees</x:v>
      </x:c>
      <x:c r="G487" s="9" t="str">
        <x:v>Suggested starting knowledge: Cash accounting versus accrual accounting. It helps you test whether reported performance is supported by cash, disclosures and controls.</x:v>
      </x:c>
      <x:c r="H487" s="9" t="str">
        <x:v>Suggested learning order; learners can still explore freely.</x:v>
      </x:c>
      <x:c r="I487" s="9" t="str">
        <x:v>Curated curriculum relationship</x:v>
      </x:c>
    </x:row>
    <x:row r="488" ht="58" customHeight="1">
      <x:c r="A488" s="10" t="str">
        <x:v>E0483</x:v>
      </x:c>
      <x:c r="B488" s="10" t="str">
        <x:v>T10.11</x:v>
      </x:c>
      <x:c r="C488" s="10" t="str">
        <x:v>Auditor opinions, qualifications, and emphasis-of-matter paragraphs</x:v>
      </x:c>
      <x:c r="D488" s="14" t="str">
        <x:v>PART_OF</x:v>
      </x:c>
      <x:c r="E488" s="10" t="str">
        <x:v>D10</x:v>
      </x:c>
      <x:c r="F488" s="10" t="str">
        <x:v>Earnings quality, forensic accounting, and fraud</x:v>
      </x:c>
      <x:c r="G488" s="10" t="str">
        <x:v>Curriculum membership. Use this link to move between the topic and its finance area.</x:v>
      </x:c>
      <x:c r="H488" s="10" t="str">
        <x:v>Classification only; this edge is not a causal or calculation relationship.</x:v>
      </x:c>
      <x:c r="I488" s="10" t="str">
        <x:v>Curated curriculum relationship</x:v>
      </x:c>
    </x:row>
    <x:row r="489" ht="58" customHeight="1">
      <x:c r="A489" s="9" t="str">
        <x:v>E0484</x:v>
      </x:c>
      <x:c r="B489" s="9" t="str">
        <x:v>T10.11</x:v>
      </x:c>
      <x:c r="C489" s="9" t="str">
        <x:v>Auditor opinions, qualifications, and emphasis-of-matter paragraphs</x:v>
      </x:c>
      <x:c r="D489" s="15" t="str">
        <x:v>EXPLORE_WITH</x:v>
      </x:c>
      <x:c r="E489" s="9" t="str">
        <x:v>T10.12</x:v>
      </x:c>
      <x:c r="F489" s="9" t="str">
        <x:v>Restatements and internal-control weaknesses</x:v>
      </x:c>
      <x:c r="G489" s="9" t="str">
        <x:v>Study these together to test whether reported performance is supported by cash, disclosures and controls.</x:v>
      </x:c>
      <x:c r="H489" s="9" t="str">
        <x:v>A topical exploration link, not a claim that one determines the other.</x:v>
      </x:c>
      <x:c r="I489" s="9" t="str">
        <x:v>Curated curriculum relationship</x:v>
      </x:c>
    </x:row>
    <x:row r="490" ht="58" customHeight="1">
      <x:c r="A490" s="10" t="str">
        <x:v>E0485</x:v>
      </x:c>
      <x:c r="B490" s="10" t="str">
        <x:v>T04.05</x:v>
      </x:c>
      <x:c r="C490" s="10" t="str">
        <x:v>Cash accounting versus accrual accounting</x:v>
      </x:c>
      <x:c r="D490" s="14" t="str">
        <x:v>RECOMMENDED_BEFORE</x:v>
      </x:c>
      <x:c r="E490" s="10" t="str">
        <x:v>T10.11</x:v>
      </x:c>
      <x:c r="F490" s="10" t="str">
        <x:v>Auditor opinions, qualifications, and emphasis-of-matter paragraphs</x:v>
      </x:c>
      <x:c r="G490" s="10" t="str">
        <x:v>Suggested starting knowledge: Cash accounting versus accrual accounting. It helps you test whether reported performance is supported by cash, disclosures and controls.</x:v>
      </x:c>
      <x:c r="H490" s="10" t="str">
        <x:v>Suggested learning order; learners can still explore freely.</x:v>
      </x:c>
      <x:c r="I490" s="10" t="str">
        <x:v>Curated curriculum relationship</x:v>
      </x:c>
    </x:row>
    <x:row r="491" ht="58" customHeight="1">
      <x:c r="A491" s="9" t="str">
        <x:v>E0486</x:v>
      </x:c>
      <x:c r="B491" s="9" t="str">
        <x:v>T10.12</x:v>
      </x:c>
      <x:c r="C491" s="9" t="str">
        <x:v>Restatements and internal-control weaknesses</x:v>
      </x:c>
      <x:c r="D491" s="15" t="str">
        <x:v>PART_OF</x:v>
      </x:c>
      <x:c r="E491" s="9" t="str">
        <x:v>D10</x:v>
      </x:c>
      <x:c r="F491" s="9" t="str">
        <x:v>Earnings quality, forensic accounting, and fraud</x:v>
      </x:c>
      <x:c r="G491" s="9" t="str">
        <x:v>Curriculum membership. Use this link to move between the topic and its finance area.</x:v>
      </x:c>
      <x:c r="H491" s="9" t="str">
        <x:v>Classification only; this edge is not a causal or calculation relationship.</x:v>
      </x:c>
      <x:c r="I491" s="9" t="str">
        <x:v>Curated curriculum relationship</x:v>
      </x:c>
    </x:row>
    <x:row r="492" ht="58" customHeight="1">
      <x:c r="A492" s="10" t="str">
        <x:v>E0487</x:v>
      </x:c>
      <x:c r="B492" s="10" t="str">
        <x:v>T10.12</x:v>
      </x:c>
      <x:c r="C492" s="10" t="str">
        <x:v>Restatements and internal-control weaknesses</x:v>
      </x:c>
      <x:c r="D492" s="14" t="str">
        <x:v>EXPLORE_WITH</x:v>
      </x:c>
      <x:c r="E492" s="10" t="str">
        <x:v>T10.11</x:v>
      </x:c>
      <x:c r="F492" s="10" t="str">
        <x:v>Auditor opinions, qualifications, and emphasis-of-matter paragraphs</x:v>
      </x:c>
      <x:c r="G492" s="10" t="str">
        <x:v>Study these together to test whether reported performance is supported by cash, disclosures and controls.</x:v>
      </x:c>
      <x:c r="H492" s="10" t="str">
        <x:v>A topical exploration link, not a claim that one determines the other.</x:v>
      </x:c>
      <x:c r="I492" s="10" t="str">
        <x:v>Curated curriculum relationship</x:v>
      </x:c>
    </x:row>
    <x:row r="493" ht="58" customHeight="1">
      <x:c r="A493" s="9" t="str">
        <x:v>E0488</x:v>
      </x:c>
      <x:c r="B493" s="9" t="str">
        <x:v>T04.05</x:v>
      </x:c>
      <x:c r="C493" s="9" t="str">
        <x:v>Cash accounting versus accrual accounting</x:v>
      </x:c>
      <x:c r="D493" s="15" t="str">
        <x:v>RECOMMENDED_BEFORE</x:v>
      </x:c>
      <x:c r="E493" s="9" t="str">
        <x:v>T10.12</x:v>
      </x:c>
      <x:c r="F493" s="9" t="str">
        <x:v>Restatements and internal-control weaknesses</x:v>
      </x:c>
      <x:c r="G493" s="9" t="str">
        <x:v>Suggested starting knowledge: Cash accounting versus accrual accounting. It helps you test whether reported performance is supported by cash, disclosures and controls.</x:v>
      </x:c>
      <x:c r="H493" s="9" t="str">
        <x:v>Suggested learning order; learners can still explore freely.</x:v>
      </x:c>
      <x:c r="I493" s="9" t="str">
        <x:v>Curated curriculum relationship</x:v>
      </x:c>
    </x:row>
    <x:row r="494" ht="58" customHeight="1">
      <x:c r="A494" s="10" t="str">
        <x:v>E0489</x:v>
      </x:c>
      <x:c r="B494" s="10" t="str">
        <x:v>T10.13</x:v>
      </x:c>
      <x:c r="C494" s="10" t="str">
        <x:v>Financial distress and fraud-screening models</x:v>
      </x:c>
      <x:c r="D494" s="14" t="str">
        <x:v>PART_OF</x:v>
      </x:c>
      <x:c r="E494" s="10" t="str">
        <x:v>D10</x:v>
      </x:c>
      <x:c r="F494" s="10" t="str">
        <x:v>Earnings quality, forensic accounting, and fraud</x:v>
      </x:c>
      <x:c r="G494" s="10" t="str">
        <x:v>Curriculum membership. Use this link to move between the topic and its finance area.</x:v>
      </x:c>
      <x:c r="H494" s="10" t="str">
        <x:v>Classification only; this edge is not a causal or calculation relationship.</x:v>
      </x:c>
      <x:c r="I494" s="10" t="str">
        <x:v>Curated curriculum relationship</x:v>
      </x:c>
    </x:row>
    <x:row r="495" ht="58" customHeight="1">
      <x:c r="A495" s="9" t="str">
        <x:v>E0490</x:v>
      </x:c>
      <x:c r="B495" s="9" t="str">
        <x:v>T10.13</x:v>
      </x:c>
      <x:c r="C495" s="9" t="str">
        <x:v>Financial distress and fraud-screening models</x:v>
      </x:c>
      <x:c r="D495" s="15" t="str">
        <x:v>EXPLORE_WITH</x:v>
      </x:c>
      <x:c r="E495" s="9" t="str">
        <x:v>T10.10</x:v>
      </x:c>
      <x:c r="F495" s="9" t="str">
        <x:v>Hidden leverage and guarantees</x:v>
      </x:c>
      <x:c r="G495" s="9" t="str">
        <x:v>Study these together to test whether reported performance is supported by cash, disclosures and controls.</x:v>
      </x:c>
      <x:c r="H495" s="9" t="str">
        <x:v>A topical exploration link, not a claim that one determines the other.</x:v>
      </x:c>
      <x:c r="I495" s="9" t="str">
        <x:v>Curated curriculum relationship</x:v>
      </x:c>
    </x:row>
    <x:row r="496" ht="58" customHeight="1">
      <x:c r="A496" s="10" t="str">
        <x:v>E0491</x:v>
      </x:c>
      <x:c r="B496" s="10" t="str">
        <x:v>T04.05</x:v>
      </x:c>
      <x:c r="C496" s="10" t="str">
        <x:v>Cash accounting versus accrual accounting</x:v>
      </x:c>
      <x:c r="D496" s="14" t="str">
        <x:v>RECOMMENDED_BEFORE</x:v>
      </x:c>
      <x:c r="E496" s="10" t="str">
        <x:v>T10.13</x:v>
      </x:c>
      <x:c r="F496" s="10" t="str">
        <x:v>Financial distress and fraud-screening models</x:v>
      </x:c>
      <x:c r="G496" s="10" t="str">
        <x:v>Suggested starting knowledge: Cash accounting versus accrual accounting. It helps you test whether reported performance is supported by cash, disclosures and controls.</x:v>
      </x:c>
      <x:c r="H496" s="10" t="str">
        <x:v>Suggested learning order; learners can still explore freely.</x:v>
      </x:c>
      <x:c r="I496" s="10" t="str">
        <x:v>Curated curriculum relationship</x:v>
      </x:c>
    </x:row>
    <x:row r="497" ht="58" customHeight="1">
      <x:c r="A497" s="9" t="str">
        <x:v>E0492</x:v>
      </x:c>
      <x:c r="B497" s="9" t="str">
        <x:v>T10.14</x:v>
      </x:c>
      <x:c r="C497" s="9" t="str">
        <x:v>Management adjustments and misleading non-GAAP metrics</x:v>
      </x:c>
      <x:c r="D497" s="15" t="str">
        <x:v>PART_OF</x:v>
      </x:c>
      <x:c r="E497" s="9" t="str">
        <x:v>D10</x:v>
      </x:c>
      <x:c r="F497" s="9" t="str">
        <x:v>Earnings quality, forensic accounting, and fraud</x:v>
      </x:c>
      <x:c r="G497" s="9" t="str">
        <x:v>Curriculum membership. Use this link to move between the topic and its finance area.</x:v>
      </x:c>
      <x:c r="H497" s="9" t="str">
        <x:v>Classification only; this edge is not a causal or calculation relationship.</x:v>
      </x:c>
      <x:c r="I497" s="9" t="str">
        <x:v>Curated curriculum relationship</x:v>
      </x:c>
    </x:row>
    <x:row r="498" ht="58" customHeight="1">
      <x:c r="A498" s="10" t="str">
        <x:v>E0493</x:v>
      </x:c>
      <x:c r="B498" s="10" t="str">
        <x:v>T10.14</x:v>
      </x:c>
      <x:c r="C498" s="10" t="str">
        <x:v>Management adjustments and misleading non-GAAP metrics</x:v>
      </x:c>
      <x:c r="D498" s="14" t="str">
        <x:v>EXPLORE_WITH</x:v>
      </x:c>
      <x:c r="E498" s="10" t="str">
        <x:v>T10.01</x:v>
      </x:c>
      <x:c r="F498" s="10" t="str">
        <x:v>Earnings quality versus earnings growth</x:v>
      </x:c>
      <x:c r="G498" s="10" t="str">
        <x:v>Study these together to test whether reported performance is supported by cash, disclosures and controls.</x:v>
      </x:c>
      <x:c r="H498" s="10" t="str">
        <x:v>A topical exploration link, not a claim that one determines the other.</x:v>
      </x:c>
      <x:c r="I498" s="10" t="str">
        <x:v>Curated curriculum relationship</x:v>
      </x:c>
    </x:row>
    <x:row r="499" ht="58" customHeight="1">
      <x:c r="A499" s="9" t="str">
        <x:v>E0494</x:v>
      </x:c>
      <x:c r="B499" s="9" t="str">
        <x:v>T04.05</x:v>
      </x:c>
      <x:c r="C499" s="9" t="str">
        <x:v>Cash accounting versus accrual accounting</x:v>
      </x:c>
      <x:c r="D499" s="15" t="str">
        <x:v>RECOMMENDED_BEFORE</x:v>
      </x:c>
      <x:c r="E499" s="9" t="str">
        <x:v>T10.14</x:v>
      </x:c>
      <x:c r="F499" s="9" t="str">
        <x:v>Management adjustments and misleading non-GAAP metrics</x:v>
      </x:c>
      <x:c r="G499" s="9" t="str">
        <x:v>Suggested starting knowledge: Cash accounting versus accrual accounting. It helps you test whether reported performance is supported by cash, disclosures and controls.</x:v>
      </x:c>
      <x:c r="H499" s="9" t="str">
        <x:v>Suggested learning order; learners can still explore freely.</x:v>
      </x:c>
      <x:c r="I499" s="9" t="str">
        <x:v>Curated curriculum relationship</x:v>
      </x:c>
    </x:row>
    <x:row r="500" ht="58" customHeight="1">
      <x:c r="A500" s="10" t="str">
        <x:v>E0495</x:v>
      </x:c>
      <x:c r="B500" s="10" t="str">
        <x:v>T10.15</x:v>
      </x:c>
      <x:c r="C500" s="10" t="str">
        <x:v>Financial footnote investigation</x:v>
      </x:c>
      <x:c r="D500" s="14" t="str">
        <x:v>PART_OF</x:v>
      </x:c>
      <x:c r="E500" s="10" t="str">
        <x:v>D10</x:v>
      </x:c>
      <x:c r="F500" s="10" t="str">
        <x:v>Earnings quality, forensic accounting, and fraud</x:v>
      </x:c>
      <x:c r="G500" s="10" t="str">
        <x:v>Curriculum membership. Use this link to move between the topic and its finance area.</x:v>
      </x:c>
      <x:c r="H500" s="10" t="str">
        <x:v>Classification only; this edge is not a causal or calculation relationship.</x:v>
      </x:c>
      <x:c r="I500" s="10" t="str">
        <x:v>Curated curriculum relationship</x:v>
      </x:c>
    </x:row>
    <x:row r="501" ht="58" customHeight="1">
      <x:c r="A501" s="9" t="str">
        <x:v>E0496</x:v>
      </x:c>
      <x:c r="B501" s="9" t="str">
        <x:v>T10.15</x:v>
      </x:c>
      <x:c r="C501" s="9" t="str">
        <x:v>Financial footnote investigation</x:v>
      </x:c>
      <x:c r="D501" s="15" t="str">
        <x:v>EXPLORE_WITH</x:v>
      </x:c>
      <x:c r="E501" s="9" t="str">
        <x:v>T10.11</x:v>
      </x:c>
      <x:c r="F501" s="9" t="str">
        <x:v>Auditor opinions, qualifications, and emphasis-of-matter paragraphs</x:v>
      </x:c>
      <x:c r="G501" s="9" t="str">
        <x:v>Study these together to test whether reported performance is supported by cash, disclosures and controls.</x:v>
      </x:c>
      <x:c r="H501" s="9" t="str">
        <x:v>A topical exploration link, not a claim that one determines the other.</x:v>
      </x:c>
      <x:c r="I501" s="9" t="str">
        <x:v>Curated curriculum relationship</x:v>
      </x:c>
    </x:row>
    <x:row r="502" ht="58" customHeight="1">
      <x:c r="A502" s="10" t="str">
        <x:v>E0497</x:v>
      </x:c>
      <x:c r="B502" s="10" t="str">
        <x:v>T04.05</x:v>
      </x:c>
      <x:c r="C502" s="10" t="str">
        <x:v>Cash accounting versus accrual accounting</x:v>
      </x:c>
      <x:c r="D502" s="14" t="str">
        <x:v>RECOMMENDED_BEFORE</x:v>
      </x:c>
      <x:c r="E502" s="10" t="str">
        <x:v>T10.15</x:v>
      </x:c>
      <x:c r="F502" s="10" t="str">
        <x:v>Financial footnote investigation</x:v>
      </x:c>
      <x:c r="G502" s="10" t="str">
        <x:v>Suggested starting knowledge: Cash accounting versus accrual accounting. It helps you test whether reported performance is supported by cash, disclosures and controls.</x:v>
      </x:c>
      <x:c r="H502" s="10" t="str">
        <x:v>Suggested learning order; learners can still explore freely.</x:v>
      </x:c>
      <x:c r="I502" s="10" t="str">
        <x:v>Curated curriculum relationship</x:v>
      </x:c>
    </x:row>
    <x:row r="503" ht="58" customHeight="1">
      <x:c r="A503" s="9" t="str">
        <x:v>E0498</x:v>
      </x:c>
      <x:c r="B503" s="9" t="str">
        <x:v>T11.01</x:v>
      </x:c>
      <x:c r="C503" s="9" t="str">
        <x:v>Revenue models and cost structures</x:v>
      </x:c>
      <x:c r="D503" s="15" t="str">
        <x:v>PART_OF</x:v>
      </x:c>
      <x:c r="E503" s="9" t="str">
        <x:v>D11</x:v>
      </x:c>
      <x:c r="F503" s="9" t="str">
        <x:v>Business economics and unit economics</x:v>
      </x:c>
      <x:c r="G503" s="9" t="str">
        <x:v>Curriculum membership. Use this link to move between the topic and its finance area.</x:v>
      </x:c>
      <x:c r="H503" s="9" t="str">
        <x:v>Classification only; this edge is not a causal or calculation relationship.</x:v>
      </x:c>
      <x:c r="I503" s="9" t="str">
        <x:v>Curated curriculum relationship</x:v>
      </x:c>
    </x:row>
    <x:row r="504" ht="58" customHeight="1">
      <x:c r="A504" s="10" t="str">
        <x:v>E0499</x:v>
      </x:c>
      <x:c r="B504" s="10" t="str">
        <x:v>T11.01</x:v>
      </x:c>
      <x:c r="C504" s="10" t="str">
        <x:v>Revenue models and cost structures</x:v>
      </x:c>
      <x:c r="D504" s="14" t="str">
        <x:v>EXPLORE_WITH</x:v>
      </x:c>
      <x:c r="E504" s="10" t="str">
        <x:v>T11.15</x:v>
      </x:c>
      <x:c r="F504" s="10" t="str">
        <x:v>Linking business drivers to financial results</x:v>
      </x:c>
      <x:c r="G504" s="10" t="str">
        <x:v>Study these together to connect operating choices and customer economics to financial performance.</x:v>
      </x:c>
      <x:c r="H504" s="10" t="str">
        <x:v>A topical exploration link, not a claim that one determines the other.</x:v>
      </x:c>
      <x:c r="I504" s="10" t="str">
        <x:v>Curated curriculum relationship</x:v>
      </x:c>
    </x:row>
    <x:row r="505" ht="58" customHeight="1">
      <x:c r="A505" s="9" t="str">
        <x:v>E0500</x:v>
      </x:c>
      <x:c r="B505" s="9" t="str">
        <x:v>T05.06</x:v>
      </x:c>
      <x:c r="C505" s="9" t="str">
        <x:v>Gross profit and gross margin</x:v>
      </x:c>
      <x:c r="D505" s="15" t="str">
        <x:v>RECOMMENDED_BEFORE</x:v>
      </x:c>
      <x:c r="E505" s="9" t="str">
        <x:v>T11.01</x:v>
      </x:c>
      <x:c r="F505" s="9" t="str">
        <x:v>Revenue models and cost structures</x:v>
      </x:c>
      <x:c r="G505" s="9" t="str">
        <x:v>Suggested starting knowledge: Gross profit and gross margin. It helps you connect operating choices and customer economics to financial performance.</x:v>
      </x:c>
      <x:c r="H505" s="9" t="str">
        <x:v>Suggested learning order; learners can still explore freely.</x:v>
      </x:c>
      <x:c r="I505" s="9" t="str">
        <x:v>Curated curriculum relationship</x:v>
      </x:c>
    </x:row>
    <x:row r="506" ht="58" customHeight="1">
      <x:c r="A506" s="10" t="str">
        <x:v>E0501</x:v>
      </x:c>
      <x:c r="B506" s="10" t="str">
        <x:v>T11.02</x:v>
      </x:c>
      <x:c r="C506" s="10" t="str">
        <x:v>Fixed, variable, and semi-variable costs</x:v>
      </x:c>
      <x:c r="D506" s="14" t="str">
        <x:v>PART_OF</x:v>
      </x:c>
      <x:c r="E506" s="10" t="str">
        <x:v>D11</x:v>
      </x:c>
      <x:c r="F506" s="10" t="str">
        <x:v>Business economics and unit economics</x:v>
      </x:c>
      <x:c r="G506" s="10" t="str">
        <x:v>Curriculum membership. Use this link to move between the topic and its finance area.</x:v>
      </x:c>
      <x:c r="H506" s="10" t="str">
        <x:v>Classification only; this edge is not a causal or calculation relationship.</x:v>
      </x:c>
      <x:c r="I506" s="10" t="str">
        <x:v>Curated curriculum relationship</x:v>
      </x:c>
    </x:row>
    <x:row r="507" ht="58" customHeight="1">
      <x:c r="A507" s="9" t="str">
        <x:v>E0502</x:v>
      </x:c>
      <x:c r="B507" s="9" t="str">
        <x:v>T11.02</x:v>
      </x:c>
      <x:c r="C507" s="9" t="str">
        <x:v>Fixed, variable, and semi-variable costs</x:v>
      </x:c>
      <x:c r="D507" s="15" t="str">
        <x:v>EXPLORE_WITH</x:v>
      </x:c>
      <x:c r="E507" s="9" t="str">
        <x:v>T11.03</x:v>
      </x:c>
      <x:c r="F507" s="9" t="str">
        <x:v>Contribution margin and break-even analysis</x:v>
      </x:c>
      <x:c r="G507" s="9" t="str">
        <x:v>Study these together to connect operating choices and customer economics to financial performance.</x:v>
      </x:c>
      <x:c r="H507" s="9" t="str">
        <x:v>A topical exploration link, not a claim that one determines the other.</x:v>
      </x:c>
      <x:c r="I507" s="9" t="str">
        <x:v>Curated curriculum relationship</x:v>
      </x:c>
    </x:row>
    <x:row r="508" ht="58" customHeight="1">
      <x:c r="A508" s="10" t="str">
        <x:v>E0503</x:v>
      </x:c>
      <x:c r="B508" s="10" t="str">
        <x:v>T05.06</x:v>
      </x:c>
      <x:c r="C508" s="10" t="str">
        <x:v>Gross profit and gross margin</x:v>
      </x:c>
      <x:c r="D508" s="14" t="str">
        <x:v>RECOMMENDED_BEFORE</x:v>
      </x:c>
      <x:c r="E508" s="10" t="str">
        <x:v>T11.02</x:v>
      </x:c>
      <x:c r="F508" s="10" t="str">
        <x:v>Fixed, variable, and semi-variable costs</x:v>
      </x:c>
      <x:c r="G508" s="10" t="str">
        <x:v>Suggested starting knowledge: Gross profit and gross margin. It helps you connect operating choices and customer economics to financial performance.</x:v>
      </x:c>
      <x:c r="H508" s="10" t="str">
        <x:v>Suggested learning order; learners can still explore freely.</x:v>
      </x:c>
      <x:c r="I508" s="10" t="str">
        <x:v>Curated curriculum relationship</x:v>
      </x:c>
    </x:row>
    <x:row r="509" ht="58" customHeight="1">
      <x:c r="A509" s="9" t="str">
        <x:v>E0504</x:v>
      </x:c>
      <x:c r="B509" s="9" t="str">
        <x:v>T11.03</x:v>
      </x:c>
      <x:c r="C509" s="9" t="str">
        <x:v>Contribution margin and break-even analysis</x:v>
      </x:c>
      <x:c r="D509" s="15" t="str">
        <x:v>PART_OF</x:v>
      </x:c>
      <x:c r="E509" s="9" t="str">
        <x:v>D11</x:v>
      </x:c>
      <x:c r="F509" s="9" t="str">
        <x:v>Business economics and unit economics</x:v>
      </x:c>
      <x:c r="G509" s="9" t="str">
        <x:v>Curriculum membership. Use this link to move between the topic and its finance area.</x:v>
      </x:c>
      <x:c r="H509" s="9" t="str">
        <x:v>Classification only; this edge is not a causal or calculation relationship.</x:v>
      </x:c>
      <x:c r="I509" s="9" t="str">
        <x:v>Curated curriculum relationship</x:v>
      </x:c>
    </x:row>
    <x:row r="510" ht="58" customHeight="1">
      <x:c r="A510" s="10" t="str">
        <x:v>E0505</x:v>
      </x:c>
      <x:c r="B510" s="10" t="str">
        <x:v>T11.03</x:v>
      </x:c>
      <x:c r="C510" s="10" t="str">
        <x:v>Contribution margin and break-even analysis</x:v>
      </x:c>
      <x:c r="D510" s="14" t="str">
        <x:v>EXPLORE_WITH</x:v>
      </x:c>
      <x:c r="E510" s="10" t="str">
        <x:v>T11.02</x:v>
      </x:c>
      <x:c r="F510" s="10" t="str">
        <x:v>Fixed, variable, and semi-variable costs</x:v>
      </x:c>
      <x:c r="G510" s="10" t="str">
        <x:v>Study these together to connect operating choices and customer economics to financial performance.</x:v>
      </x:c>
      <x:c r="H510" s="10" t="str">
        <x:v>A topical exploration link, not a claim that one determines the other.</x:v>
      </x:c>
      <x:c r="I510" s="10" t="str">
        <x:v>Curated curriculum relationship</x:v>
      </x:c>
    </x:row>
    <x:row r="511" ht="58" customHeight="1">
      <x:c r="A511" s="9" t="str">
        <x:v>E0506</x:v>
      </x:c>
      <x:c r="B511" s="9" t="str">
        <x:v>T05.06</x:v>
      </x:c>
      <x:c r="C511" s="9" t="str">
        <x:v>Gross profit and gross margin</x:v>
      </x:c>
      <x:c r="D511" s="15" t="str">
        <x:v>RECOMMENDED_BEFORE</x:v>
      </x:c>
      <x:c r="E511" s="9" t="str">
        <x:v>T11.03</x:v>
      </x:c>
      <x:c r="F511" s="9" t="str">
        <x:v>Contribution margin and break-even analysis</x:v>
      </x:c>
      <x:c r="G511" s="9" t="str">
        <x:v>Suggested starting knowledge: Gross profit and gross margin. It helps you connect operating choices and customer economics to financial performance.</x:v>
      </x:c>
      <x:c r="H511" s="9" t="str">
        <x:v>Suggested learning order; learners can still explore freely.</x:v>
      </x:c>
      <x:c r="I511" s="9" t="str">
        <x:v>Curated curriculum relationship</x:v>
      </x:c>
    </x:row>
    <x:row r="512" ht="58" customHeight="1">
      <x:c r="A512" s="10" t="str">
        <x:v>E0507</x:v>
      </x:c>
      <x:c r="B512" s="10" t="str">
        <x:v>T11.04</x:v>
      </x:c>
      <x:c r="C512" s="10" t="str">
        <x:v>Price-volume-mix analysis</x:v>
      </x:c>
      <x:c r="D512" s="14" t="str">
        <x:v>PART_OF</x:v>
      </x:c>
      <x:c r="E512" s="10" t="str">
        <x:v>D11</x:v>
      </x:c>
      <x:c r="F512" s="10" t="str">
        <x:v>Business economics and unit economics</x:v>
      </x:c>
      <x:c r="G512" s="10" t="str">
        <x:v>Curriculum membership. Use this link to move between the topic and its finance area.</x:v>
      </x:c>
      <x:c r="H512" s="10" t="str">
        <x:v>Classification only; this edge is not a causal or calculation relationship.</x:v>
      </x:c>
      <x:c r="I512" s="10" t="str">
        <x:v>Curated curriculum relationship</x:v>
      </x:c>
    </x:row>
    <x:row r="513" ht="58" customHeight="1">
      <x:c r="A513" s="9" t="str">
        <x:v>E0508</x:v>
      </x:c>
      <x:c r="B513" s="9" t="str">
        <x:v>T11.04</x:v>
      </x:c>
      <x:c r="C513" s="9" t="str">
        <x:v>Price-volume-mix analysis</x:v>
      </x:c>
      <x:c r="D513" s="15" t="str">
        <x:v>EXPLORE_WITH</x:v>
      </x:c>
      <x:c r="E513" s="9" t="str">
        <x:v>T11.14</x:v>
      </x:c>
      <x:c r="F513" s="9" t="str">
        <x:v>Pricing, discounting, and revenue management</x:v>
      </x:c>
      <x:c r="G513" s="9" t="str">
        <x:v>Study these together to connect operating choices and customer economics to financial performance.</x:v>
      </x:c>
      <x:c r="H513" s="9" t="str">
        <x:v>A topical exploration link, not a claim that one determines the other.</x:v>
      </x:c>
      <x:c r="I513" s="9" t="str">
        <x:v>Curated curriculum relationship</x:v>
      </x:c>
    </x:row>
    <x:row r="514" ht="58" customHeight="1">
      <x:c r="A514" s="10" t="str">
        <x:v>E0509</x:v>
      </x:c>
      <x:c r="B514" s="10" t="str">
        <x:v>T05.06</x:v>
      </x:c>
      <x:c r="C514" s="10" t="str">
        <x:v>Gross profit and gross margin</x:v>
      </x:c>
      <x:c r="D514" s="14" t="str">
        <x:v>RECOMMENDED_BEFORE</x:v>
      </x:c>
      <x:c r="E514" s="10" t="str">
        <x:v>T11.04</x:v>
      </x:c>
      <x:c r="F514" s="10" t="str">
        <x:v>Price-volume-mix analysis</x:v>
      </x:c>
      <x:c r="G514" s="10" t="str">
        <x:v>Suggested starting knowledge: Gross profit and gross margin. It helps you connect operating choices and customer economics to financial performance.</x:v>
      </x:c>
      <x:c r="H514" s="10" t="str">
        <x:v>Suggested learning order; learners can still explore freely.</x:v>
      </x:c>
      <x:c r="I514" s="10" t="str">
        <x:v>Curated curriculum relationship</x:v>
      </x:c>
    </x:row>
    <x:row r="515" ht="58" customHeight="1">
      <x:c r="A515" s="9" t="str">
        <x:v>E0510</x:v>
      </x:c>
      <x:c r="B515" s="9" t="str">
        <x:v>T11.05</x:v>
      </x:c>
      <x:c r="C515" s="9" t="str">
        <x:v>Capacity utilisation and operating leverage</x:v>
      </x:c>
      <x:c r="D515" s="15" t="str">
        <x:v>PART_OF</x:v>
      </x:c>
      <x:c r="E515" s="9" t="str">
        <x:v>D11</x:v>
      </x:c>
      <x:c r="F515" s="9" t="str">
        <x:v>Business economics and unit economics</x:v>
      </x:c>
      <x:c r="G515" s="9" t="str">
        <x:v>Curriculum membership. Use this link to move between the topic and its finance area.</x:v>
      </x:c>
      <x:c r="H515" s="9" t="str">
        <x:v>Classification only; this edge is not a causal or calculation relationship.</x:v>
      </x:c>
      <x:c r="I515" s="9" t="str">
        <x:v>Curated curriculum relationship</x:v>
      </x:c>
    </x:row>
    <x:row r="516" ht="58" customHeight="1">
      <x:c r="A516" s="10" t="str">
        <x:v>E0511</x:v>
      </x:c>
      <x:c r="B516" s="10" t="str">
        <x:v>T11.05</x:v>
      </x:c>
      <x:c r="C516" s="10" t="str">
        <x:v>Capacity utilisation and operating leverage</x:v>
      </x:c>
      <x:c r="D516" s="14" t="str">
        <x:v>EXPLORE_WITH</x:v>
      </x:c>
      <x:c r="E516" s="10" t="str">
        <x:v>T11.02</x:v>
      </x:c>
      <x:c r="F516" s="10" t="str">
        <x:v>Fixed, variable, and semi-variable costs</x:v>
      </x:c>
      <x:c r="G516" s="10" t="str">
        <x:v>Study these together to connect operating choices and customer economics to financial performance.</x:v>
      </x:c>
      <x:c r="H516" s="10" t="str">
        <x:v>A topical exploration link, not a claim that one determines the other.</x:v>
      </x:c>
      <x:c r="I516" s="10" t="str">
        <x:v>Curated curriculum relationship</x:v>
      </x:c>
    </x:row>
    <x:row r="517" ht="58" customHeight="1">
      <x:c r="A517" s="9" t="str">
        <x:v>E0512</x:v>
      </x:c>
      <x:c r="B517" s="9" t="str">
        <x:v>T05.06</x:v>
      </x:c>
      <x:c r="C517" s="9" t="str">
        <x:v>Gross profit and gross margin</x:v>
      </x:c>
      <x:c r="D517" s="15" t="str">
        <x:v>RECOMMENDED_BEFORE</x:v>
      </x:c>
      <x:c r="E517" s="9" t="str">
        <x:v>T11.05</x:v>
      </x:c>
      <x:c r="F517" s="9" t="str">
        <x:v>Capacity utilisation and operating leverage</x:v>
      </x:c>
      <x:c r="G517" s="9" t="str">
        <x:v>Suggested starting knowledge: Gross profit and gross margin. It helps you connect operating choices and customer economics to financial performance.</x:v>
      </x:c>
      <x:c r="H517" s="9" t="str">
        <x:v>Suggested learning order; learners can still explore freely.</x:v>
      </x:c>
      <x:c r="I517" s="9" t="str">
        <x:v>Curated curriculum relationship</x:v>
      </x:c>
    </x:row>
    <x:row r="518" ht="58" customHeight="1">
      <x:c r="A518" s="10" t="str">
        <x:v>E0513</x:v>
      </x:c>
      <x:c r="B518" s="10" t="str">
        <x:v>T11.06</x:v>
      </x:c>
      <x:c r="C518" s="10" t="str">
        <x:v>Economies of scale and economies of scope</x:v>
      </x:c>
      <x:c r="D518" s="14" t="str">
        <x:v>PART_OF</x:v>
      </x:c>
      <x:c r="E518" s="10" t="str">
        <x:v>D11</x:v>
      </x:c>
      <x:c r="F518" s="10" t="str">
        <x:v>Business economics and unit economics</x:v>
      </x:c>
      <x:c r="G518" s="10" t="str">
        <x:v>Curriculum membership. Use this link to move between the topic and its finance area.</x:v>
      </x:c>
      <x:c r="H518" s="10" t="str">
        <x:v>Classification only; this edge is not a causal or calculation relationship.</x:v>
      </x:c>
      <x:c r="I518" s="10" t="str">
        <x:v>Curated curriculum relationship</x:v>
      </x:c>
    </x:row>
    <x:row r="519" ht="58" customHeight="1">
      <x:c r="A519" s="9" t="str">
        <x:v>E0514</x:v>
      </x:c>
      <x:c r="B519" s="9" t="str">
        <x:v>T11.06</x:v>
      </x:c>
      <x:c r="C519" s="9" t="str">
        <x:v>Economies of scale and economies of scope</x:v>
      </x:c>
      <x:c r="D519" s="15" t="str">
        <x:v>EXPLORE_WITH</x:v>
      </x:c>
      <x:c r="E519" s="9" t="str">
        <x:v>T11.05</x:v>
      </x:c>
      <x:c r="F519" s="9" t="str">
        <x:v>Capacity utilisation and operating leverage</x:v>
      </x:c>
      <x:c r="G519" s="9" t="str">
        <x:v>Study these together to connect operating choices and customer economics to financial performance.</x:v>
      </x:c>
      <x:c r="H519" s="9" t="str">
        <x:v>A topical exploration link, not a claim that one determines the other.</x:v>
      </x:c>
      <x:c r="I519" s="9" t="str">
        <x:v>Curated curriculum relationship</x:v>
      </x:c>
    </x:row>
    <x:row r="520" ht="58" customHeight="1">
      <x:c r="A520" s="10" t="str">
        <x:v>E0515</x:v>
      </x:c>
      <x:c r="B520" s="10" t="str">
        <x:v>T05.06</x:v>
      </x:c>
      <x:c r="C520" s="10" t="str">
        <x:v>Gross profit and gross margin</x:v>
      </x:c>
      <x:c r="D520" s="14" t="str">
        <x:v>RECOMMENDED_BEFORE</x:v>
      </x:c>
      <x:c r="E520" s="10" t="str">
        <x:v>T11.06</x:v>
      </x:c>
      <x:c r="F520" s="10" t="str">
        <x:v>Economies of scale and economies of scope</x:v>
      </x:c>
      <x:c r="G520" s="10" t="str">
        <x:v>Suggested starting knowledge: Gross profit and gross margin. It helps you connect operating choices and customer economics to financial performance.</x:v>
      </x:c>
      <x:c r="H520" s="10" t="str">
        <x:v>Suggested learning order; learners can still explore freely.</x:v>
      </x:c>
      <x:c r="I520" s="10" t="str">
        <x:v>Curated curriculum relationship</x:v>
      </x:c>
    </x:row>
    <x:row r="521" ht="58" customHeight="1">
      <x:c r="A521" s="9" t="str">
        <x:v>E0516</x:v>
      </x:c>
      <x:c r="B521" s="9" t="str">
        <x:v>T11.07</x:v>
      </x:c>
      <x:c r="C521" s="9" t="str">
        <x:v>Customer acquisition cost</x:v>
      </x:c>
      <x:c r="D521" s="15" t="str">
        <x:v>PART_OF</x:v>
      </x:c>
      <x:c r="E521" s="9" t="str">
        <x:v>D11</x:v>
      </x:c>
      <x:c r="F521" s="9" t="str">
        <x:v>Business economics and unit economics</x:v>
      </x:c>
      <x:c r="G521" s="9" t="str">
        <x:v>Curriculum membership. Use this link to move between the topic and its finance area.</x:v>
      </x:c>
      <x:c r="H521" s="9" t="str">
        <x:v>Classification only; this edge is not a causal or calculation relationship.</x:v>
      </x:c>
      <x:c r="I521" s="9" t="str">
        <x:v>Curated curriculum relationship</x:v>
      </x:c>
    </x:row>
    <x:row r="522" ht="58" customHeight="1">
      <x:c r="A522" s="10" t="str">
        <x:v>E0517</x:v>
      </x:c>
      <x:c r="B522" s="10" t="str">
        <x:v>T11.07</x:v>
      </x:c>
      <x:c r="C522" s="10" t="str">
        <x:v>Customer acquisition cost</x:v>
      </x:c>
      <x:c r="D522" s="14" t="str">
        <x:v>EXPLORE_WITH</x:v>
      </x:c>
      <x:c r="E522" s="10" t="str">
        <x:v>T11.08</x:v>
      </x:c>
      <x:c r="F522" s="10" t="str">
        <x:v>Customer lifetime value</x:v>
      </x:c>
      <x:c r="G522" s="10" t="str">
        <x:v>Study these together to connect operating choices and customer economics to financial performance.</x:v>
      </x:c>
      <x:c r="H522" s="10" t="str">
        <x:v>A topical exploration link, not a claim that one determines the other.</x:v>
      </x:c>
      <x:c r="I522" s="10" t="str">
        <x:v>Curated curriculum relationship</x:v>
      </x:c>
    </x:row>
    <x:row r="523" ht="58" customHeight="1">
      <x:c r="A523" s="9" t="str">
        <x:v>E0518</x:v>
      </x:c>
      <x:c r="B523" s="9" t="str">
        <x:v>T05.06</x:v>
      </x:c>
      <x:c r="C523" s="9" t="str">
        <x:v>Gross profit and gross margin</x:v>
      </x:c>
      <x:c r="D523" s="15" t="str">
        <x:v>RECOMMENDED_BEFORE</x:v>
      </x:c>
      <x:c r="E523" s="9" t="str">
        <x:v>T11.07</x:v>
      </x:c>
      <x:c r="F523" s="9" t="str">
        <x:v>Customer acquisition cost</x:v>
      </x:c>
      <x:c r="G523" s="9" t="str">
        <x:v>Suggested starting knowledge: Gross profit and gross margin. It helps you connect operating choices and customer economics to financial performance.</x:v>
      </x:c>
      <x:c r="H523" s="9" t="str">
        <x:v>Suggested learning order; learners can still explore freely.</x:v>
      </x:c>
      <x:c r="I523" s="9" t="str">
        <x:v>Curated curriculum relationship</x:v>
      </x:c>
    </x:row>
    <x:row r="524" ht="58" customHeight="1">
      <x:c r="A524" s="10" t="str">
        <x:v>E0519</x:v>
      </x:c>
      <x:c r="B524" s="10" t="str">
        <x:v>T11.08</x:v>
      </x:c>
      <x:c r="C524" s="10" t="str">
        <x:v>Customer lifetime value</x:v>
      </x:c>
      <x:c r="D524" s="14" t="str">
        <x:v>PART_OF</x:v>
      </x:c>
      <x:c r="E524" s="10" t="str">
        <x:v>D11</x:v>
      </x:c>
      <x:c r="F524" s="10" t="str">
        <x:v>Business economics and unit economics</x:v>
      </x:c>
      <x:c r="G524" s="10" t="str">
        <x:v>Curriculum membership. Use this link to move between the topic and its finance area.</x:v>
      </x:c>
      <x:c r="H524" s="10" t="str">
        <x:v>Classification only; this edge is not a causal or calculation relationship.</x:v>
      </x:c>
      <x:c r="I524" s="10" t="str">
        <x:v>Curated curriculum relationship</x:v>
      </x:c>
    </x:row>
    <x:row r="525" ht="58" customHeight="1">
      <x:c r="A525" s="9" t="str">
        <x:v>E0520</x:v>
      </x:c>
      <x:c r="B525" s="9" t="str">
        <x:v>T11.08</x:v>
      </x:c>
      <x:c r="C525" s="9" t="str">
        <x:v>Customer lifetime value</x:v>
      </x:c>
      <x:c r="D525" s="15" t="str">
        <x:v>EXPLORE_WITH</x:v>
      </x:c>
      <x:c r="E525" s="9" t="str">
        <x:v>T11.09</x:v>
      </x:c>
      <x:c r="F525" s="9" t="str">
        <x:v>Retention, churn, and cohort economics</x:v>
      </x:c>
      <x:c r="G525" s="9" t="str">
        <x:v>Study these together to connect operating choices and customer economics to financial performance.</x:v>
      </x:c>
      <x:c r="H525" s="9" t="str">
        <x:v>A topical exploration link, not a claim that one determines the other.</x:v>
      </x:c>
      <x:c r="I525" s="9" t="str">
        <x:v>Curated curriculum relationship</x:v>
      </x:c>
    </x:row>
    <x:row r="526" ht="58" customHeight="1">
      <x:c r="A526" s="10" t="str">
        <x:v>E0521</x:v>
      </x:c>
      <x:c r="B526" s="10" t="str">
        <x:v>T05.06</x:v>
      </x:c>
      <x:c r="C526" s="10" t="str">
        <x:v>Gross profit and gross margin</x:v>
      </x:c>
      <x:c r="D526" s="14" t="str">
        <x:v>RECOMMENDED_BEFORE</x:v>
      </x:c>
      <x:c r="E526" s="10" t="str">
        <x:v>T11.08</x:v>
      </x:c>
      <x:c r="F526" s="10" t="str">
        <x:v>Customer lifetime value</x:v>
      </x:c>
      <x:c r="G526" s="10" t="str">
        <x:v>Suggested starting knowledge: Gross profit and gross margin. It helps you connect operating choices and customer economics to financial performance.</x:v>
      </x:c>
      <x:c r="H526" s="10" t="str">
        <x:v>Suggested learning order; learners can still explore freely.</x:v>
      </x:c>
      <x:c r="I526" s="10" t="str">
        <x:v>Curated curriculum relationship</x:v>
      </x:c>
    </x:row>
    <x:row r="527" ht="58" customHeight="1">
      <x:c r="A527" s="9" t="str">
        <x:v>E0522</x:v>
      </x:c>
      <x:c r="B527" s="9" t="str">
        <x:v>T11.09</x:v>
      </x:c>
      <x:c r="C527" s="9" t="str">
        <x:v>Retention, churn, and cohort economics</x:v>
      </x:c>
      <x:c r="D527" s="15" t="str">
        <x:v>PART_OF</x:v>
      </x:c>
      <x:c r="E527" s="9" t="str">
        <x:v>D11</x:v>
      </x:c>
      <x:c r="F527" s="9" t="str">
        <x:v>Business economics and unit economics</x:v>
      </x:c>
      <x:c r="G527" s="9" t="str">
        <x:v>Curriculum membership. Use this link to move between the topic and its finance area.</x:v>
      </x:c>
      <x:c r="H527" s="9" t="str">
        <x:v>Classification only; this edge is not a causal or calculation relationship.</x:v>
      </x:c>
      <x:c r="I527" s="9" t="str">
        <x:v>Curated curriculum relationship</x:v>
      </x:c>
    </x:row>
    <x:row r="528" ht="58" customHeight="1">
      <x:c r="A528" s="10" t="str">
        <x:v>E0523</x:v>
      </x:c>
      <x:c r="B528" s="10" t="str">
        <x:v>T11.09</x:v>
      </x:c>
      <x:c r="C528" s="10" t="str">
        <x:v>Retention, churn, and cohort economics</x:v>
      </x:c>
      <x:c r="D528" s="14" t="str">
        <x:v>EXPLORE_WITH</x:v>
      </x:c>
      <x:c r="E528" s="10" t="str">
        <x:v>T11.08</x:v>
      </x:c>
      <x:c r="F528" s="10" t="str">
        <x:v>Customer lifetime value</x:v>
      </x:c>
      <x:c r="G528" s="10" t="str">
        <x:v>Study these together to connect operating choices and customer economics to financial performance.</x:v>
      </x:c>
      <x:c r="H528" s="10" t="str">
        <x:v>A topical exploration link, not a claim that one determines the other.</x:v>
      </x:c>
      <x:c r="I528" s="10" t="str">
        <x:v>Curated curriculum relationship</x:v>
      </x:c>
    </x:row>
    <x:row r="529" ht="58" customHeight="1">
      <x:c r="A529" s="9" t="str">
        <x:v>E0524</x:v>
      </x:c>
      <x:c r="B529" s="9" t="str">
        <x:v>T05.06</x:v>
      </x:c>
      <x:c r="C529" s="9" t="str">
        <x:v>Gross profit and gross margin</x:v>
      </x:c>
      <x:c r="D529" s="15" t="str">
        <x:v>RECOMMENDED_BEFORE</x:v>
      </x:c>
      <x:c r="E529" s="9" t="str">
        <x:v>T11.09</x:v>
      </x:c>
      <x:c r="F529" s="9" t="str">
        <x:v>Retention, churn, and cohort economics</x:v>
      </x:c>
      <x:c r="G529" s="9" t="str">
        <x:v>Suggested starting knowledge: Gross profit and gross margin. It helps you connect operating choices and customer economics to financial performance.</x:v>
      </x:c>
      <x:c r="H529" s="9" t="str">
        <x:v>Suggested learning order; learners can still explore freely.</x:v>
      </x:c>
      <x:c r="I529" s="9" t="str">
        <x:v>Curated curriculum relationship</x:v>
      </x:c>
    </x:row>
    <x:row r="530" ht="58" customHeight="1">
      <x:c r="A530" s="10" t="str">
        <x:v>E0525</x:v>
      </x:c>
      <x:c r="B530" s="10" t="str">
        <x:v>T11.10</x:v>
      </x:c>
      <x:c r="C530" s="10" t="str">
        <x:v>Customer and product profitability</x:v>
      </x:c>
      <x:c r="D530" s="14" t="str">
        <x:v>PART_OF</x:v>
      </x:c>
      <x:c r="E530" s="10" t="str">
        <x:v>D11</x:v>
      </x:c>
      <x:c r="F530" s="10" t="str">
        <x:v>Business economics and unit economics</x:v>
      </x:c>
      <x:c r="G530" s="10" t="str">
        <x:v>Curriculum membership. Use this link to move between the topic and its finance area.</x:v>
      </x:c>
      <x:c r="H530" s="10" t="str">
        <x:v>Classification only; this edge is not a causal or calculation relationship.</x:v>
      </x:c>
      <x:c r="I530" s="10" t="str">
        <x:v>Curated curriculum relationship</x:v>
      </x:c>
    </x:row>
    <x:row r="531" ht="58" customHeight="1">
      <x:c r="A531" s="9" t="str">
        <x:v>E0526</x:v>
      </x:c>
      <x:c r="B531" s="9" t="str">
        <x:v>T11.10</x:v>
      </x:c>
      <x:c r="C531" s="9" t="str">
        <x:v>Customer and product profitability</x:v>
      </x:c>
      <x:c r="D531" s="15" t="str">
        <x:v>EXPLORE_WITH</x:v>
      </x:c>
      <x:c r="E531" s="9" t="str">
        <x:v>T11.03</x:v>
      </x:c>
      <x:c r="F531" s="9" t="str">
        <x:v>Contribution margin and break-even analysis</x:v>
      </x:c>
      <x:c r="G531" s="9" t="str">
        <x:v>Study these together to connect operating choices and customer economics to financial performance.</x:v>
      </x:c>
      <x:c r="H531" s="9" t="str">
        <x:v>A topical exploration link, not a claim that one determines the other.</x:v>
      </x:c>
      <x:c r="I531" s="9" t="str">
        <x:v>Curated curriculum relationship</x:v>
      </x:c>
    </x:row>
    <x:row r="532" ht="58" customHeight="1">
      <x:c r="A532" s="10" t="str">
        <x:v>E0527</x:v>
      </x:c>
      <x:c r="B532" s="10" t="str">
        <x:v>T05.06</x:v>
      </x:c>
      <x:c r="C532" s="10" t="str">
        <x:v>Gross profit and gross margin</x:v>
      </x:c>
      <x:c r="D532" s="14" t="str">
        <x:v>RECOMMENDED_BEFORE</x:v>
      </x:c>
      <x:c r="E532" s="10" t="str">
        <x:v>T11.10</x:v>
      </x:c>
      <x:c r="F532" s="10" t="str">
        <x:v>Customer and product profitability</x:v>
      </x:c>
      <x:c r="G532" s="10" t="str">
        <x:v>Suggested starting knowledge: Gross profit and gross margin. It helps you connect operating choices and customer economics to financial performance.</x:v>
      </x:c>
      <x:c r="H532" s="10" t="str">
        <x:v>Suggested learning order; learners can still explore freely.</x:v>
      </x:c>
      <x:c r="I532" s="10" t="str">
        <x:v>Curated curriculum relationship</x:v>
      </x:c>
    </x:row>
    <x:row r="533" ht="58" customHeight="1">
      <x:c r="A533" s="9" t="str">
        <x:v>E0528</x:v>
      </x:c>
      <x:c r="B533" s="9" t="str">
        <x:v>T11.11</x:v>
      </x:c>
      <x:c r="C533" s="9" t="str">
        <x:v>Payback periods and contribution after acquisition costs</x:v>
      </x:c>
      <x:c r="D533" s="15" t="str">
        <x:v>PART_OF</x:v>
      </x:c>
      <x:c r="E533" s="9" t="str">
        <x:v>D11</x:v>
      </x:c>
      <x:c r="F533" s="9" t="str">
        <x:v>Business economics and unit economics</x:v>
      </x:c>
      <x:c r="G533" s="9" t="str">
        <x:v>Curriculum membership. Use this link to move between the topic and its finance area.</x:v>
      </x:c>
      <x:c r="H533" s="9" t="str">
        <x:v>Classification only; this edge is not a causal or calculation relationship.</x:v>
      </x:c>
      <x:c r="I533" s="9" t="str">
        <x:v>Curated curriculum relationship</x:v>
      </x:c>
    </x:row>
    <x:row r="534" ht="58" customHeight="1">
      <x:c r="A534" s="10" t="str">
        <x:v>E0529</x:v>
      </x:c>
      <x:c r="B534" s="10" t="str">
        <x:v>T11.11</x:v>
      </x:c>
      <x:c r="C534" s="10" t="str">
        <x:v>Payback periods and contribution after acquisition costs</x:v>
      </x:c>
      <x:c r="D534" s="14" t="str">
        <x:v>EXPLORE_WITH</x:v>
      </x:c>
      <x:c r="E534" s="10" t="str">
        <x:v>T11.07</x:v>
      </x:c>
      <x:c r="F534" s="10" t="str">
        <x:v>Customer acquisition cost</x:v>
      </x:c>
      <x:c r="G534" s="10" t="str">
        <x:v>Study these together to connect operating choices and customer economics to financial performance.</x:v>
      </x:c>
      <x:c r="H534" s="10" t="str">
        <x:v>A topical exploration link, not a claim that one determines the other.</x:v>
      </x:c>
      <x:c r="I534" s="10" t="str">
        <x:v>Curated curriculum relationship</x:v>
      </x:c>
    </x:row>
    <x:row r="535" ht="58" customHeight="1">
      <x:c r="A535" s="9" t="str">
        <x:v>E0530</x:v>
      </x:c>
      <x:c r="B535" s="9" t="str">
        <x:v>T05.06</x:v>
      </x:c>
      <x:c r="C535" s="9" t="str">
        <x:v>Gross profit and gross margin</x:v>
      </x:c>
      <x:c r="D535" s="15" t="str">
        <x:v>RECOMMENDED_BEFORE</x:v>
      </x:c>
      <x:c r="E535" s="9" t="str">
        <x:v>T11.11</x:v>
      </x:c>
      <x:c r="F535" s="9" t="str">
        <x:v>Payback periods and contribution after acquisition costs</x:v>
      </x:c>
      <x:c r="G535" s="9" t="str">
        <x:v>Suggested starting knowledge: Gross profit and gross margin. It helps you connect operating choices and customer economics to financial performance.</x:v>
      </x:c>
      <x:c r="H535" s="9" t="str">
        <x:v>Suggested learning order; learners can still explore freely.</x:v>
      </x:c>
      <x:c r="I535" s="9" t="str">
        <x:v>Curated curriculum relationship</x:v>
      </x:c>
    </x:row>
    <x:row r="536" ht="58" customHeight="1">
      <x:c r="A536" s="10" t="str">
        <x:v>E0531</x:v>
      </x:c>
      <x:c r="B536" s="10" t="str">
        <x:v>T11.12</x:v>
      </x:c>
      <x:c r="C536" s="10" t="str">
        <x:v>Working-capital intensity and capital intensity</x:v>
      </x:c>
      <x:c r="D536" s="14" t="str">
        <x:v>PART_OF</x:v>
      </x:c>
      <x:c r="E536" s="10" t="str">
        <x:v>D11</x:v>
      </x:c>
      <x:c r="F536" s="10" t="str">
        <x:v>Business economics and unit economics</x:v>
      </x:c>
      <x:c r="G536" s="10" t="str">
        <x:v>Curriculum membership. Use this link to move between the topic and its finance area.</x:v>
      </x:c>
      <x:c r="H536" s="10" t="str">
        <x:v>Classification only; this edge is not a causal or calculation relationship.</x:v>
      </x:c>
      <x:c r="I536" s="10" t="str">
        <x:v>Curated curriculum relationship</x:v>
      </x:c>
    </x:row>
    <x:row r="537" ht="58" customHeight="1">
      <x:c r="A537" s="9" t="str">
        <x:v>E0532</x:v>
      </x:c>
      <x:c r="B537" s="9" t="str">
        <x:v>T11.12</x:v>
      </x:c>
      <x:c r="C537" s="9" t="str">
        <x:v>Working-capital intensity and capital intensity</x:v>
      </x:c>
      <x:c r="D537" s="15" t="str">
        <x:v>EXPLORE_WITH</x:v>
      </x:c>
      <x:c r="E537" s="9" t="str">
        <x:v>T11.15</x:v>
      </x:c>
      <x:c r="F537" s="9" t="str">
        <x:v>Linking business drivers to financial results</x:v>
      </x:c>
      <x:c r="G537" s="9" t="str">
        <x:v>Study these together to connect operating choices and customer economics to financial performance.</x:v>
      </x:c>
      <x:c r="H537" s="9" t="str">
        <x:v>A topical exploration link, not a claim that one determines the other.</x:v>
      </x:c>
      <x:c r="I537" s="9" t="str">
        <x:v>Curated curriculum relationship</x:v>
      </x:c>
    </x:row>
    <x:row r="538" ht="58" customHeight="1">
      <x:c r="A538" s="10" t="str">
        <x:v>E0533</x:v>
      </x:c>
      <x:c r="B538" s="10" t="str">
        <x:v>T05.06</x:v>
      </x:c>
      <x:c r="C538" s="10" t="str">
        <x:v>Gross profit and gross margin</x:v>
      </x:c>
      <x:c r="D538" s="14" t="str">
        <x:v>RECOMMENDED_BEFORE</x:v>
      </x:c>
      <x:c r="E538" s="10" t="str">
        <x:v>T11.12</x:v>
      </x:c>
      <x:c r="F538" s="10" t="str">
        <x:v>Working-capital intensity and capital intensity</x:v>
      </x:c>
      <x:c r="G538" s="10" t="str">
        <x:v>Suggested starting knowledge: Gross profit and gross margin. It helps you connect operating choices and customer economics to financial performance.</x:v>
      </x:c>
      <x:c r="H538" s="10" t="str">
        <x:v>Suggested learning order; learners can still explore freely.</x:v>
      </x:c>
      <x:c r="I538" s="10" t="str">
        <x:v>Curated curriculum relationship</x:v>
      </x:c>
    </x:row>
    <x:row r="539" ht="58" customHeight="1">
      <x:c r="A539" s="9" t="str">
        <x:v>E0534</x:v>
      </x:c>
      <x:c r="B539" s="9" t="str">
        <x:v>T11.13</x:v>
      </x:c>
      <x:c r="C539" s="9" t="str">
        <x:v>Network effects and financial implications</x:v>
      </x:c>
      <x:c r="D539" s="15" t="str">
        <x:v>PART_OF</x:v>
      </x:c>
      <x:c r="E539" s="9" t="str">
        <x:v>D11</x:v>
      </x:c>
      <x:c r="F539" s="9" t="str">
        <x:v>Business economics and unit economics</x:v>
      </x:c>
      <x:c r="G539" s="9" t="str">
        <x:v>Curriculum membership. Use this link to move between the topic and its finance area.</x:v>
      </x:c>
      <x:c r="H539" s="9" t="str">
        <x:v>Classification only; this edge is not a causal or calculation relationship.</x:v>
      </x:c>
      <x:c r="I539" s="9" t="str">
        <x:v>Curated curriculum relationship</x:v>
      </x:c>
    </x:row>
    <x:row r="540" ht="58" customHeight="1">
      <x:c r="A540" s="10" t="str">
        <x:v>E0535</x:v>
      </x:c>
      <x:c r="B540" s="10" t="str">
        <x:v>T11.13</x:v>
      </x:c>
      <x:c r="C540" s="10" t="str">
        <x:v>Network effects and financial implications</x:v>
      </x:c>
      <x:c r="D540" s="14" t="str">
        <x:v>EXPLORE_WITH</x:v>
      </x:c>
      <x:c r="E540" s="10" t="str">
        <x:v>T11.06</x:v>
      </x:c>
      <x:c r="F540" s="10" t="str">
        <x:v>Economies of scale and economies of scope</x:v>
      </x:c>
      <x:c r="G540" s="10" t="str">
        <x:v>Study these together to connect operating choices and customer economics to financial performance.</x:v>
      </x:c>
      <x:c r="H540" s="10" t="str">
        <x:v>A topical exploration link, not a claim that one determines the other.</x:v>
      </x:c>
      <x:c r="I540" s="10" t="str">
        <x:v>Curated curriculum relationship</x:v>
      </x:c>
    </x:row>
    <x:row r="541" ht="58" customHeight="1">
      <x:c r="A541" s="9" t="str">
        <x:v>E0536</x:v>
      </x:c>
      <x:c r="B541" s="9" t="str">
        <x:v>T05.06</x:v>
      </x:c>
      <x:c r="C541" s="9" t="str">
        <x:v>Gross profit and gross margin</x:v>
      </x:c>
      <x:c r="D541" s="15" t="str">
        <x:v>RECOMMENDED_BEFORE</x:v>
      </x:c>
      <x:c r="E541" s="9" t="str">
        <x:v>T11.13</x:v>
      </x:c>
      <x:c r="F541" s="9" t="str">
        <x:v>Network effects and financial implications</x:v>
      </x:c>
      <x:c r="G541" s="9" t="str">
        <x:v>Suggested starting knowledge: Gross profit and gross margin. It helps you connect operating choices and customer economics to financial performance.</x:v>
      </x:c>
      <x:c r="H541" s="9" t="str">
        <x:v>Suggested learning order; learners can still explore freely.</x:v>
      </x:c>
      <x:c r="I541" s="9" t="str">
        <x:v>Curated curriculum relationship</x:v>
      </x:c>
    </x:row>
    <x:row r="542" ht="58" customHeight="1">
      <x:c r="A542" s="10" t="str">
        <x:v>E0537</x:v>
      </x:c>
      <x:c r="B542" s="10" t="str">
        <x:v>T11.14</x:v>
      </x:c>
      <x:c r="C542" s="10" t="str">
        <x:v>Pricing, discounting, and revenue management</x:v>
      </x:c>
      <x:c r="D542" s="14" t="str">
        <x:v>PART_OF</x:v>
      </x:c>
      <x:c r="E542" s="10" t="str">
        <x:v>D11</x:v>
      </x:c>
      <x:c r="F542" s="10" t="str">
        <x:v>Business economics and unit economics</x:v>
      </x:c>
      <x:c r="G542" s="10" t="str">
        <x:v>Curriculum membership. Use this link to move between the topic and its finance area.</x:v>
      </x:c>
      <x:c r="H542" s="10" t="str">
        <x:v>Classification only; this edge is not a causal or calculation relationship.</x:v>
      </x:c>
      <x:c r="I542" s="10" t="str">
        <x:v>Curated curriculum relationship</x:v>
      </x:c>
    </x:row>
    <x:row r="543" ht="58" customHeight="1">
      <x:c r="A543" s="9" t="str">
        <x:v>E0538</x:v>
      </x:c>
      <x:c r="B543" s="9" t="str">
        <x:v>T11.14</x:v>
      </x:c>
      <x:c r="C543" s="9" t="str">
        <x:v>Pricing, discounting, and revenue management</x:v>
      </x:c>
      <x:c r="D543" s="15" t="str">
        <x:v>EXPLORE_WITH</x:v>
      </x:c>
      <x:c r="E543" s="9" t="str">
        <x:v>T11.04</x:v>
      </x:c>
      <x:c r="F543" s="9" t="str">
        <x:v>Price-volume-mix analysis</x:v>
      </x:c>
      <x:c r="G543" s="9" t="str">
        <x:v>Study these together to connect operating choices and customer economics to financial performance.</x:v>
      </x:c>
      <x:c r="H543" s="9" t="str">
        <x:v>A topical exploration link, not a claim that one determines the other.</x:v>
      </x:c>
      <x:c r="I543" s="9" t="str">
        <x:v>Curated curriculum relationship</x:v>
      </x:c>
    </x:row>
    <x:row r="544" ht="58" customHeight="1">
      <x:c r="A544" s="10" t="str">
        <x:v>E0539</x:v>
      </x:c>
      <x:c r="B544" s="10" t="str">
        <x:v>T05.06</x:v>
      </x:c>
      <x:c r="C544" s="10" t="str">
        <x:v>Gross profit and gross margin</x:v>
      </x:c>
      <x:c r="D544" s="14" t="str">
        <x:v>RECOMMENDED_BEFORE</x:v>
      </x:c>
      <x:c r="E544" s="10" t="str">
        <x:v>T11.14</x:v>
      </x:c>
      <x:c r="F544" s="10" t="str">
        <x:v>Pricing, discounting, and revenue management</x:v>
      </x:c>
      <x:c r="G544" s="10" t="str">
        <x:v>Suggested starting knowledge: Gross profit and gross margin. It helps you connect operating choices and customer economics to financial performance.</x:v>
      </x:c>
      <x:c r="H544" s="10" t="str">
        <x:v>Suggested learning order; learners can still explore freely.</x:v>
      </x:c>
      <x:c r="I544" s="10" t="str">
        <x:v>Curated curriculum relationship</x:v>
      </x:c>
    </x:row>
    <x:row r="545" ht="58" customHeight="1">
      <x:c r="A545" s="9" t="str">
        <x:v>E0540</x:v>
      </x:c>
      <x:c r="B545" s="9" t="str">
        <x:v>T11.15</x:v>
      </x:c>
      <x:c r="C545" s="9" t="str">
        <x:v>Linking business drivers to financial results</x:v>
      </x:c>
      <x:c r="D545" s="15" t="str">
        <x:v>PART_OF</x:v>
      </x:c>
      <x:c r="E545" s="9" t="str">
        <x:v>D11</x:v>
      </x:c>
      <x:c r="F545" s="9" t="str">
        <x:v>Business economics and unit economics</x:v>
      </x:c>
      <x:c r="G545" s="9" t="str">
        <x:v>Curriculum membership. Use this link to move between the topic and its finance area.</x:v>
      </x:c>
      <x:c r="H545" s="9" t="str">
        <x:v>Classification only; this edge is not a causal or calculation relationship.</x:v>
      </x:c>
      <x:c r="I545" s="9" t="str">
        <x:v>Curated curriculum relationship</x:v>
      </x:c>
    </x:row>
    <x:row r="546" ht="58" customHeight="1">
      <x:c r="A546" s="10" t="str">
        <x:v>E0541</x:v>
      </x:c>
      <x:c r="B546" s="10" t="str">
        <x:v>T11.15</x:v>
      </x:c>
      <x:c r="C546" s="10" t="str">
        <x:v>Linking business drivers to financial results</x:v>
      </x:c>
      <x:c r="D546" s="14" t="str">
        <x:v>EXPLORE_WITH</x:v>
      </x:c>
      <x:c r="E546" s="10" t="str">
        <x:v>T11.01</x:v>
      </x:c>
      <x:c r="F546" s="10" t="str">
        <x:v>Revenue models and cost structures</x:v>
      </x:c>
      <x:c r="G546" s="10" t="str">
        <x:v>Study these together to connect operating choices and customer economics to financial performance.</x:v>
      </x:c>
      <x:c r="H546" s="10" t="str">
        <x:v>A topical exploration link, not a claim that one determines the other.</x:v>
      </x:c>
      <x:c r="I546" s="10" t="str">
        <x:v>Curated curriculum relationship</x:v>
      </x:c>
    </x:row>
    <x:row r="547" ht="58" customHeight="1">
      <x:c r="A547" s="9" t="str">
        <x:v>E0542</x:v>
      </x:c>
      <x:c r="B547" s="9" t="str">
        <x:v>T05.06</x:v>
      </x:c>
      <x:c r="C547" s="9" t="str">
        <x:v>Gross profit and gross margin</x:v>
      </x:c>
      <x:c r="D547" s="15" t="str">
        <x:v>RECOMMENDED_BEFORE</x:v>
      </x:c>
      <x:c r="E547" s="9" t="str">
        <x:v>T11.15</x:v>
      </x:c>
      <x:c r="F547" s="9" t="str">
        <x:v>Linking business drivers to financial results</x:v>
      </x:c>
      <x:c r="G547" s="9" t="str">
        <x:v>Suggested starting knowledge: Gross profit and gross margin. It helps you connect operating choices and customer economics to financial performance.</x:v>
      </x:c>
      <x:c r="H547" s="9" t="str">
        <x:v>Suggested learning order; learners can still explore freely.</x:v>
      </x:c>
      <x:c r="I547" s="9" t="str">
        <x:v>Curated curriculum relationship</x:v>
      </x:c>
    </x:row>
    <x:row r="548" ht="58" customHeight="1">
      <x:c r="A548" s="10" t="str">
        <x:v>E0543</x:v>
      </x:c>
      <x:c r="B548" s="10" t="str">
        <x:v>T12.01</x:v>
      </x:c>
      <x:c r="C548" s="10" t="str">
        <x:v>Objectives of the firm and shareholder value</x:v>
      </x:c>
      <x:c r="D548" s="14" t="str">
        <x:v>PART_OF</x:v>
      </x:c>
      <x:c r="E548" s="10" t="str">
        <x:v>D12</x:v>
      </x:c>
      <x:c r="F548" s="10" t="str">
        <x:v>Corporate finance and capital allocation</x:v>
      </x:c>
      <x:c r="G548" s="10" t="str">
        <x:v>Curriculum membership. Use this link to move between the topic and its finance area.</x:v>
      </x:c>
      <x:c r="H548" s="10" t="str">
        <x:v>Classification only; this edge is not a causal or calculation relationship.</x:v>
      </x:c>
      <x:c r="I548" s="10" t="str">
        <x:v>Curated curriculum relationship</x:v>
      </x:c>
    </x:row>
    <x:row r="549" ht="58" customHeight="1">
      <x:c r="A549" s="9" t="str">
        <x:v>E0544</x:v>
      </x:c>
      <x:c r="B549" s="9" t="str">
        <x:v>T12.01</x:v>
      </x:c>
      <x:c r="C549" s="9" t="str">
        <x:v>Objectives of the firm and shareholder value</x:v>
      </x:c>
      <x:c r="D549" s="15" t="str">
        <x:v>EXPLORE_WITH</x:v>
      </x:c>
      <x:c r="E549" s="9" t="str">
        <x:v>T12.02</x:v>
      </x:c>
      <x:c r="F549" s="9" t="str">
        <x:v>Stakeholder trade-offs and agency costs</x:v>
      </x:c>
      <x:c r="G549" s="9" t="str">
        <x:v>Study these together to compare uses of capital using incremental cash flows and risk.</x:v>
      </x:c>
      <x:c r="H549" s="9" t="str">
        <x:v>A topical exploration link, not a claim that one determines the other.</x:v>
      </x:c>
      <x:c r="I549" s="9" t="str">
        <x:v>Curated curriculum relationship</x:v>
      </x:c>
    </x:row>
    <x:row r="550" ht="58" customHeight="1">
      <x:c r="A550" s="10" t="str">
        <x:v>E0545</x:v>
      </x:c>
      <x:c r="B550" s="10" t="str">
        <x:v>T03.12</x:v>
      </x:c>
      <x:c r="C550" s="10" t="str">
        <x:v>Net present value</x:v>
      </x:c>
      <x:c r="D550" s="14" t="str">
        <x:v>RECOMMENDED_BEFORE</x:v>
      </x:c>
      <x:c r="E550" s="10" t="str">
        <x:v>T12.01</x:v>
      </x:c>
      <x:c r="F550" s="10" t="str">
        <x:v>Objectives of the firm and shareholder value</x:v>
      </x:c>
      <x:c r="G550" s="10" t="str">
        <x:v>Suggested starting knowledge: Net present value. It helps you compare uses of capital using incremental cash flows and risk.</x:v>
      </x:c>
      <x:c r="H550" s="10" t="str">
        <x:v>Suggested learning order; learners can still explore freely.</x:v>
      </x:c>
      <x:c r="I550" s="10" t="str">
        <x:v>Curated curriculum relationship</x:v>
      </x:c>
    </x:row>
    <x:row r="551" ht="58" customHeight="1">
      <x:c r="A551" s="9" t="str">
        <x:v>E0546</x:v>
      </x:c>
      <x:c r="B551" s="9" t="str">
        <x:v>T12.02</x:v>
      </x:c>
      <x:c r="C551" s="9" t="str">
        <x:v>Stakeholder trade-offs and agency costs</x:v>
      </x:c>
      <x:c r="D551" s="15" t="str">
        <x:v>PART_OF</x:v>
      </x:c>
      <x:c r="E551" s="9" t="str">
        <x:v>D12</x:v>
      </x:c>
      <x:c r="F551" s="9" t="str">
        <x:v>Corporate finance and capital allocation</x:v>
      </x:c>
      <x:c r="G551" s="9" t="str">
        <x:v>Curriculum membership. Use this link to move between the topic and its finance area.</x:v>
      </x:c>
      <x:c r="H551" s="9" t="str">
        <x:v>Classification only; this edge is not a causal or calculation relationship.</x:v>
      </x:c>
      <x:c r="I551" s="9" t="str">
        <x:v>Curated curriculum relationship</x:v>
      </x:c>
    </x:row>
    <x:row r="552" ht="58" customHeight="1">
      <x:c r="A552" s="10" t="str">
        <x:v>E0547</x:v>
      </x:c>
      <x:c r="B552" s="10" t="str">
        <x:v>T12.02</x:v>
      </x:c>
      <x:c r="C552" s="10" t="str">
        <x:v>Stakeholder trade-offs and agency costs</x:v>
      </x:c>
      <x:c r="D552" s="14" t="str">
        <x:v>EXPLORE_WITH</x:v>
      </x:c>
      <x:c r="E552" s="10" t="str">
        <x:v>T12.01</x:v>
      </x:c>
      <x:c r="F552" s="10" t="str">
        <x:v>Objectives of the firm and shareholder value</x:v>
      </x:c>
      <x:c r="G552" s="10" t="str">
        <x:v>Study these together to compare uses of capital using incremental cash flows and risk.</x:v>
      </x:c>
      <x:c r="H552" s="10" t="str">
        <x:v>A topical exploration link, not a claim that one determines the other.</x:v>
      </x:c>
      <x:c r="I552" s="10" t="str">
        <x:v>Curated curriculum relationship</x:v>
      </x:c>
    </x:row>
    <x:row r="553" ht="58" customHeight="1">
      <x:c r="A553" s="9" t="str">
        <x:v>E0548</x:v>
      </x:c>
      <x:c r="B553" s="9" t="str">
        <x:v>T03.12</x:v>
      </x:c>
      <x:c r="C553" s="9" t="str">
        <x:v>Net present value</x:v>
      </x:c>
      <x:c r="D553" s="15" t="str">
        <x:v>RECOMMENDED_BEFORE</x:v>
      </x:c>
      <x:c r="E553" s="9" t="str">
        <x:v>T12.02</x:v>
      </x:c>
      <x:c r="F553" s="9" t="str">
        <x:v>Stakeholder trade-offs and agency costs</x:v>
      </x:c>
      <x:c r="G553" s="9" t="str">
        <x:v>Suggested starting knowledge: Net present value. It helps you compare uses of capital using incremental cash flows and risk.</x:v>
      </x:c>
      <x:c r="H553" s="9" t="str">
        <x:v>Suggested learning order; learners can still explore freely.</x:v>
      </x:c>
      <x:c r="I553" s="9" t="str">
        <x:v>Curated curriculum relationship</x:v>
      </x:c>
    </x:row>
    <x:row r="554" ht="58" customHeight="1">
      <x:c r="A554" s="10" t="str">
        <x:v>E0549</x:v>
      </x:c>
      <x:c r="B554" s="10" t="str">
        <x:v>T12.03</x:v>
      </x:c>
      <x:c r="C554" s="10" t="str">
        <x:v>Investment, financing, and payout decisions</x:v>
      </x:c>
      <x:c r="D554" s="14" t="str">
        <x:v>PART_OF</x:v>
      </x:c>
      <x:c r="E554" s="10" t="str">
        <x:v>D12</x:v>
      </x:c>
      <x:c r="F554" s="10" t="str">
        <x:v>Corporate finance and capital allocation</x:v>
      </x:c>
      <x:c r="G554" s="10" t="str">
        <x:v>Curriculum membership. Use this link to move between the topic and its finance area.</x:v>
      </x:c>
      <x:c r="H554" s="10" t="str">
        <x:v>Classification only; this edge is not a causal or calculation relationship.</x:v>
      </x:c>
      <x:c r="I554" s="10" t="str">
        <x:v>Curated curriculum relationship</x:v>
      </x:c>
    </x:row>
    <x:row r="555" ht="58" customHeight="1">
      <x:c r="A555" s="9" t="str">
        <x:v>E0550</x:v>
      </x:c>
      <x:c r="B555" s="9" t="str">
        <x:v>T12.03</x:v>
      </x:c>
      <x:c r="C555" s="9" t="str">
        <x:v>Investment, financing, and payout decisions</x:v>
      </x:c>
      <x:c r="D555" s="15" t="str">
        <x:v>EXPLORE_WITH</x:v>
      </x:c>
      <x:c r="E555" s="9" t="str">
        <x:v>T12.04</x:v>
      </x:c>
      <x:c r="F555" s="9" t="str">
        <x:v>Capital budgeting</x:v>
      </x:c>
      <x:c r="G555" s="9" t="str">
        <x:v>Study these together to compare uses of capital using incremental cash flows and risk.</x:v>
      </x:c>
      <x:c r="H555" s="9" t="str">
        <x:v>A topical exploration link, not a claim that one determines the other.</x:v>
      </x:c>
      <x:c r="I555" s="9" t="str">
        <x:v>Curated curriculum relationship</x:v>
      </x:c>
    </x:row>
    <x:row r="556" ht="58" customHeight="1">
      <x:c r="A556" s="10" t="str">
        <x:v>E0551</x:v>
      </x:c>
      <x:c r="B556" s="10" t="str">
        <x:v>T03.12</x:v>
      </x:c>
      <x:c r="C556" s="10" t="str">
        <x:v>Net present value</x:v>
      </x:c>
      <x:c r="D556" s="14" t="str">
        <x:v>RECOMMENDED_BEFORE</x:v>
      </x:c>
      <x:c r="E556" s="10" t="str">
        <x:v>T12.03</x:v>
      </x:c>
      <x:c r="F556" s="10" t="str">
        <x:v>Investment, financing, and payout decisions</x:v>
      </x:c>
      <x:c r="G556" s="10" t="str">
        <x:v>Suggested starting knowledge: Net present value. It helps you compare uses of capital using incremental cash flows and risk.</x:v>
      </x:c>
      <x:c r="H556" s="10" t="str">
        <x:v>Suggested learning order; learners can still explore freely.</x:v>
      </x:c>
      <x:c r="I556" s="10" t="str">
        <x:v>Curated curriculum relationship</x:v>
      </x:c>
    </x:row>
    <x:row r="557" ht="58" customHeight="1">
      <x:c r="A557" s="9" t="str">
        <x:v>E0552</x:v>
      </x:c>
      <x:c r="B557" s="9" t="str">
        <x:v>T12.04</x:v>
      </x:c>
      <x:c r="C557" s="9" t="str">
        <x:v>Capital budgeting</x:v>
      </x:c>
      <x:c r="D557" s="15" t="str">
        <x:v>PART_OF</x:v>
      </x:c>
      <x:c r="E557" s="9" t="str">
        <x:v>D12</x:v>
      </x:c>
      <x:c r="F557" s="9" t="str">
        <x:v>Corporate finance and capital allocation</x:v>
      </x:c>
      <x:c r="G557" s="9" t="str">
        <x:v>Curriculum membership. Use this link to move between the topic and its finance area.</x:v>
      </x:c>
      <x:c r="H557" s="9" t="str">
        <x:v>Classification only; this edge is not a causal or calculation relationship.</x:v>
      </x:c>
      <x:c r="I557" s="9" t="str">
        <x:v>Curated curriculum relationship</x:v>
      </x:c>
    </x:row>
    <x:row r="558" ht="58" customHeight="1">
      <x:c r="A558" s="10" t="str">
        <x:v>E0553</x:v>
      </x:c>
      <x:c r="B558" s="10" t="str">
        <x:v>T12.04</x:v>
      </x:c>
      <x:c r="C558" s="10" t="str">
        <x:v>Capital budgeting</x:v>
      </x:c>
      <x:c r="D558" s="14" t="str">
        <x:v>EXPLORE_WITH</x:v>
      </x:c>
      <x:c r="E558" s="10" t="str">
        <x:v>T12.05</x:v>
      </x:c>
      <x:c r="F558" s="10" t="str">
        <x:v>Incremental cash flows</x:v>
      </x:c>
      <x:c r="G558" s="10" t="str">
        <x:v>Study these together to compare uses of capital using incremental cash flows and risk.</x:v>
      </x:c>
      <x:c r="H558" s="10" t="str">
        <x:v>A topical exploration link, not a claim that one determines the other.</x:v>
      </x:c>
      <x:c r="I558" s="10" t="str">
        <x:v>Curated curriculum relationship</x:v>
      </x:c>
    </x:row>
    <x:row r="559" ht="58" customHeight="1">
      <x:c r="A559" s="9" t="str">
        <x:v>E0554</x:v>
      </x:c>
      <x:c r="B559" s="9" t="str">
        <x:v>T03.12</x:v>
      </x:c>
      <x:c r="C559" s="9" t="str">
        <x:v>Net present value</x:v>
      </x:c>
      <x:c r="D559" s="15" t="str">
        <x:v>RECOMMENDED_BEFORE</x:v>
      </x:c>
      <x:c r="E559" s="9" t="str">
        <x:v>T12.04</x:v>
      </x:c>
      <x:c r="F559" s="9" t="str">
        <x:v>Capital budgeting</x:v>
      </x:c>
      <x:c r="G559" s="9" t="str">
        <x:v>Suggested starting knowledge: Net present value. It helps you compare uses of capital using incremental cash flows and risk.</x:v>
      </x:c>
      <x:c r="H559" s="9" t="str">
        <x:v>Suggested learning order; learners can still explore freely.</x:v>
      </x:c>
      <x:c r="I559" s="9" t="str">
        <x:v>Curated curriculum relationship</x:v>
      </x:c>
    </x:row>
    <x:row r="560" ht="58" customHeight="1">
      <x:c r="A560" s="10" t="str">
        <x:v>E0555</x:v>
      </x:c>
      <x:c r="B560" s="10" t="str">
        <x:v>T12.05</x:v>
      </x:c>
      <x:c r="C560" s="10" t="str">
        <x:v>Incremental cash flows</x:v>
      </x:c>
      <x:c r="D560" s="14" t="str">
        <x:v>PART_OF</x:v>
      </x:c>
      <x:c r="E560" s="10" t="str">
        <x:v>D12</x:v>
      </x:c>
      <x:c r="F560" s="10" t="str">
        <x:v>Corporate finance and capital allocation</x:v>
      </x:c>
      <x:c r="G560" s="10" t="str">
        <x:v>Curriculum membership. Use this link to move between the topic and its finance area.</x:v>
      </x:c>
      <x:c r="H560" s="10" t="str">
        <x:v>Classification only; this edge is not a causal or calculation relationship.</x:v>
      </x:c>
      <x:c r="I560" s="10" t="str">
        <x:v>Curated curriculum relationship</x:v>
      </x:c>
    </x:row>
    <x:row r="561" ht="58" customHeight="1">
      <x:c r="A561" s="9" t="str">
        <x:v>E0556</x:v>
      </x:c>
      <x:c r="B561" s="9" t="str">
        <x:v>T12.05</x:v>
      </x:c>
      <x:c r="C561" s="9" t="str">
        <x:v>Incremental cash flows</x:v>
      </x:c>
      <x:c r="D561" s="15" t="str">
        <x:v>EXPLORE_WITH</x:v>
      </x:c>
      <x:c r="E561" s="9" t="str">
        <x:v>T12.06</x:v>
      </x:c>
      <x:c r="F561" s="9" t="str">
        <x:v>Sunk costs, opportunity costs, and externalities</x:v>
      </x:c>
      <x:c r="G561" s="9" t="str">
        <x:v>Study these together to compare uses of capital using incremental cash flows and risk.</x:v>
      </x:c>
      <x:c r="H561" s="9" t="str">
        <x:v>A topical exploration link, not a claim that one determines the other.</x:v>
      </x:c>
      <x:c r="I561" s="9" t="str">
        <x:v>Curated curriculum relationship</x:v>
      </x:c>
    </x:row>
    <x:row r="562" ht="58" customHeight="1">
      <x:c r="A562" s="10" t="str">
        <x:v>E0557</x:v>
      </x:c>
      <x:c r="B562" s="10" t="str">
        <x:v>T03.12</x:v>
      </x:c>
      <x:c r="C562" s="10" t="str">
        <x:v>Net present value</x:v>
      </x:c>
      <x:c r="D562" s="14" t="str">
        <x:v>RECOMMENDED_BEFORE</x:v>
      </x:c>
      <x:c r="E562" s="10" t="str">
        <x:v>T12.05</x:v>
      </x:c>
      <x:c r="F562" s="10" t="str">
        <x:v>Incremental cash flows</x:v>
      </x:c>
      <x:c r="G562" s="10" t="str">
        <x:v>Suggested starting knowledge: Net present value. It helps you compare uses of capital using incremental cash flows and risk.</x:v>
      </x:c>
      <x:c r="H562" s="10" t="str">
        <x:v>Suggested learning order; learners can still explore freely.</x:v>
      </x:c>
      <x:c r="I562" s="10" t="str">
        <x:v>Curated curriculum relationship</x:v>
      </x:c>
    </x:row>
    <x:row r="563" ht="58" customHeight="1">
      <x:c r="A563" s="9" t="str">
        <x:v>E0558</x:v>
      </x:c>
      <x:c r="B563" s="9" t="str">
        <x:v>T12.06</x:v>
      </x:c>
      <x:c r="C563" s="9" t="str">
        <x:v>Sunk costs, opportunity costs, and externalities</x:v>
      </x:c>
      <x:c r="D563" s="15" t="str">
        <x:v>PART_OF</x:v>
      </x:c>
      <x:c r="E563" s="9" t="str">
        <x:v>D12</x:v>
      </x:c>
      <x:c r="F563" s="9" t="str">
        <x:v>Corporate finance and capital allocation</x:v>
      </x:c>
      <x:c r="G563" s="9" t="str">
        <x:v>Curriculum membership. Use this link to move between the topic and its finance area.</x:v>
      </x:c>
      <x:c r="H563" s="9" t="str">
        <x:v>Classification only; this edge is not a causal or calculation relationship.</x:v>
      </x:c>
      <x:c r="I563" s="9" t="str">
        <x:v>Curated curriculum relationship</x:v>
      </x:c>
    </x:row>
    <x:row r="564" ht="58" customHeight="1">
      <x:c r="A564" s="10" t="str">
        <x:v>E0559</x:v>
      </x:c>
      <x:c r="B564" s="10" t="str">
        <x:v>T12.06</x:v>
      </x:c>
      <x:c r="C564" s="10" t="str">
        <x:v>Sunk costs, opportunity costs, and externalities</x:v>
      </x:c>
      <x:c r="D564" s="14" t="str">
        <x:v>EXPLORE_WITH</x:v>
      </x:c>
      <x:c r="E564" s="10" t="str">
        <x:v>T12.05</x:v>
      </x:c>
      <x:c r="F564" s="10" t="str">
        <x:v>Incremental cash flows</x:v>
      </x:c>
      <x:c r="G564" s="10" t="str">
        <x:v>Study these together to compare uses of capital using incremental cash flows and risk.</x:v>
      </x:c>
      <x:c r="H564" s="10" t="str">
        <x:v>A topical exploration link, not a claim that one determines the other.</x:v>
      </x:c>
      <x:c r="I564" s="10" t="str">
        <x:v>Curated curriculum relationship</x:v>
      </x:c>
    </x:row>
    <x:row r="565" ht="58" customHeight="1">
      <x:c r="A565" s="9" t="str">
        <x:v>E0560</x:v>
      </x:c>
      <x:c r="B565" s="9" t="str">
        <x:v>T03.12</x:v>
      </x:c>
      <x:c r="C565" s="9" t="str">
        <x:v>Net present value</x:v>
      </x:c>
      <x:c r="D565" s="15" t="str">
        <x:v>RECOMMENDED_BEFORE</x:v>
      </x:c>
      <x:c r="E565" s="9" t="str">
        <x:v>T12.06</x:v>
      </x:c>
      <x:c r="F565" s="9" t="str">
        <x:v>Sunk costs, opportunity costs, and externalities</x:v>
      </x:c>
      <x:c r="G565" s="9" t="str">
        <x:v>Suggested starting knowledge: Net present value. It helps you compare uses of capital using incremental cash flows and risk.</x:v>
      </x:c>
      <x:c r="H565" s="9" t="str">
        <x:v>Suggested learning order; learners can still explore freely.</x:v>
      </x:c>
      <x:c r="I565" s="9" t="str">
        <x:v>Curated curriculum relationship</x:v>
      </x:c>
    </x:row>
    <x:row r="566" ht="58" customHeight="1">
      <x:c r="A566" s="10" t="str">
        <x:v>E0561</x:v>
      </x:c>
      <x:c r="B566" s="10" t="str">
        <x:v>T12.07</x:v>
      </x:c>
      <x:c r="C566" s="10" t="str">
        <x:v>Replacement, expansion, and mutually exclusive projects</x:v>
      </x:c>
      <x:c r="D566" s="14" t="str">
        <x:v>PART_OF</x:v>
      </x:c>
      <x:c r="E566" s="10" t="str">
        <x:v>D12</x:v>
      </x:c>
      <x:c r="F566" s="10" t="str">
        <x:v>Corporate finance and capital allocation</x:v>
      </x:c>
      <x:c r="G566" s="10" t="str">
        <x:v>Curriculum membership. Use this link to move between the topic and its finance area.</x:v>
      </x:c>
      <x:c r="H566" s="10" t="str">
        <x:v>Classification only; this edge is not a causal or calculation relationship.</x:v>
      </x:c>
      <x:c r="I566" s="10" t="str">
        <x:v>Curated curriculum relationship</x:v>
      </x:c>
    </x:row>
    <x:row r="567" ht="58" customHeight="1">
      <x:c r="A567" s="9" t="str">
        <x:v>E0562</x:v>
      </x:c>
      <x:c r="B567" s="9" t="str">
        <x:v>T12.07</x:v>
      </x:c>
      <x:c r="C567" s="9" t="str">
        <x:v>Replacement, expansion, and mutually exclusive projects</x:v>
      </x:c>
      <x:c r="D567" s="15" t="str">
        <x:v>EXPLORE_WITH</x:v>
      </x:c>
      <x:c r="E567" s="9" t="str">
        <x:v>T12.04</x:v>
      </x:c>
      <x:c r="F567" s="9" t="str">
        <x:v>Capital budgeting</x:v>
      </x:c>
      <x:c r="G567" s="9" t="str">
        <x:v>Study these together to compare uses of capital using incremental cash flows and risk.</x:v>
      </x:c>
      <x:c r="H567" s="9" t="str">
        <x:v>A topical exploration link, not a claim that one determines the other.</x:v>
      </x:c>
      <x:c r="I567" s="9" t="str">
        <x:v>Curated curriculum relationship</x:v>
      </x:c>
    </x:row>
    <x:row r="568" ht="58" customHeight="1">
      <x:c r="A568" s="10" t="str">
        <x:v>E0563</x:v>
      </x:c>
      <x:c r="B568" s="10" t="str">
        <x:v>T03.12</x:v>
      </x:c>
      <x:c r="C568" s="10" t="str">
        <x:v>Net present value</x:v>
      </x:c>
      <x:c r="D568" s="14" t="str">
        <x:v>RECOMMENDED_BEFORE</x:v>
      </x:c>
      <x:c r="E568" s="10" t="str">
        <x:v>T12.07</x:v>
      </x:c>
      <x:c r="F568" s="10" t="str">
        <x:v>Replacement, expansion, and mutually exclusive projects</x:v>
      </x:c>
      <x:c r="G568" s="10" t="str">
        <x:v>Suggested starting knowledge: Net present value. It helps you compare uses of capital using incremental cash flows and risk.</x:v>
      </x:c>
      <x:c r="H568" s="10" t="str">
        <x:v>Suggested learning order; learners can still explore freely.</x:v>
      </x:c>
      <x:c r="I568" s="10" t="str">
        <x:v>Curated curriculum relationship</x:v>
      </x:c>
    </x:row>
    <x:row r="569" ht="58" customHeight="1">
      <x:c r="A569" s="9" t="str">
        <x:v>E0564</x:v>
      </x:c>
      <x:c r="B569" s="9" t="str">
        <x:v>T12.08</x:v>
      </x:c>
      <x:c r="C569" s="9" t="str">
        <x:v>NPV, IRR, MIRR, payback, and profitability index</x:v>
      </x:c>
      <x:c r="D569" s="15" t="str">
        <x:v>PART_OF</x:v>
      </x:c>
      <x:c r="E569" s="9" t="str">
        <x:v>D12</x:v>
      </x:c>
      <x:c r="F569" s="9" t="str">
        <x:v>Corporate finance and capital allocation</x:v>
      </x:c>
      <x:c r="G569" s="9" t="str">
        <x:v>Curriculum membership. Use this link to move between the topic and its finance area.</x:v>
      </x:c>
      <x:c r="H569" s="9" t="str">
        <x:v>Classification only; this edge is not a causal or calculation relationship.</x:v>
      </x:c>
      <x:c r="I569" s="9" t="str">
        <x:v>Curated curriculum relationship</x:v>
      </x:c>
    </x:row>
    <x:row r="570" ht="58" customHeight="1">
      <x:c r="A570" s="10" t="str">
        <x:v>E0565</x:v>
      </x:c>
      <x:c r="B570" s="10" t="str">
        <x:v>T12.08</x:v>
      </x:c>
      <x:c r="C570" s="10" t="str">
        <x:v>NPV, IRR, MIRR, payback, and profitability index</x:v>
      </x:c>
      <x:c r="D570" s="14" t="str">
        <x:v>EXPLORE_WITH</x:v>
      </x:c>
      <x:c r="E570" s="10" t="str">
        <x:v>T12.04</x:v>
      </x:c>
      <x:c r="F570" s="10" t="str">
        <x:v>Capital budgeting</x:v>
      </x:c>
      <x:c r="G570" s="10" t="str">
        <x:v>Study these together to compare uses of capital using incremental cash flows and risk.</x:v>
      </x:c>
      <x:c r="H570" s="10" t="str">
        <x:v>A topical exploration link, not a claim that one determines the other.</x:v>
      </x:c>
      <x:c r="I570" s="10" t="str">
        <x:v>Curated curriculum relationship</x:v>
      </x:c>
    </x:row>
    <x:row r="571" ht="58" customHeight="1">
      <x:c r="A571" s="9" t="str">
        <x:v>E0566</x:v>
      </x:c>
      <x:c r="B571" s="9" t="str">
        <x:v>T03.12</x:v>
      </x:c>
      <x:c r="C571" s="9" t="str">
        <x:v>Net present value</x:v>
      </x:c>
      <x:c r="D571" s="15" t="str">
        <x:v>RECOMMENDED_BEFORE</x:v>
      </x:c>
      <x:c r="E571" s="9" t="str">
        <x:v>T12.08</x:v>
      </x:c>
      <x:c r="F571" s="9" t="str">
        <x:v>NPV, IRR, MIRR, payback, and profitability index</x:v>
      </x:c>
      <x:c r="G571" s="9" t="str">
        <x:v>Suggested starting knowledge: Net present value. It helps you compare uses of capital using incremental cash flows and risk.</x:v>
      </x:c>
      <x:c r="H571" s="9" t="str">
        <x:v>Suggested learning order; learners can still explore freely.</x:v>
      </x:c>
      <x:c r="I571" s="9" t="str">
        <x:v>Curated curriculum relationship</x:v>
      </x:c>
    </x:row>
    <x:row r="572" ht="58" customHeight="1">
      <x:c r="A572" s="10" t="str">
        <x:v>E0567</x:v>
      </x:c>
      <x:c r="B572" s="10" t="str">
        <x:v>T12.09</x:v>
      </x:c>
      <x:c r="C572" s="10" t="str">
        <x:v>Equivalent annual cost</x:v>
      </x:c>
      <x:c r="D572" s="14" t="str">
        <x:v>PART_OF</x:v>
      </x:c>
      <x:c r="E572" s="10" t="str">
        <x:v>D12</x:v>
      </x:c>
      <x:c r="F572" s="10" t="str">
        <x:v>Corporate finance and capital allocation</x:v>
      </x:c>
      <x:c r="G572" s="10" t="str">
        <x:v>Curriculum membership. Use this link to move between the topic and its finance area.</x:v>
      </x:c>
      <x:c r="H572" s="10" t="str">
        <x:v>Classification only; this edge is not a causal or calculation relationship.</x:v>
      </x:c>
      <x:c r="I572" s="10" t="str">
        <x:v>Curated curriculum relationship</x:v>
      </x:c>
    </x:row>
    <x:row r="573" ht="58" customHeight="1">
      <x:c r="A573" s="9" t="str">
        <x:v>E0568</x:v>
      </x:c>
      <x:c r="B573" s="9" t="str">
        <x:v>T12.09</x:v>
      </x:c>
      <x:c r="C573" s="9" t="str">
        <x:v>Equivalent annual cost</x:v>
      </x:c>
      <x:c r="D573" s="15" t="str">
        <x:v>EXPLORE_WITH</x:v>
      </x:c>
      <x:c r="E573" s="9" t="str">
        <x:v>T12.07</x:v>
      </x:c>
      <x:c r="F573" s="9" t="str">
        <x:v>Replacement, expansion, and mutually exclusive projects</x:v>
      </x:c>
      <x:c r="G573" s="9" t="str">
        <x:v>Study these together to compare uses of capital using incremental cash flows and risk.</x:v>
      </x:c>
      <x:c r="H573" s="9" t="str">
        <x:v>A topical exploration link, not a claim that one determines the other.</x:v>
      </x:c>
      <x:c r="I573" s="9" t="str">
        <x:v>Curated curriculum relationship</x:v>
      </x:c>
    </x:row>
    <x:row r="574" ht="58" customHeight="1">
      <x:c r="A574" s="10" t="str">
        <x:v>E0569</x:v>
      </x:c>
      <x:c r="B574" s="10" t="str">
        <x:v>T03.12</x:v>
      </x:c>
      <x:c r="C574" s="10" t="str">
        <x:v>Net present value</x:v>
      </x:c>
      <x:c r="D574" s="14" t="str">
        <x:v>RECOMMENDED_BEFORE</x:v>
      </x:c>
      <x:c r="E574" s="10" t="str">
        <x:v>T12.09</x:v>
      </x:c>
      <x:c r="F574" s="10" t="str">
        <x:v>Equivalent annual cost</x:v>
      </x:c>
      <x:c r="G574" s="10" t="str">
        <x:v>Suggested starting knowledge: Net present value. It helps you compare uses of capital using incremental cash flows and risk.</x:v>
      </x:c>
      <x:c r="H574" s="10" t="str">
        <x:v>Suggested learning order; learners can still explore freely.</x:v>
      </x:c>
      <x:c r="I574" s="10" t="str">
        <x:v>Curated curriculum relationship</x:v>
      </x:c>
    </x:row>
    <x:row r="575" ht="58" customHeight="1">
      <x:c r="A575" s="9" t="str">
        <x:v>E0570</x:v>
      </x:c>
      <x:c r="B575" s="9" t="str">
        <x:v>T12.10</x:v>
      </x:c>
      <x:c r="C575" s="9" t="str">
        <x:v>Capital rationing</x:v>
      </x:c>
      <x:c r="D575" s="15" t="str">
        <x:v>PART_OF</x:v>
      </x:c>
      <x:c r="E575" s="9" t="str">
        <x:v>D12</x:v>
      </x:c>
      <x:c r="F575" s="9" t="str">
        <x:v>Corporate finance and capital allocation</x:v>
      </x:c>
      <x:c r="G575" s="9" t="str">
        <x:v>Curriculum membership. Use this link to move between the topic and its finance area.</x:v>
      </x:c>
      <x:c r="H575" s="9" t="str">
        <x:v>Classification only; this edge is not a causal or calculation relationship.</x:v>
      </x:c>
      <x:c r="I575" s="9" t="str">
        <x:v>Curated curriculum relationship</x:v>
      </x:c>
    </x:row>
    <x:row r="576" ht="58" customHeight="1">
      <x:c r="A576" s="10" t="str">
        <x:v>E0571</x:v>
      </x:c>
      <x:c r="B576" s="10" t="str">
        <x:v>T12.10</x:v>
      </x:c>
      <x:c r="C576" s="10" t="str">
        <x:v>Capital rationing</x:v>
      </x:c>
      <x:c r="D576" s="14" t="str">
        <x:v>EXPLORE_WITH</x:v>
      </x:c>
      <x:c r="E576" s="10" t="str">
        <x:v>T12.04</x:v>
      </x:c>
      <x:c r="F576" s="10" t="str">
        <x:v>Capital budgeting</x:v>
      </x:c>
      <x:c r="G576" s="10" t="str">
        <x:v>Study these together to compare uses of capital using incremental cash flows and risk.</x:v>
      </x:c>
      <x:c r="H576" s="10" t="str">
        <x:v>A topical exploration link, not a claim that one determines the other.</x:v>
      </x:c>
      <x:c r="I576" s="10" t="str">
        <x:v>Curated curriculum relationship</x:v>
      </x:c>
    </x:row>
    <x:row r="577" ht="58" customHeight="1">
      <x:c r="A577" s="9" t="str">
        <x:v>E0572</x:v>
      </x:c>
      <x:c r="B577" s="9" t="str">
        <x:v>T03.12</x:v>
      </x:c>
      <x:c r="C577" s="9" t="str">
        <x:v>Net present value</x:v>
      </x:c>
      <x:c r="D577" s="15" t="str">
        <x:v>RECOMMENDED_BEFORE</x:v>
      </x:c>
      <x:c r="E577" s="9" t="str">
        <x:v>T12.10</x:v>
      </x:c>
      <x:c r="F577" s="9" t="str">
        <x:v>Capital rationing</x:v>
      </x:c>
      <x:c r="G577" s="9" t="str">
        <x:v>Suggested starting knowledge: Net present value. It helps you compare uses of capital using incremental cash flows and risk.</x:v>
      </x:c>
      <x:c r="H577" s="9" t="str">
        <x:v>Suggested learning order; learners can still explore freely.</x:v>
      </x:c>
      <x:c r="I577" s="9" t="str">
        <x:v>Curated curriculum relationship</x:v>
      </x:c>
    </x:row>
    <x:row r="578" ht="58" customHeight="1">
      <x:c r="A578" s="10" t="str">
        <x:v>E0573</x:v>
      </x:c>
      <x:c r="B578" s="10" t="str">
        <x:v>T12.11</x:v>
      </x:c>
      <x:c r="C578" s="10" t="str">
        <x:v>Project risk and scenario analysis</x:v>
      </x:c>
      <x:c r="D578" s="14" t="str">
        <x:v>PART_OF</x:v>
      </x:c>
      <x:c r="E578" s="10" t="str">
        <x:v>D12</x:v>
      </x:c>
      <x:c r="F578" s="10" t="str">
        <x:v>Corporate finance and capital allocation</x:v>
      </x:c>
      <x:c r="G578" s="10" t="str">
        <x:v>Curriculum membership. Use this link to move between the topic and its finance area.</x:v>
      </x:c>
      <x:c r="H578" s="10" t="str">
        <x:v>Classification only; this edge is not a causal or calculation relationship.</x:v>
      </x:c>
      <x:c r="I578" s="10" t="str">
        <x:v>Curated curriculum relationship</x:v>
      </x:c>
    </x:row>
    <x:row r="579" ht="58" customHeight="1">
      <x:c r="A579" s="9" t="str">
        <x:v>E0574</x:v>
      </x:c>
      <x:c r="B579" s="9" t="str">
        <x:v>T12.11</x:v>
      </x:c>
      <x:c r="C579" s="9" t="str">
        <x:v>Project risk and scenario analysis</x:v>
      </x:c>
      <x:c r="D579" s="15" t="str">
        <x:v>EXPLORE_WITH</x:v>
      </x:c>
      <x:c r="E579" s="9" t="str">
        <x:v>T12.04</x:v>
      </x:c>
      <x:c r="F579" s="9" t="str">
        <x:v>Capital budgeting</x:v>
      </x:c>
      <x:c r="G579" s="9" t="str">
        <x:v>Study these together to compare uses of capital using incremental cash flows and risk.</x:v>
      </x:c>
      <x:c r="H579" s="9" t="str">
        <x:v>A topical exploration link, not a claim that one determines the other.</x:v>
      </x:c>
      <x:c r="I579" s="9" t="str">
        <x:v>Curated curriculum relationship</x:v>
      </x:c>
    </x:row>
    <x:row r="580" ht="58" customHeight="1">
      <x:c r="A580" s="10" t="str">
        <x:v>E0575</x:v>
      </x:c>
      <x:c r="B580" s="10" t="str">
        <x:v>T03.12</x:v>
      </x:c>
      <x:c r="C580" s="10" t="str">
        <x:v>Net present value</x:v>
      </x:c>
      <x:c r="D580" s="14" t="str">
        <x:v>RECOMMENDED_BEFORE</x:v>
      </x:c>
      <x:c r="E580" s="10" t="str">
        <x:v>T12.11</x:v>
      </x:c>
      <x:c r="F580" s="10" t="str">
        <x:v>Project risk and scenario analysis</x:v>
      </x:c>
      <x:c r="G580" s="10" t="str">
        <x:v>Suggested starting knowledge: Net present value. It helps you compare uses of capital using incremental cash flows and risk.</x:v>
      </x:c>
      <x:c r="H580" s="10" t="str">
        <x:v>Suggested learning order; learners can still explore freely.</x:v>
      </x:c>
      <x:c r="I580" s="10" t="str">
        <x:v>Curated curriculum relationship</x:v>
      </x:c>
    </x:row>
    <x:row r="581" ht="58" customHeight="1">
      <x:c r="A581" s="9" t="str">
        <x:v>E0576</x:v>
      </x:c>
      <x:c r="B581" s="9" t="str">
        <x:v>T12.12</x:v>
      </x:c>
      <x:c r="C581" s="9" t="str">
        <x:v>Real options: delay, expand, abandon, and switch</x:v>
      </x:c>
      <x:c r="D581" s="15" t="str">
        <x:v>PART_OF</x:v>
      </x:c>
      <x:c r="E581" s="9" t="str">
        <x:v>D12</x:v>
      </x:c>
      <x:c r="F581" s="9" t="str">
        <x:v>Corporate finance and capital allocation</x:v>
      </x:c>
      <x:c r="G581" s="9" t="str">
        <x:v>Curriculum membership. Use this link to move between the topic and its finance area.</x:v>
      </x:c>
      <x:c r="H581" s="9" t="str">
        <x:v>Classification only; this edge is not a causal or calculation relationship.</x:v>
      </x:c>
      <x:c r="I581" s="9" t="str">
        <x:v>Curated curriculum relationship</x:v>
      </x:c>
    </x:row>
    <x:row r="582" ht="58" customHeight="1">
      <x:c r="A582" s="10" t="str">
        <x:v>E0577</x:v>
      </x:c>
      <x:c r="B582" s="10" t="str">
        <x:v>T12.12</x:v>
      </x:c>
      <x:c r="C582" s="10" t="str">
        <x:v>Real options: delay, expand, abandon, and switch</x:v>
      </x:c>
      <x:c r="D582" s="14" t="str">
        <x:v>EXPLORE_WITH</x:v>
      </x:c>
      <x:c r="E582" s="10" t="str">
        <x:v>T12.04</x:v>
      </x:c>
      <x:c r="F582" s="10" t="str">
        <x:v>Capital budgeting</x:v>
      </x:c>
      <x:c r="G582" s="10" t="str">
        <x:v>Study these together to compare uses of capital using incremental cash flows and risk.</x:v>
      </x:c>
      <x:c r="H582" s="10" t="str">
        <x:v>A topical exploration link, not a claim that one determines the other.</x:v>
      </x:c>
      <x:c r="I582" s="10" t="str">
        <x:v>Curated curriculum relationship</x:v>
      </x:c>
    </x:row>
    <x:row r="583" ht="58" customHeight="1">
      <x:c r="A583" s="9" t="str">
        <x:v>E0578</x:v>
      </x:c>
      <x:c r="B583" s="9" t="str">
        <x:v>T03.12</x:v>
      </x:c>
      <x:c r="C583" s="9" t="str">
        <x:v>Net present value</x:v>
      </x:c>
      <x:c r="D583" s="15" t="str">
        <x:v>RECOMMENDED_BEFORE</x:v>
      </x:c>
      <x:c r="E583" s="9" t="str">
        <x:v>T12.12</x:v>
      </x:c>
      <x:c r="F583" s="9" t="str">
        <x:v>Real options: delay, expand, abandon, and switch</x:v>
      </x:c>
      <x:c r="G583" s="9" t="str">
        <x:v>Suggested starting knowledge: Net present value. It helps you compare uses of capital using incremental cash flows and risk.</x:v>
      </x:c>
      <x:c r="H583" s="9" t="str">
        <x:v>Suggested learning order; learners can still explore freely.</x:v>
      </x:c>
      <x:c r="I583" s="9" t="str">
        <x:v>Curated curriculum relationship</x:v>
      </x:c>
    </x:row>
    <x:row r="584" ht="58" customHeight="1">
      <x:c r="A584" s="10" t="str">
        <x:v>E0579</x:v>
      </x:c>
      <x:c r="B584" s="10" t="str">
        <x:v>T12.13</x:v>
      </x:c>
      <x:c r="C584" s="10" t="str">
        <x:v>Dividends and share repurchases</x:v>
      </x:c>
      <x:c r="D584" s="14" t="str">
        <x:v>PART_OF</x:v>
      </x:c>
      <x:c r="E584" s="10" t="str">
        <x:v>D12</x:v>
      </x:c>
      <x:c r="F584" s="10" t="str">
        <x:v>Corporate finance and capital allocation</x:v>
      </x:c>
      <x:c r="G584" s="10" t="str">
        <x:v>Curriculum membership. Use this link to move between the topic and its finance area.</x:v>
      </x:c>
      <x:c r="H584" s="10" t="str">
        <x:v>Classification only; this edge is not a causal or calculation relationship.</x:v>
      </x:c>
      <x:c r="I584" s="10" t="str">
        <x:v>Curated curriculum relationship</x:v>
      </x:c>
    </x:row>
    <x:row r="585" ht="58" customHeight="1">
      <x:c r="A585" s="9" t="str">
        <x:v>E0580</x:v>
      </x:c>
      <x:c r="B585" s="9" t="str">
        <x:v>T12.13</x:v>
      </x:c>
      <x:c r="C585" s="9" t="str">
        <x:v>Dividends and share repurchases</x:v>
      </x:c>
      <x:c r="D585" s="15" t="str">
        <x:v>EXPLORE_WITH</x:v>
      </x:c>
      <x:c r="E585" s="9" t="str">
        <x:v>T12.03</x:v>
      </x:c>
      <x:c r="F585" s="9" t="str">
        <x:v>Investment, financing, and payout decisions</x:v>
      </x:c>
      <x:c r="G585" s="9" t="str">
        <x:v>Study these together to compare uses of capital using incremental cash flows and risk.</x:v>
      </x:c>
      <x:c r="H585" s="9" t="str">
        <x:v>A topical exploration link, not a claim that one determines the other.</x:v>
      </x:c>
      <x:c r="I585" s="9" t="str">
        <x:v>Curated curriculum relationship</x:v>
      </x:c>
    </x:row>
    <x:row r="586" ht="58" customHeight="1">
      <x:c r="A586" s="10" t="str">
        <x:v>E0581</x:v>
      </x:c>
      <x:c r="B586" s="10" t="str">
        <x:v>T03.12</x:v>
      </x:c>
      <x:c r="C586" s="10" t="str">
        <x:v>Net present value</x:v>
      </x:c>
      <x:c r="D586" s="14" t="str">
        <x:v>RECOMMENDED_BEFORE</x:v>
      </x:c>
      <x:c r="E586" s="10" t="str">
        <x:v>T12.13</x:v>
      </x:c>
      <x:c r="F586" s="10" t="str">
        <x:v>Dividends and share repurchases</x:v>
      </x:c>
      <x:c r="G586" s="10" t="str">
        <x:v>Suggested starting knowledge: Net present value. It helps you compare uses of capital using incremental cash flows and risk.</x:v>
      </x:c>
      <x:c r="H586" s="10" t="str">
        <x:v>Suggested learning order; learners can still explore freely.</x:v>
      </x:c>
      <x:c r="I586" s="10" t="str">
        <x:v>Curated curriculum relationship</x:v>
      </x:c>
    </x:row>
    <x:row r="587" ht="58" customHeight="1">
      <x:c r="A587" s="9" t="str">
        <x:v>E0582</x:v>
      </x:c>
      <x:c r="B587" s="9" t="str">
        <x:v>T12.14</x:v>
      </x:c>
      <x:c r="C587" s="9" t="str">
        <x:v>Organic growth versus acquisitions</x:v>
      </x:c>
      <x:c r="D587" s="15" t="str">
        <x:v>PART_OF</x:v>
      </x:c>
      <x:c r="E587" s="9" t="str">
        <x:v>D12</x:v>
      </x:c>
      <x:c r="F587" s="9" t="str">
        <x:v>Corporate finance and capital allocation</x:v>
      </x:c>
      <x:c r="G587" s="9" t="str">
        <x:v>Curriculum membership. Use this link to move between the topic and its finance area.</x:v>
      </x:c>
      <x:c r="H587" s="9" t="str">
        <x:v>Classification only; this edge is not a causal or calculation relationship.</x:v>
      </x:c>
      <x:c r="I587" s="9" t="str">
        <x:v>Curated curriculum relationship</x:v>
      </x:c>
    </x:row>
    <x:row r="588" ht="58" customHeight="1">
      <x:c r="A588" s="10" t="str">
        <x:v>E0583</x:v>
      </x:c>
      <x:c r="B588" s="10" t="str">
        <x:v>T12.14</x:v>
      </x:c>
      <x:c r="C588" s="10" t="str">
        <x:v>Organic growth versus acquisitions</x:v>
      </x:c>
      <x:c r="D588" s="14" t="str">
        <x:v>EXPLORE_WITH</x:v>
      </x:c>
      <x:c r="E588" s="10" t="str">
        <x:v>T12.01</x:v>
      </x:c>
      <x:c r="F588" s="10" t="str">
        <x:v>Objectives of the firm and shareholder value</x:v>
      </x:c>
      <x:c r="G588" s="10" t="str">
        <x:v>Study these together to compare uses of capital using incremental cash flows and risk.</x:v>
      </x:c>
      <x:c r="H588" s="10" t="str">
        <x:v>A topical exploration link, not a claim that one determines the other.</x:v>
      </x:c>
      <x:c r="I588" s="10" t="str">
        <x:v>Curated curriculum relationship</x:v>
      </x:c>
    </x:row>
    <x:row r="589" ht="58" customHeight="1">
      <x:c r="A589" s="9" t="str">
        <x:v>E0584</x:v>
      </x:c>
      <x:c r="B589" s="9" t="str">
        <x:v>T03.12</x:v>
      </x:c>
      <x:c r="C589" s="9" t="str">
        <x:v>Net present value</x:v>
      </x:c>
      <x:c r="D589" s="15" t="str">
        <x:v>RECOMMENDED_BEFORE</x:v>
      </x:c>
      <x:c r="E589" s="9" t="str">
        <x:v>T12.14</x:v>
      </x:c>
      <x:c r="F589" s="9" t="str">
        <x:v>Organic growth versus acquisitions</x:v>
      </x:c>
      <x:c r="G589" s="9" t="str">
        <x:v>Suggested starting knowledge: Net present value. It helps you compare uses of capital using incremental cash flows and risk.</x:v>
      </x:c>
      <x:c r="H589" s="9" t="str">
        <x:v>Suggested learning order; learners can still explore freely.</x:v>
      </x:c>
      <x:c r="I589" s="9" t="str">
        <x:v>Curated curriculum relationship</x:v>
      </x:c>
    </x:row>
    <x:row r="590" ht="58" customHeight="1">
      <x:c r="A590" s="10" t="str">
        <x:v>E0585</x:v>
      </x:c>
      <x:c r="B590" s="10" t="str">
        <x:v>T12.15</x:v>
      </x:c>
      <x:c r="C590" s="10" t="str">
        <x:v>Capital allocation performance and management incentives</x:v>
      </x:c>
      <x:c r="D590" s="14" t="str">
        <x:v>PART_OF</x:v>
      </x:c>
      <x:c r="E590" s="10" t="str">
        <x:v>D12</x:v>
      </x:c>
      <x:c r="F590" s="10" t="str">
        <x:v>Corporate finance and capital allocation</x:v>
      </x:c>
      <x:c r="G590" s="10" t="str">
        <x:v>Curriculum membership. Use this link to move between the topic and its finance area.</x:v>
      </x:c>
      <x:c r="H590" s="10" t="str">
        <x:v>Classification only; this edge is not a causal or calculation relationship.</x:v>
      </x:c>
      <x:c r="I590" s="10" t="str">
        <x:v>Curated curriculum relationship</x:v>
      </x:c>
    </x:row>
    <x:row r="591" ht="58" customHeight="1">
      <x:c r="A591" s="9" t="str">
        <x:v>E0586</x:v>
      </x:c>
      <x:c r="B591" s="9" t="str">
        <x:v>T12.15</x:v>
      </x:c>
      <x:c r="C591" s="9" t="str">
        <x:v>Capital allocation performance and management incentives</x:v>
      </x:c>
      <x:c r="D591" s="15" t="str">
        <x:v>EXPLORE_WITH</x:v>
      </x:c>
      <x:c r="E591" s="9" t="str">
        <x:v>T12.01</x:v>
      </x:c>
      <x:c r="F591" s="9" t="str">
        <x:v>Objectives of the firm and shareholder value</x:v>
      </x:c>
      <x:c r="G591" s="9" t="str">
        <x:v>Study these together to compare uses of capital using incremental cash flows and risk.</x:v>
      </x:c>
      <x:c r="H591" s="9" t="str">
        <x:v>A topical exploration link, not a claim that one determines the other.</x:v>
      </x:c>
      <x:c r="I591" s="9" t="str">
        <x:v>Curated curriculum relationship</x:v>
      </x:c>
    </x:row>
    <x:row r="592" ht="58" customHeight="1">
      <x:c r="A592" s="10" t="str">
        <x:v>E0587</x:v>
      </x:c>
      <x:c r="B592" s="10" t="str">
        <x:v>T03.12</x:v>
      </x:c>
      <x:c r="C592" s="10" t="str">
        <x:v>Net present value</x:v>
      </x:c>
      <x:c r="D592" s="14" t="str">
        <x:v>RECOMMENDED_BEFORE</x:v>
      </x:c>
      <x:c r="E592" s="10" t="str">
        <x:v>T12.15</x:v>
      </x:c>
      <x:c r="F592" s="10" t="str">
        <x:v>Capital allocation performance and management incentives</x:v>
      </x:c>
      <x:c r="G592" s="10" t="str">
        <x:v>Suggested starting knowledge: Net present value. It helps you compare uses of capital using incremental cash flows and risk.</x:v>
      </x:c>
      <x:c r="H592" s="10" t="str">
        <x:v>Suggested learning order; learners can still explore freely.</x:v>
      </x:c>
      <x:c r="I592" s="10" t="str">
        <x:v>Curated curriculum relationship</x:v>
      </x:c>
    </x:row>
    <x:row r="593" ht="58" customHeight="1">
      <x:c r="A593" s="9" t="str">
        <x:v>E0588</x:v>
      </x:c>
      <x:c r="B593" s="9" t="str">
        <x:v>T13.01</x:v>
      </x:c>
      <x:c r="C593" s="9" t="str">
        <x:v>Cost of equity</x:v>
      </x:c>
      <x:c r="D593" s="15" t="str">
        <x:v>PART_OF</x:v>
      </x:c>
      <x:c r="E593" s="9" t="str">
        <x:v>D13</x:v>
      </x:c>
      <x:c r="F593" s="9" t="str">
        <x:v>Cost of capital and capital structure</x:v>
      </x:c>
      <x:c r="G593" s="9" t="str">
        <x:v>Curriculum membership. Use this link to move between the topic and its finance area.</x:v>
      </x:c>
      <x:c r="H593" s="9" t="str">
        <x:v>Classification only; this edge is not a causal or calculation relationship.</x:v>
      </x:c>
      <x:c r="I593" s="9" t="str">
        <x:v>Curated curriculum relationship</x:v>
      </x:c>
    </x:row>
    <x:row r="594" ht="58" customHeight="1">
      <x:c r="A594" s="10" t="str">
        <x:v>E0589</x:v>
      </x:c>
      <x:c r="B594" s="10" t="str">
        <x:v>T13.01</x:v>
      </x:c>
      <x:c r="C594" s="10" t="str">
        <x:v>Cost of equity</x:v>
      </x:c>
      <x:c r="D594" s="14" t="str">
        <x:v>EXPLORE_WITH</x:v>
      </x:c>
      <x:c r="E594" s="10" t="str">
        <x:v>T13.02</x:v>
      </x:c>
      <x:c r="F594" s="10" t="str">
        <x:v>Capital Asset Pricing Model</x:v>
      </x:c>
      <x:c r="G594" s="10" t="str">
        <x:v>Study these together to match financing risk, capital claims and required returns.</x:v>
      </x:c>
      <x:c r="H594" s="10" t="str">
        <x:v>A topical exploration link, not a claim that one determines the other.</x:v>
      </x:c>
      <x:c r="I594" s="10" t="str">
        <x:v>Curated curriculum relationship</x:v>
      </x:c>
    </x:row>
    <x:row r="595" ht="58" customHeight="1">
      <x:c r="A595" s="9" t="str">
        <x:v>E0590</x:v>
      </x:c>
      <x:c r="B595" s="9" t="str">
        <x:v>T01.10</x:v>
      </x:c>
      <x:c r="C595" s="9" t="str">
        <x:v>Risk, return, opportunity cost, and required return</x:v>
      </x:c>
      <x:c r="D595" s="15" t="str">
        <x:v>RECOMMENDED_BEFORE</x:v>
      </x:c>
      <x:c r="E595" s="9" t="str">
        <x:v>T13.01</x:v>
      </x:c>
      <x:c r="F595" s="9" t="str">
        <x:v>Cost of equity</x:v>
      </x:c>
      <x:c r="G595" s="9" t="str">
        <x:v>Suggested starting knowledge: Risk, return, opportunity cost, and required return. It helps you match financing risk, capital claims and required returns.</x:v>
      </x:c>
      <x:c r="H595" s="9" t="str">
        <x:v>Suggested learning order; learners can still explore freely.</x:v>
      </x:c>
      <x:c r="I595" s="9" t="str">
        <x:v>Curated curriculum relationship</x:v>
      </x:c>
    </x:row>
    <x:row r="596" ht="58" customHeight="1">
      <x:c r="A596" s="10" t="str">
        <x:v>E0591</x:v>
      </x:c>
      <x:c r="B596" s="10" t="str">
        <x:v>T13.02</x:v>
      </x:c>
      <x:c r="C596" s="10" t="str">
        <x:v>Capital Asset Pricing Model</x:v>
      </x:c>
      <x:c r="D596" s="14" t="str">
        <x:v>PART_OF</x:v>
      </x:c>
      <x:c r="E596" s="10" t="str">
        <x:v>D13</x:v>
      </x:c>
      <x:c r="F596" s="10" t="str">
        <x:v>Cost of capital and capital structure</x:v>
      </x:c>
      <x:c r="G596" s="10" t="str">
        <x:v>Curriculum membership. Use this link to move between the topic and its finance area.</x:v>
      </x:c>
      <x:c r="H596" s="10" t="str">
        <x:v>Classification only; this edge is not a causal or calculation relationship.</x:v>
      </x:c>
      <x:c r="I596" s="10" t="str">
        <x:v>Curated curriculum relationship</x:v>
      </x:c>
    </x:row>
    <x:row r="597" ht="58" customHeight="1">
      <x:c r="A597" s="9" t="str">
        <x:v>E0592</x:v>
      </x:c>
      <x:c r="B597" s="9" t="str">
        <x:v>T13.02</x:v>
      </x:c>
      <x:c r="C597" s="9" t="str">
        <x:v>Capital Asset Pricing Model</x:v>
      </x:c>
      <x:c r="D597" s="15" t="str">
        <x:v>EXPLORE_WITH</x:v>
      </x:c>
      <x:c r="E597" s="9" t="str">
        <x:v>T13.03</x:v>
      </x:c>
      <x:c r="F597" s="9" t="str">
        <x:v>Risk-free rate and equity risk premium</x:v>
      </x:c>
      <x:c r="G597" s="9" t="str">
        <x:v>Study these together to match financing risk, capital claims and required returns.</x:v>
      </x:c>
      <x:c r="H597" s="9" t="str">
        <x:v>A topical exploration link, not a claim that one determines the other.</x:v>
      </x:c>
      <x:c r="I597" s="9" t="str">
        <x:v>Curated curriculum relationship</x:v>
      </x:c>
    </x:row>
    <x:row r="598" ht="58" customHeight="1">
      <x:c r="A598" s="10" t="str">
        <x:v>E0593</x:v>
      </x:c>
      <x:c r="B598" s="10" t="str">
        <x:v>T01.10</x:v>
      </x:c>
      <x:c r="C598" s="10" t="str">
        <x:v>Risk, return, opportunity cost, and required return</x:v>
      </x:c>
      <x:c r="D598" s="14" t="str">
        <x:v>RECOMMENDED_BEFORE</x:v>
      </x:c>
      <x:c r="E598" s="10" t="str">
        <x:v>T13.02</x:v>
      </x:c>
      <x:c r="F598" s="10" t="str">
        <x:v>Capital Asset Pricing Model</x:v>
      </x:c>
      <x:c r="G598" s="10" t="str">
        <x:v>Suggested starting knowledge: Risk, return, opportunity cost, and required return. It helps you match financing risk, capital claims and required returns.</x:v>
      </x:c>
      <x:c r="H598" s="10" t="str">
        <x:v>Suggested learning order; learners can still explore freely.</x:v>
      </x:c>
      <x:c r="I598" s="10" t="str">
        <x:v>Curated curriculum relationship</x:v>
      </x:c>
    </x:row>
    <x:row r="599" ht="58" customHeight="1">
      <x:c r="A599" s="9" t="str">
        <x:v>E0594</x:v>
      </x:c>
      <x:c r="B599" s="9" t="str">
        <x:v>T13.03</x:v>
      </x:c>
      <x:c r="C599" s="9" t="str">
        <x:v>Risk-free rate and equity risk premium</x:v>
      </x:c>
      <x:c r="D599" s="15" t="str">
        <x:v>PART_OF</x:v>
      </x:c>
      <x:c r="E599" s="9" t="str">
        <x:v>D13</x:v>
      </x:c>
      <x:c r="F599" s="9" t="str">
        <x:v>Cost of capital and capital structure</x:v>
      </x:c>
      <x:c r="G599" s="9" t="str">
        <x:v>Curriculum membership. Use this link to move between the topic and its finance area.</x:v>
      </x:c>
      <x:c r="H599" s="9" t="str">
        <x:v>Classification only; this edge is not a causal or calculation relationship.</x:v>
      </x:c>
      <x:c r="I599" s="9" t="str">
        <x:v>Curated curriculum relationship</x:v>
      </x:c>
    </x:row>
    <x:row r="600" ht="58" customHeight="1">
      <x:c r="A600" s="10" t="str">
        <x:v>E0595</x:v>
      </x:c>
      <x:c r="B600" s="10" t="str">
        <x:v>T13.03</x:v>
      </x:c>
      <x:c r="C600" s="10" t="str">
        <x:v>Risk-free rate and equity risk premium</x:v>
      </x:c>
      <x:c r="D600" s="14" t="str">
        <x:v>EXPLORE_WITH</x:v>
      </x:c>
      <x:c r="E600" s="10" t="str">
        <x:v>T13.02</x:v>
      </x:c>
      <x:c r="F600" s="10" t="str">
        <x:v>Capital Asset Pricing Model</x:v>
      </x:c>
      <x:c r="G600" s="10" t="str">
        <x:v>Study these together to match financing risk, capital claims and required returns.</x:v>
      </x:c>
      <x:c r="H600" s="10" t="str">
        <x:v>A topical exploration link, not a claim that one determines the other.</x:v>
      </x:c>
      <x:c r="I600" s="10" t="str">
        <x:v>Curated curriculum relationship</x:v>
      </x:c>
    </x:row>
    <x:row r="601" ht="58" customHeight="1">
      <x:c r="A601" s="9" t="str">
        <x:v>E0596</x:v>
      </x:c>
      <x:c r="B601" s="9" t="str">
        <x:v>T01.10</x:v>
      </x:c>
      <x:c r="C601" s="9" t="str">
        <x:v>Risk, return, opportunity cost, and required return</x:v>
      </x:c>
      <x:c r="D601" s="15" t="str">
        <x:v>RECOMMENDED_BEFORE</x:v>
      </x:c>
      <x:c r="E601" s="9" t="str">
        <x:v>T13.03</x:v>
      </x:c>
      <x:c r="F601" s="9" t="str">
        <x:v>Risk-free rate and equity risk premium</x:v>
      </x:c>
      <x:c r="G601" s="9" t="str">
        <x:v>Suggested starting knowledge: Risk, return, opportunity cost, and required return. It helps you match financing risk, capital claims and required returns.</x:v>
      </x:c>
      <x:c r="H601" s="9" t="str">
        <x:v>Suggested learning order; learners can still explore freely.</x:v>
      </x:c>
      <x:c r="I601" s="9" t="str">
        <x:v>Curated curriculum relationship</x:v>
      </x:c>
    </x:row>
    <x:row r="602" ht="58" customHeight="1">
      <x:c r="A602" s="10" t="str">
        <x:v>E0597</x:v>
      </x:c>
      <x:c r="B602" s="10" t="str">
        <x:v>T13.04</x:v>
      </x:c>
      <x:c r="C602" s="10" t="str">
        <x:v>Beta estimation</x:v>
      </x:c>
      <x:c r="D602" s="14" t="str">
        <x:v>PART_OF</x:v>
      </x:c>
      <x:c r="E602" s="10" t="str">
        <x:v>D13</x:v>
      </x:c>
      <x:c r="F602" s="10" t="str">
        <x:v>Cost of capital and capital structure</x:v>
      </x:c>
      <x:c r="G602" s="10" t="str">
        <x:v>Curriculum membership. Use this link to move between the topic and its finance area.</x:v>
      </x:c>
      <x:c r="H602" s="10" t="str">
        <x:v>Classification only; this edge is not a causal or calculation relationship.</x:v>
      </x:c>
      <x:c r="I602" s="10" t="str">
        <x:v>Curated curriculum relationship</x:v>
      </x:c>
    </x:row>
    <x:row r="603" ht="58" customHeight="1">
      <x:c r="A603" s="9" t="str">
        <x:v>E0598</x:v>
      </x:c>
      <x:c r="B603" s="9" t="str">
        <x:v>T13.04</x:v>
      </x:c>
      <x:c r="C603" s="9" t="str">
        <x:v>Beta estimation</x:v>
      </x:c>
      <x:c r="D603" s="15" t="str">
        <x:v>EXPLORE_WITH</x:v>
      </x:c>
      <x:c r="E603" s="9" t="str">
        <x:v>T13.05</x:v>
      </x:c>
      <x:c r="F603" s="9" t="str">
        <x:v>Levered and unlevered beta</x:v>
      </x:c>
      <x:c r="G603" s="9" t="str">
        <x:v>Study these together to match financing risk, capital claims and required returns.</x:v>
      </x:c>
      <x:c r="H603" s="9" t="str">
        <x:v>A topical exploration link, not a claim that one determines the other.</x:v>
      </x:c>
      <x:c r="I603" s="9" t="str">
        <x:v>Curated curriculum relationship</x:v>
      </x:c>
    </x:row>
    <x:row r="604" ht="58" customHeight="1">
      <x:c r="A604" s="10" t="str">
        <x:v>E0599</x:v>
      </x:c>
      <x:c r="B604" s="10" t="str">
        <x:v>T01.10</x:v>
      </x:c>
      <x:c r="C604" s="10" t="str">
        <x:v>Risk, return, opportunity cost, and required return</x:v>
      </x:c>
      <x:c r="D604" s="14" t="str">
        <x:v>RECOMMENDED_BEFORE</x:v>
      </x:c>
      <x:c r="E604" s="10" t="str">
        <x:v>T13.04</x:v>
      </x:c>
      <x:c r="F604" s="10" t="str">
        <x:v>Beta estimation</x:v>
      </x:c>
      <x:c r="G604" s="10" t="str">
        <x:v>Suggested starting knowledge: Risk, return, opportunity cost, and required return. It helps you match financing risk, capital claims and required returns.</x:v>
      </x:c>
      <x:c r="H604" s="10" t="str">
        <x:v>Suggested learning order; learners can still explore freely.</x:v>
      </x:c>
      <x:c r="I604" s="10" t="str">
        <x:v>Curated curriculum relationship</x:v>
      </x:c>
    </x:row>
    <x:row r="605" ht="58" customHeight="1">
      <x:c r="A605" s="9" t="str">
        <x:v>E0600</x:v>
      </x:c>
      <x:c r="B605" s="9" t="str">
        <x:v>T13.05</x:v>
      </x:c>
      <x:c r="C605" s="9" t="str">
        <x:v>Levered and unlevered beta</x:v>
      </x:c>
      <x:c r="D605" s="15" t="str">
        <x:v>PART_OF</x:v>
      </x:c>
      <x:c r="E605" s="9" t="str">
        <x:v>D13</x:v>
      </x:c>
      <x:c r="F605" s="9" t="str">
        <x:v>Cost of capital and capital structure</x:v>
      </x:c>
      <x:c r="G605" s="9" t="str">
        <x:v>Curriculum membership. Use this link to move between the topic and its finance area.</x:v>
      </x:c>
      <x:c r="H605" s="9" t="str">
        <x:v>Classification only; this edge is not a causal or calculation relationship.</x:v>
      </x:c>
      <x:c r="I605" s="9" t="str">
        <x:v>Curated curriculum relationship</x:v>
      </x:c>
    </x:row>
    <x:row r="606" ht="58" customHeight="1">
      <x:c r="A606" s="10" t="str">
        <x:v>E0601</x:v>
      </x:c>
      <x:c r="B606" s="10" t="str">
        <x:v>T13.05</x:v>
      </x:c>
      <x:c r="C606" s="10" t="str">
        <x:v>Levered and unlevered beta</x:v>
      </x:c>
      <x:c r="D606" s="14" t="str">
        <x:v>EXPLORE_WITH</x:v>
      </x:c>
      <x:c r="E606" s="10" t="str">
        <x:v>T13.04</x:v>
      </x:c>
      <x:c r="F606" s="10" t="str">
        <x:v>Beta estimation</x:v>
      </x:c>
      <x:c r="G606" s="10" t="str">
        <x:v>Study these together to match financing risk, capital claims and required returns.</x:v>
      </x:c>
      <x:c r="H606" s="10" t="str">
        <x:v>A topical exploration link, not a claim that one determines the other.</x:v>
      </x:c>
      <x:c r="I606" s="10" t="str">
        <x:v>Curated curriculum relationship</x:v>
      </x:c>
    </x:row>
    <x:row r="607" ht="58" customHeight="1">
      <x:c r="A607" s="9" t="str">
        <x:v>E0602</x:v>
      </x:c>
      <x:c r="B607" s="9" t="str">
        <x:v>T01.10</x:v>
      </x:c>
      <x:c r="C607" s="9" t="str">
        <x:v>Risk, return, opportunity cost, and required return</x:v>
      </x:c>
      <x:c r="D607" s="15" t="str">
        <x:v>RECOMMENDED_BEFORE</x:v>
      </x:c>
      <x:c r="E607" s="9" t="str">
        <x:v>T13.05</x:v>
      </x:c>
      <x:c r="F607" s="9" t="str">
        <x:v>Levered and unlevered beta</x:v>
      </x:c>
      <x:c r="G607" s="9" t="str">
        <x:v>Suggested starting knowledge: Risk, return, opportunity cost, and required return. It helps you match financing risk, capital claims and required returns.</x:v>
      </x:c>
      <x:c r="H607" s="9" t="str">
        <x:v>Suggested learning order; learners can still explore freely.</x:v>
      </x:c>
      <x:c r="I607" s="9" t="str">
        <x:v>Curated curriculum relationship</x:v>
      </x:c>
    </x:row>
    <x:row r="608" ht="58" customHeight="1">
      <x:c r="A608" s="10" t="str">
        <x:v>E0603</x:v>
      </x:c>
      <x:c r="B608" s="10" t="str">
        <x:v>T13.06</x:v>
      </x:c>
      <x:c r="C608" s="10" t="str">
        <x:v>Bottom-up beta</x:v>
      </x:c>
      <x:c r="D608" s="14" t="str">
        <x:v>PART_OF</x:v>
      </x:c>
      <x:c r="E608" s="10" t="str">
        <x:v>D13</x:v>
      </x:c>
      <x:c r="F608" s="10" t="str">
        <x:v>Cost of capital and capital structure</x:v>
      </x:c>
      <x:c r="G608" s="10" t="str">
        <x:v>Curriculum membership. Use this link to move between the topic and its finance area.</x:v>
      </x:c>
      <x:c r="H608" s="10" t="str">
        <x:v>Classification only; this edge is not a causal or calculation relationship.</x:v>
      </x:c>
      <x:c r="I608" s="10" t="str">
        <x:v>Curated curriculum relationship</x:v>
      </x:c>
    </x:row>
    <x:row r="609" ht="58" customHeight="1">
      <x:c r="A609" s="9" t="str">
        <x:v>E0604</x:v>
      </x:c>
      <x:c r="B609" s="9" t="str">
        <x:v>T13.06</x:v>
      </x:c>
      <x:c r="C609" s="9" t="str">
        <x:v>Bottom-up beta</x:v>
      </x:c>
      <x:c r="D609" s="15" t="str">
        <x:v>EXPLORE_WITH</x:v>
      </x:c>
      <x:c r="E609" s="9" t="str">
        <x:v>T13.05</x:v>
      </x:c>
      <x:c r="F609" s="9" t="str">
        <x:v>Levered and unlevered beta</x:v>
      </x:c>
      <x:c r="G609" s="9" t="str">
        <x:v>Study these together to match financing risk, capital claims and required returns.</x:v>
      </x:c>
      <x:c r="H609" s="9" t="str">
        <x:v>A topical exploration link, not a claim that one determines the other.</x:v>
      </x:c>
      <x:c r="I609" s="9" t="str">
        <x:v>Curated curriculum relationship</x:v>
      </x:c>
    </x:row>
    <x:row r="610" ht="58" customHeight="1">
      <x:c r="A610" s="10" t="str">
        <x:v>E0605</x:v>
      </x:c>
      <x:c r="B610" s="10" t="str">
        <x:v>T01.10</x:v>
      </x:c>
      <x:c r="C610" s="10" t="str">
        <x:v>Risk, return, opportunity cost, and required return</x:v>
      </x:c>
      <x:c r="D610" s="14" t="str">
        <x:v>RECOMMENDED_BEFORE</x:v>
      </x:c>
      <x:c r="E610" s="10" t="str">
        <x:v>T13.06</x:v>
      </x:c>
      <x:c r="F610" s="10" t="str">
        <x:v>Bottom-up beta</x:v>
      </x:c>
      <x:c r="G610" s="10" t="str">
        <x:v>Suggested starting knowledge: Risk, return, opportunity cost, and required return. It helps you match financing risk, capital claims and required returns.</x:v>
      </x:c>
      <x:c r="H610" s="10" t="str">
        <x:v>Suggested learning order; learners can still explore freely.</x:v>
      </x:c>
      <x:c r="I610" s="10" t="str">
        <x:v>Curated curriculum relationship</x:v>
      </x:c>
    </x:row>
    <x:row r="611" ht="58" customHeight="1">
      <x:c r="A611" s="9" t="str">
        <x:v>E0606</x:v>
      </x:c>
      <x:c r="B611" s="9" t="str">
        <x:v>T13.07</x:v>
      </x:c>
      <x:c r="C611" s="9" t="str">
        <x:v>Country risk and currency consistency</x:v>
      </x:c>
      <x:c r="D611" s="15" t="str">
        <x:v>PART_OF</x:v>
      </x:c>
      <x:c r="E611" s="9" t="str">
        <x:v>D13</x:v>
      </x:c>
      <x:c r="F611" s="9" t="str">
        <x:v>Cost of capital and capital structure</x:v>
      </x:c>
      <x:c r="G611" s="9" t="str">
        <x:v>Curriculum membership. Use this link to move between the topic and its finance area.</x:v>
      </x:c>
      <x:c r="H611" s="9" t="str">
        <x:v>Classification only; this edge is not a causal or calculation relationship.</x:v>
      </x:c>
      <x:c r="I611" s="9" t="str">
        <x:v>Curated curriculum relationship</x:v>
      </x:c>
    </x:row>
    <x:row r="612" ht="58" customHeight="1">
      <x:c r="A612" s="10" t="str">
        <x:v>E0607</x:v>
      </x:c>
      <x:c r="B612" s="10" t="str">
        <x:v>T13.07</x:v>
      </x:c>
      <x:c r="C612" s="10" t="str">
        <x:v>Country risk and currency consistency</x:v>
      </x:c>
      <x:c r="D612" s="14" t="str">
        <x:v>EXPLORE_WITH</x:v>
      </x:c>
      <x:c r="E612" s="10" t="str">
        <x:v>T13.03</x:v>
      </x:c>
      <x:c r="F612" s="10" t="str">
        <x:v>Risk-free rate and equity risk premium</x:v>
      </x:c>
      <x:c r="G612" s="10" t="str">
        <x:v>Study these together to match financing risk, capital claims and required returns.</x:v>
      </x:c>
      <x:c r="H612" s="10" t="str">
        <x:v>A topical exploration link, not a claim that one determines the other.</x:v>
      </x:c>
      <x:c r="I612" s="10" t="str">
        <x:v>Curated curriculum relationship</x:v>
      </x:c>
    </x:row>
    <x:row r="613" ht="58" customHeight="1">
      <x:c r="A613" s="9" t="str">
        <x:v>E0608</x:v>
      </x:c>
      <x:c r="B613" s="9" t="str">
        <x:v>T01.10</x:v>
      </x:c>
      <x:c r="C613" s="9" t="str">
        <x:v>Risk, return, opportunity cost, and required return</x:v>
      </x:c>
      <x:c r="D613" s="15" t="str">
        <x:v>RECOMMENDED_BEFORE</x:v>
      </x:c>
      <x:c r="E613" s="9" t="str">
        <x:v>T13.07</x:v>
      </x:c>
      <x:c r="F613" s="9" t="str">
        <x:v>Country risk and currency consistency</x:v>
      </x:c>
      <x:c r="G613" s="9" t="str">
        <x:v>Suggested starting knowledge: Risk, return, opportunity cost, and required return. It helps you match financing risk, capital claims and required returns.</x:v>
      </x:c>
      <x:c r="H613" s="9" t="str">
        <x:v>Suggested learning order; learners can still explore freely.</x:v>
      </x:c>
      <x:c r="I613" s="9" t="str">
        <x:v>Curated curriculum relationship</x:v>
      </x:c>
    </x:row>
    <x:row r="614" ht="58" customHeight="1">
      <x:c r="A614" s="10" t="str">
        <x:v>E0609</x:v>
      </x:c>
      <x:c r="B614" s="10" t="str">
        <x:v>T13.08</x:v>
      </x:c>
      <x:c r="C614" s="10" t="str">
        <x:v>Cost of debt and credit spreads</x:v>
      </x:c>
      <x:c r="D614" s="14" t="str">
        <x:v>PART_OF</x:v>
      </x:c>
      <x:c r="E614" s="10" t="str">
        <x:v>D13</x:v>
      </x:c>
      <x:c r="F614" s="10" t="str">
        <x:v>Cost of capital and capital structure</x:v>
      </x:c>
      <x:c r="G614" s="10" t="str">
        <x:v>Curriculum membership. Use this link to move between the topic and its finance area.</x:v>
      </x:c>
      <x:c r="H614" s="10" t="str">
        <x:v>Classification only; this edge is not a causal or calculation relationship.</x:v>
      </x:c>
      <x:c r="I614" s="10" t="str">
        <x:v>Curated curriculum relationship</x:v>
      </x:c>
    </x:row>
    <x:row r="615" ht="58" customHeight="1">
      <x:c r="A615" s="9" t="str">
        <x:v>E0610</x:v>
      </x:c>
      <x:c r="B615" s="9" t="str">
        <x:v>T13.08</x:v>
      </x:c>
      <x:c r="C615" s="9" t="str">
        <x:v>Cost of debt and credit spreads</x:v>
      </x:c>
      <x:c r="D615" s="15" t="str">
        <x:v>EXPLORE_WITH</x:v>
      </x:c>
      <x:c r="E615" s="9" t="str">
        <x:v>T13.10</x:v>
      </x:c>
      <x:c r="F615" s="9" t="str">
        <x:v>Weighted average cost of capital</x:v>
      </x:c>
      <x:c r="G615" s="9" t="str">
        <x:v>Study these together to match financing risk, capital claims and required returns.</x:v>
      </x:c>
      <x:c r="H615" s="9" t="str">
        <x:v>A topical exploration link, not a claim that one determines the other.</x:v>
      </x:c>
      <x:c r="I615" s="9" t="str">
        <x:v>Curated curriculum relationship</x:v>
      </x:c>
    </x:row>
    <x:row r="616" ht="58" customHeight="1">
      <x:c r="A616" s="10" t="str">
        <x:v>E0611</x:v>
      </x:c>
      <x:c r="B616" s="10" t="str">
        <x:v>T01.10</x:v>
      </x:c>
      <x:c r="C616" s="10" t="str">
        <x:v>Risk, return, opportunity cost, and required return</x:v>
      </x:c>
      <x:c r="D616" s="14" t="str">
        <x:v>RECOMMENDED_BEFORE</x:v>
      </x:c>
      <x:c r="E616" s="10" t="str">
        <x:v>T13.08</x:v>
      </x:c>
      <x:c r="F616" s="10" t="str">
        <x:v>Cost of debt and credit spreads</x:v>
      </x:c>
      <x:c r="G616" s="10" t="str">
        <x:v>Suggested starting knowledge: Risk, return, opportunity cost, and required return. It helps you match financing risk, capital claims and required returns.</x:v>
      </x:c>
      <x:c r="H616" s="10" t="str">
        <x:v>Suggested learning order; learners can still explore freely.</x:v>
      </x:c>
      <x:c r="I616" s="10" t="str">
        <x:v>Curated curriculum relationship</x:v>
      </x:c>
    </x:row>
    <x:row r="617" ht="58" customHeight="1">
      <x:c r="A617" s="9" t="str">
        <x:v>E0612</x:v>
      </x:c>
      <x:c r="B617" s="9" t="str">
        <x:v>T13.09</x:v>
      </x:c>
      <x:c r="C617" s="9" t="str">
        <x:v>Preferred capital and hybrid instruments</x:v>
      </x:c>
      <x:c r="D617" s="15" t="str">
        <x:v>PART_OF</x:v>
      </x:c>
      <x:c r="E617" s="9" t="str">
        <x:v>D13</x:v>
      </x:c>
      <x:c r="F617" s="9" t="str">
        <x:v>Cost of capital and capital structure</x:v>
      </x:c>
      <x:c r="G617" s="9" t="str">
        <x:v>Curriculum membership. Use this link to move between the topic and its finance area.</x:v>
      </x:c>
      <x:c r="H617" s="9" t="str">
        <x:v>Classification only; this edge is not a causal or calculation relationship.</x:v>
      </x:c>
      <x:c r="I617" s="9" t="str">
        <x:v>Curated curriculum relationship</x:v>
      </x:c>
    </x:row>
    <x:row r="618" ht="58" customHeight="1">
      <x:c r="A618" s="10" t="str">
        <x:v>E0613</x:v>
      </x:c>
      <x:c r="B618" s="10" t="str">
        <x:v>T13.09</x:v>
      </x:c>
      <x:c r="C618" s="10" t="str">
        <x:v>Preferred capital and hybrid instruments</x:v>
      </x:c>
      <x:c r="D618" s="14" t="str">
        <x:v>EXPLORE_WITH</x:v>
      </x:c>
      <x:c r="E618" s="10" t="str">
        <x:v>T13.10</x:v>
      </x:c>
      <x:c r="F618" s="10" t="str">
        <x:v>Weighted average cost of capital</x:v>
      </x:c>
      <x:c r="G618" s="10" t="str">
        <x:v>Study these together to match financing risk, capital claims and required returns.</x:v>
      </x:c>
      <x:c r="H618" s="10" t="str">
        <x:v>A topical exploration link, not a claim that one determines the other.</x:v>
      </x:c>
      <x:c r="I618" s="10" t="str">
        <x:v>Curated curriculum relationship</x:v>
      </x:c>
    </x:row>
    <x:row r="619" ht="58" customHeight="1">
      <x:c r="A619" s="9" t="str">
        <x:v>E0614</x:v>
      </x:c>
      <x:c r="B619" s="9" t="str">
        <x:v>T01.10</x:v>
      </x:c>
      <x:c r="C619" s="9" t="str">
        <x:v>Risk, return, opportunity cost, and required return</x:v>
      </x:c>
      <x:c r="D619" s="15" t="str">
        <x:v>RECOMMENDED_BEFORE</x:v>
      </x:c>
      <x:c r="E619" s="9" t="str">
        <x:v>T13.09</x:v>
      </x:c>
      <x:c r="F619" s="9" t="str">
        <x:v>Preferred capital and hybrid instruments</x:v>
      </x:c>
      <x:c r="G619" s="9" t="str">
        <x:v>Suggested starting knowledge: Risk, return, opportunity cost, and required return. It helps you match financing risk, capital claims and required returns.</x:v>
      </x:c>
      <x:c r="H619" s="9" t="str">
        <x:v>Suggested learning order; learners can still explore freely.</x:v>
      </x:c>
      <x:c r="I619" s="9" t="str">
        <x:v>Curated curriculum relationship</x:v>
      </x:c>
    </x:row>
    <x:row r="620" ht="58" customHeight="1">
      <x:c r="A620" s="10" t="str">
        <x:v>E0615</x:v>
      </x:c>
      <x:c r="B620" s="10" t="str">
        <x:v>T13.10</x:v>
      </x:c>
      <x:c r="C620" s="10" t="str">
        <x:v>Weighted average cost of capital</x:v>
      </x:c>
      <x:c r="D620" s="14" t="str">
        <x:v>PART_OF</x:v>
      </x:c>
      <x:c r="E620" s="10" t="str">
        <x:v>D13</x:v>
      </x:c>
      <x:c r="F620" s="10" t="str">
        <x:v>Cost of capital and capital structure</x:v>
      </x:c>
      <x:c r="G620" s="10" t="str">
        <x:v>Curriculum membership. Use this link to move between the topic and its finance area.</x:v>
      </x:c>
      <x:c r="H620" s="10" t="str">
        <x:v>Classification only; this edge is not a causal or calculation relationship.</x:v>
      </x:c>
      <x:c r="I620" s="10" t="str">
        <x:v>Curated curriculum relationship</x:v>
      </x:c>
    </x:row>
    <x:row r="621" ht="58" customHeight="1">
      <x:c r="A621" s="9" t="str">
        <x:v>E0616</x:v>
      </x:c>
      <x:c r="B621" s="9" t="str">
        <x:v>T13.10</x:v>
      </x:c>
      <x:c r="C621" s="9" t="str">
        <x:v>Weighted average cost of capital</x:v>
      </x:c>
      <x:c r="D621" s="15" t="str">
        <x:v>EXPLORE_WITH</x:v>
      </x:c>
      <x:c r="E621" s="9" t="str">
        <x:v>T13.11</x:v>
      </x:c>
      <x:c r="F621" s="9" t="str">
        <x:v>Market-value versus book-value weights</x:v>
      </x:c>
      <x:c r="G621" s="9" t="str">
        <x:v>Study these together to match financing risk, capital claims and required returns.</x:v>
      </x:c>
      <x:c r="H621" s="9" t="str">
        <x:v>A topical exploration link, not a claim that one determines the other.</x:v>
      </x:c>
      <x:c r="I621" s="9" t="str">
        <x:v>Curated curriculum relationship</x:v>
      </x:c>
    </x:row>
    <x:row r="622" ht="58" customHeight="1">
      <x:c r="A622" s="10" t="str">
        <x:v>E0617</x:v>
      </x:c>
      <x:c r="B622" s="10" t="str">
        <x:v>T01.10</x:v>
      </x:c>
      <x:c r="C622" s="10" t="str">
        <x:v>Risk, return, opportunity cost, and required return</x:v>
      </x:c>
      <x:c r="D622" s="14" t="str">
        <x:v>RECOMMENDED_BEFORE</x:v>
      </x:c>
      <x:c r="E622" s="10" t="str">
        <x:v>T13.10</x:v>
      </x:c>
      <x:c r="F622" s="10" t="str">
        <x:v>Weighted average cost of capital</x:v>
      </x:c>
      <x:c r="G622" s="10" t="str">
        <x:v>Suggested starting knowledge: Risk, return, opportunity cost, and required return. It helps you match financing risk, capital claims and required returns.</x:v>
      </x:c>
      <x:c r="H622" s="10" t="str">
        <x:v>Suggested learning order; learners can still explore freely.</x:v>
      </x:c>
      <x:c r="I622" s="10" t="str">
        <x:v>Curated curriculum relationship</x:v>
      </x:c>
    </x:row>
    <x:row r="623" ht="58" customHeight="1">
      <x:c r="A623" s="9" t="str">
        <x:v>E0618</x:v>
      </x:c>
      <x:c r="B623" s="9" t="str">
        <x:v>T13.11</x:v>
      </x:c>
      <x:c r="C623" s="9" t="str">
        <x:v>Market-value versus book-value weights</x:v>
      </x:c>
      <x:c r="D623" s="15" t="str">
        <x:v>PART_OF</x:v>
      </x:c>
      <x:c r="E623" s="9" t="str">
        <x:v>D13</x:v>
      </x:c>
      <x:c r="F623" s="9" t="str">
        <x:v>Cost of capital and capital structure</x:v>
      </x:c>
      <x:c r="G623" s="9" t="str">
        <x:v>Curriculum membership. Use this link to move between the topic and its finance area.</x:v>
      </x:c>
      <x:c r="H623" s="9" t="str">
        <x:v>Classification only; this edge is not a causal or calculation relationship.</x:v>
      </x:c>
      <x:c r="I623" s="9" t="str">
        <x:v>Curated curriculum relationship</x:v>
      </x:c>
    </x:row>
    <x:row r="624" ht="58" customHeight="1">
      <x:c r="A624" s="10" t="str">
        <x:v>E0619</x:v>
      </x:c>
      <x:c r="B624" s="10" t="str">
        <x:v>T13.11</x:v>
      </x:c>
      <x:c r="C624" s="10" t="str">
        <x:v>Market-value versus book-value weights</x:v>
      </x:c>
      <x:c r="D624" s="14" t="str">
        <x:v>EXPLORE_WITH</x:v>
      </x:c>
      <x:c r="E624" s="10" t="str">
        <x:v>T13.10</x:v>
      </x:c>
      <x:c r="F624" s="10" t="str">
        <x:v>Weighted average cost of capital</x:v>
      </x:c>
      <x:c r="G624" s="10" t="str">
        <x:v>Study these together to match financing risk, capital claims and required returns.</x:v>
      </x:c>
      <x:c r="H624" s="10" t="str">
        <x:v>A topical exploration link, not a claim that one determines the other.</x:v>
      </x:c>
      <x:c r="I624" s="10" t="str">
        <x:v>Curated curriculum relationship</x:v>
      </x:c>
    </x:row>
    <x:row r="625" ht="58" customHeight="1">
      <x:c r="A625" s="9" t="str">
        <x:v>E0620</x:v>
      </x:c>
      <x:c r="B625" s="9" t="str">
        <x:v>T01.10</x:v>
      </x:c>
      <x:c r="C625" s="9" t="str">
        <x:v>Risk, return, opportunity cost, and required return</x:v>
      </x:c>
      <x:c r="D625" s="15" t="str">
        <x:v>RECOMMENDED_BEFORE</x:v>
      </x:c>
      <x:c r="E625" s="9" t="str">
        <x:v>T13.11</x:v>
      </x:c>
      <x:c r="F625" s="9" t="str">
        <x:v>Market-value versus book-value weights</x:v>
      </x:c>
      <x:c r="G625" s="9" t="str">
        <x:v>Suggested starting knowledge: Risk, return, opportunity cost, and required return. It helps you match financing risk, capital claims and required returns.</x:v>
      </x:c>
      <x:c r="H625" s="9" t="str">
        <x:v>Suggested learning order; learners can still explore freely.</x:v>
      </x:c>
      <x:c r="I625" s="9" t="str">
        <x:v>Curated curriculum relationship</x:v>
      </x:c>
    </x:row>
    <x:row r="626" ht="58" customHeight="1">
      <x:c r="A626" s="10" t="str">
        <x:v>E0621</x:v>
      </x:c>
      <x:c r="B626" s="10" t="str">
        <x:v>T13.12</x:v>
      </x:c>
      <x:c r="C626" s="10" t="str">
        <x:v>Marginal versus historical financing costs</x:v>
      </x:c>
      <x:c r="D626" s="14" t="str">
        <x:v>PART_OF</x:v>
      </x:c>
      <x:c r="E626" s="10" t="str">
        <x:v>D13</x:v>
      </x:c>
      <x:c r="F626" s="10" t="str">
        <x:v>Cost of capital and capital structure</x:v>
      </x:c>
      <x:c r="G626" s="10" t="str">
        <x:v>Curriculum membership. Use this link to move between the topic and its finance area.</x:v>
      </x:c>
      <x:c r="H626" s="10" t="str">
        <x:v>Classification only; this edge is not a causal or calculation relationship.</x:v>
      </x:c>
      <x:c r="I626" s="10" t="str">
        <x:v>Curated curriculum relationship</x:v>
      </x:c>
    </x:row>
    <x:row r="627" ht="58" customHeight="1">
      <x:c r="A627" s="9" t="str">
        <x:v>E0622</x:v>
      </x:c>
      <x:c r="B627" s="9" t="str">
        <x:v>T13.12</x:v>
      </x:c>
      <x:c r="C627" s="9" t="str">
        <x:v>Marginal versus historical financing costs</x:v>
      </x:c>
      <x:c r="D627" s="15" t="str">
        <x:v>EXPLORE_WITH</x:v>
      </x:c>
      <x:c r="E627" s="9" t="str">
        <x:v>T13.08</x:v>
      </x:c>
      <x:c r="F627" s="9" t="str">
        <x:v>Cost of debt and credit spreads</x:v>
      </x:c>
      <x:c r="G627" s="9" t="str">
        <x:v>Study these together to match financing risk, capital claims and required returns.</x:v>
      </x:c>
      <x:c r="H627" s="9" t="str">
        <x:v>A topical exploration link, not a claim that one determines the other.</x:v>
      </x:c>
      <x:c r="I627" s="9" t="str">
        <x:v>Curated curriculum relationship</x:v>
      </x:c>
    </x:row>
    <x:row r="628" ht="58" customHeight="1">
      <x:c r="A628" s="10" t="str">
        <x:v>E0623</x:v>
      </x:c>
      <x:c r="B628" s="10" t="str">
        <x:v>T01.10</x:v>
      </x:c>
      <x:c r="C628" s="10" t="str">
        <x:v>Risk, return, opportunity cost, and required return</x:v>
      </x:c>
      <x:c r="D628" s="14" t="str">
        <x:v>RECOMMENDED_BEFORE</x:v>
      </x:c>
      <x:c r="E628" s="10" t="str">
        <x:v>T13.12</x:v>
      </x:c>
      <x:c r="F628" s="10" t="str">
        <x:v>Marginal versus historical financing costs</x:v>
      </x:c>
      <x:c r="G628" s="10" t="str">
        <x:v>Suggested starting knowledge: Risk, return, opportunity cost, and required return. It helps you match financing risk, capital claims and required returns.</x:v>
      </x:c>
      <x:c r="H628" s="10" t="str">
        <x:v>Suggested learning order; learners can still explore freely.</x:v>
      </x:c>
      <x:c r="I628" s="10" t="str">
        <x:v>Curated curriculum relationship</x:v>
      </x:c>
    </x:row>
    <x:row r="629" ht="58" customHeight="1">
      <x:c r="A629" s="9" t="str">
        <x:v>E0624</x:v>
      </x:c>
      <x:c r="B629" s="9" t="str">
        <x:v>T13.13</x:v>
      </x:c>
      <x:c r="C629" s="9" t="str">
        <x:v>Modigliani-Miller propositions</x:v>
      </x:c>
      <x:c r="D629" s="15" t="str">
        <x:v>PART_OF</x:v>
      </x:c>
      <x:c r="E629" s="9" t="str">
        <x:v>D13</x:v>
      </x:c>
      <x:c r="F629" s="9" t="str">
        <x:v>Cost of capital and capital structure</x:v>
      </x:c>
      <x:c r="G629" s="9" t="str">
        <x:v>Curriculum membership. Use this link to move between the topic and its finance area.</x:v>
      </x:c>
      <x:c r="H629" s="9" t="str">
        <x:v>Classification only; this edge is not a causal or calculation relationship.</x:v>
      </x:c>
      <x:c r="I629" s="9" t="str">
        <x:v>Curated curriculum relationship</x:v>
      </x:c>
    </x:row>
    <x:row r="630" ht="58" customHeight="1">
      <x:c r="A630" s="10" t="str">
        <x:v>E0625</x:v>
      </x:c>
      <x:c r="B630" s="10" t="str">
        <x:v>T13.13</x:v>
      </x:c>
      <x:c r="C630" s="10" t="str">
        <x:v>Modigliani-Miller propositions</x:v>
      </x:c>
      <x:c r="D630" s="14" t="str">
        <x:v>EXPLORE_WITH</x:v>
      </x:c>
      <x:c r="E630" s="10" t="str">
        <x:v>T13.15</x:v>
      </x:c>
      <x:c r="F630" s="10" t="str">
        <x:v>Trade-off theory and pecking-order theory</x:v>
      </x:c>
      <x:c r="G630" s="10" t="str">
        <x:v>Study these together to match financing risk, capital claims and required returns.</x:v>
      </x:c>
      <x:c r="H630" s="10" t="str">
        <x:v>A topical exploration link, not a claim that one determines the other.</x:v>
      </x:c>
      <x:c r="I630" s="10" t="str">
        <x:v>Curated curriculum relationship</x:v>
      </x:c>
    </x:row>
    <x:row r="631" ht="58" customHeight="1">
      <x:c r="A631" s="9" t="str">
        <x:v>E0626</x:v>
      </x:c>
      <x:c r="B631" s="9" t="str">
        <x:v>T01.10</x:v>
      </x:c>
      <x:c r="C631" s="9" t="str">
        <x:v>Risk, return, opportunity cost, and required return</x:v>
      </x:c>
      <x:c r="D631" s="15" t="str">
        <x:v>RECOMMENDED_BEFORE</x:v>
      </x:c>
      <x:c r="E631" s="9" t="str">
        <x:v>T13.13</x:v>
      </x:c>
      <x:c r="F631" s="9" t="str">
        <x:v>Modigliani-Miller propositions</x:v>
      </x:c>
      <x:c r="G631" s="9" t="str">
        <x:v>Suggested starting knowledge: Risk, return, opportunity cost, and required return. It helps you match financing risk, capital claims and required returns.</x:v>
      </x:c>
      <x:c r="H631" s="9" t="str">
        <x:v>Suggested learning order; learners can still explore freely.</x:v>
      </x:c>
      <x:c r="I631" s="9" t="str">
        <x:v>Curated curriculum relationship</x:v>
      </x:c>
    </x:row>
    <x:row r="632" ht="58" customHeight="1">
      <x:c r="A632" s="10" t="str">
        <x:v>E0627</x:v>
      </x:c>
      <x:c r="B632" s="10" t="str">
        <x:v>T13.14</x:v>
      </x:c>
      <x:c r="C632" s="10" t="str">
        <x:v>Interest tax shields</x:v>
      </x:c>
      <x:c r="D632" s="14" t="str">
        <x:v>PART_OF</x:v>
      </x:c>
      <x:c r="E632" s="10" t="str">
        <x:v>D13</x:v>
      </x:c>
      <x:c r="F632" s="10" t="str">
        <x:v>Cost of capital and capital structure</x:v>
      </x:c>
      <x:c r="G632" s="10" t="str">
        <x:v>Curriculum membership. Use this link to move between the topic and its finance area.</x:v>
      </x:c>
      <x:c r="H632" s="10" t="str">
        <x:v>Classification only; this edge is not a causal or calculation relationship.</x:v>
      </x:c>
      <x:c r="I632" s="10" t="str">
        <x:v>Curated curriculum relationship</x:v>
      </x:c>
    </x:row>
    <x:row r="633" ht="58" customHeight="1">
      <x:c r="A633" s="9" t="str">
        <x:v>E0628</x:v>
      </x:c>
      <x:c r="B633" s="9" t="str">
        <x:v>T13.14</x:v>
      </x:c>
      <x:c r="C633" s="9" t="str">
        <x:v>Interest tax shields</x:v>
      </x:c>
      <x:c r="D633" s="15" t="str">
        <x:v>EXPLORE_WITH</x:v>
      </x:c>
      <x:c r="E633" s="9" t="str">
        <x:v>T13.17</x:v>
      </x:c>
      <x:c r="F633" s="9" t="str">
        <x:v>Adjusted present value</x:v>
      </x:c>
      <x:c r="G633" s="9" t="str">
        <x:v>Study these together to match financing risk, capital claims and required returns.</x:v>
      </x:c>
      <x:c r="H633" s="9" t="str">
        <x:v>A topical exploration link, not a claim that one determines the other.</x:v>
      </x:c>
      <x:c r="I633" s="9" t="str">
        <x:v>Curated curriculum relationship</x:v>
      </x:c>
    </x:row>
    <x:row r="634" ht="58" customHeight="1">
      <x:c r="A634" s="10" t="str">
        <x:v>E0629</x:v>
      </x:c>
      <x:c r="B634" s="10" t="str">
        <x:v>T01.10</x:v>
      </x:c>
      <x:c r="C634" s="10" t="str">
        <x:v>Risk, return, opportunity cost, and required return</x:v>
      </x:c>
      <x:c r="D634" s="14" t="str">
        <x:v>RECOMMENDED_BEFORE</x:v>
      </x:c>
      <x:c r="E634" s="10" t="str">
        <x:v>T13.14</x:v>
      </x:c>
      <x:c r="F634" s="10" t="str">
        <x:v>Interest tax shields</x:v>
      </x:c>
      <x:c r="G634" s="10" t="str">
        <x:v>Suggested starting knowledge: Risk, return, opportunity cost, and required return. It helps you match financing risk, capital claims and required returns.</x:v>
      </x:c>
      <x:c r="H634" s="10" t="str">
        <x:v>Suggested learning order; learners can still explore freely.</x:v>
      </x:c>
      <x:c r="I634" s="10" t="str">
        <x:v>Curated curriculum relationship</x:v>
      </x:c>
    </x:row>
    <x:row r="635" ht="58" customHeight="1">
      <x:c r="A635" s="9" t="str">
        <x:v>E0630</x:v>
      </x:c>
      <x:c r="B635" s="9" t="str">
        <x:v>T13.15</x:v>
      </x:c>
      <x:c r="C635" s="9" t="str">
        <x:v>Trade-off theory and pecking-order theory</x:v>
      </x:c>
      <x:c r="D635" s="15" t="str">
        <x:v>PART_OF</x:v>
      </x:c>
      <x:c r="E635" s="9" t="str">
        <x:v>D13</x:v>
      </x:c>
      <x:c r="F635" s="9" t="str">
        <x:v>Cost of capital and capital structure</x:v>
      </x:c>
      <x:c r="G635" s="9" t="str">
        <x:v>Curriculum membership. Use this link to move between the topic and its finance area.</x:v>
      </x:c>
      <x:c r="H635" s="9" t="str">
        <x:v>Classification only; this edge is not a causal or calculation relationship.</x:v>
      </x:c>
      <x:c r="I635" s="9" t="str">
        <x:v>Curated curriculum relationship</x:v>
      </x:c>
    </x:row>
    <x:row r="636" ht="58" customHeight="1">
      <x:c r="A636" s="10" t="str">
        <x:v>E0631</x:v>
      </x:c>
      <x:c r="B636" s="10" t="str">
        <x:v>T13.15</x:v>
      </x:c>
      <x:c r="C636" s="10" t="str">
        <x:v>Trade-off theory and pecking-order theory</x:v>
      </x:c>
      <x:c r="D636" s="14" t="str">
        <x:v>EXPLORE_WITH</x:v>
      </x:c>
      <x:c r="E636" s="10" t="str">
        <x:v>T13.16</x:v>
      </x:c>
      <x:c r="F636" s="10" t="str">
        <x:v>Financial distress costs and optimal leverage</x:v>
      </x:c>
      <x:c r="G636" s="10" t="str">
        <x:v>Study these together to match financing risk, capital claims and required returns.</x:v>
      </x:c>
      <x:c r="H636" s="10" t="str">
        <x:v>A topical exploration link, not a claim that one determines the other.</x:v>
      </x:c>
      <x:c r="I636" s="10" t="str">
        <x:v>Curated curriculum relationship</x:v>
      </x:c>
    </x:row>
    <x:row r="637" ht="58" customHeight="1">
      <x:c r="A637" s="9" t="str">
        <x:v>E0632</x:v>
      </x:c>
      <x:c r="B637" s="9" t="str">
        <x:v>T01.10</x:v>
      </x:c>
      <x:c r="C637" s="9" t="str">
        <x:v>Risk, return, opportunity cost, and required return</x:v>
      </x:c>
      <x:c r="D637" s="15" t="str">
        <x:v>RECOMMENDED_BEFORE</x:v>
      </x:c>
      <x:c r="E637" s="9" t="str">
        <x:v>T13.15</x:v>
      </x:c>
      <x:c r="F637" s="9" t="str">
        <x:v>Trade-off theory and pecking-order theory</x:v>
      </x:c>
      <x:c r="G637" s="9" t="str">
        <x:v>Suggested starting knowledge: Risk, return, opportunity cost, and required return. It helps you match financing risk, capital claims and required returns.</x:v>
      </x:c>
      <x:c r="H637" s="9" t="str">
        <x:v>Suggested learning order; learners can still explore freely.</x:v>
      </x:c>
      <x:c r="I637" s="9" t="str">
        <x:v>Curated curriculum relationship</x:v>
      </x:c>
    </x:row>
    <x:row r="638" ht="58" customHeight="1">
      <x:c r="A638" s="10" t="str">
        <x:v>E0633</x:v>
      </x:c>
      <x:c r="B638" s="10" t="str">
        <x:v>T13.16</x:v>
      </x:c>
      <x:c r="C638" s="10" t="str">
        <x:v>Financial distress costs and optimal leverage</x:v>
      </x:c>
      <x:c r="D638" s="14" t="str">
        <x:v>PART_OF</x:v>
      </x:c>
      <x:c r="E638" s="10" t="str">
        <x:v>D13</x:v>
      </x:c>
      <x:c r="F638" s="10" t="str">
        <x:v>Cost of capital and capital structure</x:v>
      </x:c>
      <x:c r="G638" s="10" t="str">
        <x:v>Curriculum membership. Use this link to move between the topic and its finance area.</x:v>
      </x:c>
      <x:c r="H638" s="10" t="str">
        <x:v>Classification only; this edge is not a causal or calculation relationship.</x:v>
      </x:c>
      <x:c r="I638" s="10" t="str">
        <x:v>Curated curriculum relationship</x:v>
      </x:c>
    </x:row>
    <x:row r="639" ht="58" customHeight="1">
      <x:c r="A639" s="9" t="str">
        <x:v>E0634</x:v>
      </x:c>
      <x:c r="B639" s="9" t="str">
        <x:v>T13.16</x:v>
      </x:c>
      <x:c r="C639" s="9" t="str">
        <x:v>Financial distress costs and optimal leverage</x:v>
      </x:c>
      <x:c r="D639" s="15" t="str">
        <x:v>EXPLORE_WITH</x:v>
      </x:c>
      <x:c r="E639" s="9" t="str">
        <x:v>T13.15</x:v>
      </x:c>
      <x:c r="F639" s="9" t="str">
        <x:v>Trade-off theory and pecking-order theory</x:v>
      </x:c>
      <x:c r="G639" s="9" t="str">
        <x:v>Study these together to match financing risk, capital claims and required returns.</x:v>
      </x:c>
      <x:c r="H639" s="9" t="str">
        <x:v>A topical exploration link, not a claim that one determines the other.</x:v>
      </x:c>
      <x:c r="I639" s="9" t="str">
        <x:v>Curated curriculum relationship</x:v>
      </x:c>
    </x:row>
    <x:row r="640" ht="58" customHeight="1">
      <x:c r="A640" s="10" t="str">
        <x:v>E0635</x:v>
      </x:c>
      <x:c r="B640" s="10" t="str">
        <x:v>T01.10</x:v>
      </x:c>
      <x:c r="C640" s="10" t="str">
        <x:v>Risk, return, opportunity cost, and required return</x:v>
      </x:c>
      <x:c r="D640" s="14" t="str">
        <x:v>RECOMMENDED_BEFORE</x:v>
      </x:c>
      <x:c r="E640" s="10" t="str">
        <x:v>T13.16</x:v>
      </x:c>
      <x:c r="F640" s="10" t="str">
        <x:v>Financial distress costs and optimal leverage</x:v>
      </x:c>
      <x:c r="G640" s="10" t="str">
        <x:v>Suggested starting knowledge: Risk, return, opportunity cost, and required return. It helps you match financing risk, capital claims and required returns.</x:v>
      </x:c>
      <x:c r="H640" s="10" t="str">
        <x:v>Suggested learning order; learners can still explore freely.</x:v>
      </x:c>
      <x:c r="I640" s="10" t="str">
        <x:v>Curated curriculum relationship</x:v>
      </x:c>
    </x:row>
    <x:row r="641" ht="58" customHeight="1">
      <x:c r="A641" s="9" t="str">
        <x:v>E0636</x:v>
      </x:c>
      <x:c r="B641" s="9" t="str">
        <x:v>T13.17</x:v>
      </x:c>
      <x:c r="C641" s="9" t="str">
        <x:v>Adjusted present value</x:v>
      </x:c>
      <x:c r="D641" s="15" t="str">
        <x:v>PART_OF</x:v>
      </x:c>
      <x:c r="E641" s="9" t="str">
        <x:v>D13</x:v>
      </x:c>
      <x:c r="F641" s="9" t="str">
        <x:v>Cost of capital and capital structure</x:v>
      </x:c>
      <x:c r="G641" s="9" t="str">
        <x:v>Curriculum membership. Use this link to move between the topic and its finance area.</x:v>
      </x:c>
      <x:c r="H641" s="9" t="str">
        <x:v>Classification only; this edge is not a causal or calculation relationship.</x:v>
      </x:c>
      <x:c r="I641" s="9" t="str">
        <x:v>Curated curriculum relationship</x:v>
      </x:c>
    </x:row>
    <x:row r="642" ht="58" customHeight="1">
      <x:c r="A642" s="10" t="str">
        <x:v>E0637</x:v>
      </x:c>
      <x:c r="B642" s="10" t="str">
        <x:v>T13.17</x:v>
      </x:c>
      <x:c r="C642" s="10" t="str">
        <x:v>Adjusted present value</x:v>
      </x:c>
      <x:c r="D642" s="14" t="str">
        <x:v>EXPLORE_WITH</x:v>
      </x:c>
      <x:c r="E642" s="10" t="str">
        <x:v>T13.14</x:v>
      </x:c>
      <x:c r="F642" s="10" t="str">
        <x:v>Interest tax shields</x:v>
      </x:c>
      <x:c r="G642" s="10" t="str">
        <x:v>Study these together to match financing risk, capital claims and required returns.</x:v>
      </x:c>
      <x:c r="H642" s="10" t="str">
        <x:v>A topical exploration link, not a claim that one determines the other.</x:v>
      </x:c>
      <x:c r="I642" s="10" t="str">
        <x:v>Curated curriculum relationship</x:v>
      </x:c>
    </x:row>
    <x:row r="643" ht="58" customHeight="1">
      <x:c r="A643" s="9" t="str">
        <x:v>E0638</x:v>
      </x:c>
      <x:c r="B643" s="9" t="str">
        <x:v>T01.10</x:v>
      </x:c>
      <x:c r="C643" s="9" t="str">
        <x:v>Risk, return, opportunity cost, and required return</x:v>
      </x:c>
      <x:c r="D643" s="15" t="str">
        <x:v>RECOMMENDED_BEFORE</x:v>
      </x:c>
      <x:c r="E643" s="9" t="str">
        <x:v>T13.17</x:v>
      </x:c>
      <x:c r="F643" s="9" t="str">
        <x:v>Adjusted present value</x:v>
      </x:c>
      <x:c r="G643" s="9" t="str">
        <x:v>Suggested starting knowledge: Risk, return, opportunity cost, and required return. It helps you match financing risk, capital claims and required returns.</x:v>
      </x:c>
      <x:c r="H643" s="9" t="str">
        <x:v>Suggested learning order; learners can still explore freely.</x:v>
      </x:c>
      <x:c r="I643" s="9" t="str">
        <x:v>Curated curriculum relationship</x:v>
      </x:c>
    </x:row>
    <x:row r="644" ht="58" customHeight="1">
      <x:c r="A644" s="10" t="str">
        <x:v>E0639</x:v>
      </x:c>
      <x:c r="B644" s="10" t="str">
        <x:v>T13.18</x:v>
      </x:c>
      <x:c r="C644" s="10" t="str">
        <x:v>Changing leverage and project-specific discount rates</x:v>
      </x:c>
      <x:c r="D644" s="14" t="str">
        <x:v>PART_OF</x:v>
      </x:c>
      <x:c r="E644" s="10" t="str">
        <x:v>D13</x:v>
      </x:c>
      <x:c r="F644" s="10" t="str">
        <x:v>Cost of capital and capital structure</x:v>
      </x:c>
      <x:c r="G644" s="10" t="str">
        <x:v>Curriculum membership. Use this link to move between the topic and its finance area.</x:v>
      </x:c>
      <x:c r="H644" s="10" t="str">
        <x:v>Classification only; this edge is not a causal or calculation relationship.</x:v>
      </x:c>
      <x:c r="I644" s="10" t="str">
        <x:v>Curated curriculum relationship</x:v>
      </x:c>
    </x:row>
    <x:row r="645" ht="58" customHeight="1">
      <x:c r="A645" s="9" t="str">
        <x:v>E0640</x:v>
      </x:c>
      <x:c r="B645" s="9" t="str">
        <x:v>T13.18</x:v>
      </x:c>
      <x:c r="C645" s="9" t="str">
        <x:v>Changing leverage and project-specific discount rates</x:v>
      </x:c>
      <x:c r="D645" s="15" t="str">
        <x:v>EXPLORE_WITH</x:v>
      </x:c>
      <x:c r="E645" s="9" t="str">
        <x:v>T13.10</x:v>
      </x:c>
      <x:c r="F645" s="9" t="str">
        <x:v>Weighted average cost of capital</x:v>
      </x:c>
      <x:c r="G645" s="9" t="str">
        <x:v>Study these together to match financing risk, capital claims and required returns.</x:v>
      </x:c>
      <x:c r="H645" s="9" t="str">
        <x:v>A topical exploration link, not a claim that one determines the other.</x:v>
      </x:c>
      <x:c r="I645" s="9" t="str">
        <x:v>Curated curriculum relationship</x:v>
      </x:c>
    </x:row>
    <x:row r="646" ht="58" customHeight="1">
      <x:c r="A646" s="10" t="str">
        <x:v>E0641</x:v>
      </x:c>
      <x:c r="B646" s="10" t="str">
        <x:v>T01.10</x:v>
      </x:c>
      <x:c r="C646" s="10" t="str">
        <x:v>Risk, return, opportunity cost, and required return</x:v>
      </x:c>
      <x:c r="D646" s="14" t="str">
        <x:v>RECOMMENDED_BEFORE</x:v>
      </x:c>
      <x:c r="E646" s="10" t="str">
        <x:v>T13.18</x:v>
      </x:c>
      <x:c r="F646" s="10" t="str">
        <x:v>Changing leverage and project-specific discount rates</x:v>
      </x:c>
      <x:c r="G646" s="10" t="str">
        <x:v>Suggested starting knowledge: Risk, return, opportunity cost, and required return. It helps you match financing risk, capital claims and required returns.</x:v>
      </x:c>
      <x:c r="H646" s="10" t="str">
        <x:v>Suggested learning order; learners can still explore freely.</x:v>
      </x:c>
      <x:c r="I646" s="10" t="str">
        <x:v>Curated curriculum relationship</x:v>
      </x:c>
    </x:row>
    <x:row r="647" ht="58" customHeight="1">
      <x:c r="A647" s="9" t="str">
        <x:v>E0642</x:v>
      </x:c>
      <x:c r="B647" s="9" t="str">
        <x:v>T14.01</x:v>
      </x:c>
      <x:c r="C647" s="9" t="str">
        <x:v>Operating working capital versus total working capital</x:v>
      </x:c>
      <x:c r="D647" s="15" t="str">
        <x:v>PART_OF</x:v>
      </x:c>
      <x:c r="E647" s="9" t="str">
        <x:v>D14</x:v>
      </x:c>
      <x:c r="F647" s="9" t="str">
        <x:v>Working capital and treasury management</x:v>
      </x:c>
      <x:c r="G647" s="9" t="str">
        <x:v>Curriculum membership. Use this link to move between the topic and its finance area.</x:v>
      </x:c>
      <x:c r="H647" s="9" t="str">
        <x:v>Classification only; this edge is not a causal or calculation relationship.</x:v>
      </x:c>
      <x:c r="I647" s="9" t="str">
        <x:v>Curated curriculum relationship</x:v>
      </x:c>
    </x:row>
    <x:row r="648" ht="58" customHeight="1">
      <x:c r="A648" s="10" t="str">
        <x:v>E0643</x:v>
      </x:c>
      <x:c r="B648" s="10" t="str">
        <x:v>T14.01</x:v>
      </x:c>
      <x:c r="C648" s="10" t="str">
        <x:v>Operating working capital versus total working capital</x:v>
      </x:c>
      <x:c r="D648" s="14" t="str">
        <x:v>EXPLORE_WITH</x:v>
      </x:c>
      <x:c r="E648" s="10" t="str">
        <x:v>T14.02</x:v>
      </x:c>
      <x:c r="F648" s="10" t="str">
        <x:v>Cash conversion cycle</x:v>
      </x:c>
      <x:c r="G648" s="10" t="str">
        <x:v>Study these together to manage the timing gap between cash receipts, payments and funding.</x:v>
      </x:c>
      <x:c r="H648" s="10" t="str">
        <x:v>A topical exploration link, not a claim that one determines the other.</x:v>
      </x:c>
      <x:c r="I648" s="10" t="str">
        <x:v>Curated curriculum relationship</x:v>
      </x:c>
    </x:row>
    <x:row r="649" ht="58" customHeight="1">
      <x:c r="A649" s="9" t="str">
        <x:v>E0644</x:v>
      </x:c>
      <x:c r="B649" s="9" t="str">
        <x:v>T06.01</x:v>
      </x:c>
      <x:c r="C649" s="9" t="str">
        <x:v>Current versus non-current classification</x:v>
      </x:c>
      <x:c r="D649" s="15" t="str">
        <x:v>RECOMMENDED_BEFORE</x:v>
      </x:c>
      <x:c r="E649" s="9" t="str">
        <x:v>T14.01</x:v>
      </x:c>
      <x:c r="F649" s="9" t="str">
        <x:v>Operating working capital versus total working capital</x:v>
      </x:c>
      <x:c r="G649" s="9" t="str">
        <x:v>Suggested starting knowledge: Current versus non-current classification. It helps you manage the timing gap between cash receipts, payments and funding.</x:v>
      </x:c>
      <x:c r="H649" s="9" t="str">
        <x:v>Suggested learning order; learners can still explore freely.</x:v>
      </x:c>
      <x:c r="I649" s="9" t="str">
        <x:v>Curated curriculum relationship</x:v>
      </x:c>
    </x:row>
    <x:row r="650" ht="58" customHeight="1">
      <x:c r="A650" s="10" t="str">
        <x:v>E0645</x:v>
      </x:c>
      <x:c r="B650" s="10" t="str">
        <x:v>T14.02</x:v>
      </x:c>
      <x:c r="C650" s="10" t="str">
        <x:v>Cash conversion cycle</x:v>
      </x:c>
      <x:c r="D650" s="14" t="str">
        <x:v>PART_OF</x:v>
      </x:c>
      <x:c r="E650" s="10" t="str">
        <x:v>D14</x:v>
      </x:c>
      <x:c r="F650" s="10" t="str">
        <x:v>Working capital and treasury management</x:v>
      </x:c>
      <x:c r="G650" s="10" t="str">
        <x:v>Curriculum membership. Use this link to move between the topic and its finance area.</x:v>
      </x:c>
      <x:c r="H650" s="10" t="str">
        <x:v>Classification only; this edge is not a causal or calculation relationship.</x:v>
      </x:c>
      <x:c r="I650" s="10" t="str">
        <x:v>Curated curriculum relationship</x:v>
      </x:c>
    </x:row>
    <x:row r="651" ht="58" customHeight="1">
      <x:c r="A651" s="9" t="str">
        <x:v>E0646</x:v>
      </x:c>
      <x:c r="B651" s="9" t="str">
        <x:v>T14.02</x:v>
      </x:c>
      <x:c r="C651" s="9" t="str">
        <x:v>Cash conversion cycle</x:v>
      </x:c>
      <x:c r="D651" s="15" t="str">
        <x:v>EXPLORE_WITH</x:v>
      </x:c>
      <x:c r="E651" s="9" t="str">
        <x:v>T14.03</x:v>
      </x:c>
      <x:c r="F651" s="9" t="str">
        <x:v>Inventory days, receivable days, and payable days</x:v>
      </x:c>
      <x:c r="G651" s="9" t="str">
        <x:v>Study these together to manage the timing gap between cash receipts, payments and funding.</x:v>
      </x:c>
      <x:c r="H651" s="9" t="str">
        <x:v>A topical exploration link, not a claim that one determines the other.</x:v>
      </x:c>
      <x:c r="I651" s="9" t="str">
        <x:v>Curated curriculum relationship</x:v>
      </x:c>
    </x:row>
    <x:row r="652" ht="58" customHeight="1">
      <x:c r="A652" s="10" t="str">
        <x:v>E0647</x:v>
      </x:c>
      <x:c r="B652" s="10" t="str">
        <x:v>T06.01</x:v>
      </x:c>
      <x:c r="C652" s="10" t="str">
        <x:v>Current versus non-current classification</x:v>
      </x:c>
      <x:c r="D652" s="14" t="str">
        <x:v>RECOMMENDED_BEFORE</x:v>
      </x:c>
      <x:c r="E652" s="10" t="str">
        <x:v>T14.02</x:v>
      </x:c>
      <x:c r="F652" s="10" t="str">
        <x:v>Cash conversion cycle</x:v>
      </x:c>
      <x:c r="G652" s="10" t="str">
        <x:v>Suggested starting knowledge: Current versus non-current classification. It helps you manage the timing gap between cash receipts, payments and funding.</x:v>
      </x:c>
      <x:c r="H652" s="10" t="str">
        <x:v>Suggested learning order; learners can still explore freely.</x:v>
      </x:c>
      <x:c r="I652" s="10" t="str">
        <x:v>Curated curriculum relationship</x:v>
      </x:c>
    </x:row>
    <x:row r="653" ht="58" customHeight="1">
      <x:c r="A653" s="9" t="str">
        <x:v>E0648</x:v>
      </x:c>
      <x:c r="B653" s="9" t="str">
        <x:v>T14.03</x:v>
      </x:c>
      <x:c r="C653" s="9" t="str">
        <x:v>Inventory days, receivable days, and payable days</x:v>
      </x:c>
      <x:c r="D653" s="15" t="str">
        <x:v>PART_OF</x:v>
      </x:c>
      <x:c r="E653" s="9" t="str">
        <x:v>D14</x:v>
      </x:c>
      <x:c r="F653" s="9" t="str">
        <x:v>Working capital and treasury management</x:v>
      </x:c>
      <x:c r="G653" s="9" t="str">
        <x:v>Curriculum membership. Use this link to move between the topic and its finance area.</x:v>
      </x:c>
      <x:c r="H653" s="9" t="str">
        <x:v>Classification only; this edge is not a causal or calculation relationship.</x:v>
      </x:c>
      <x:c r="I653" s="9" t="str">
        <x:v>Curated curriculum relationship</x:v>
      </x:c>
    </x:row>
    <x:row r="654" ht="58" customHeight="1">
      <x:c r="A654" s="10" t="str">
        <x:v>E0649</x:v>
      </x:c>
      <x:c r="B654" s="10" t="str">
        <x:v>T14.03</x:v>
      </x:c>
      <x:c r="C654" s="10" t="str">
        <x:v>Inventory days, receivable days, and payable days</x:v>
      </x:c>
      <x:c r="D654" s="14" t="str">
        <x:v>EXPLORE_WITH</x:v>
      </x:c>
      <x:c r="E654" s="10" t="str">
        <x:v>T14.02</x:v>
      </x:c>
      <x:c r="F654" s="10" t="str">
        <x:v>Cash conversion cycle</x:v>
      </x:c>
      <x:c r="G654" s="10" t="str">
        <x:v>Study these together to manage the timing gap between cash receipts, payments and funding.</x:v>
      </x:c>
      <x:c r="H654" s="10" t="str">
        <x:v>A topical exploration link, not a claim that one determines the other.</x:v>
      </x:c>
      <x:c r="I654" s="10" t="str">
        <x:v>Curated curriculum relationship</x:v>
      </x:c>
    </x:row>
    <x:row r="655" ht="58" customHeight="1">
      <x:c r="A655" s="9" t="str">
        <x:v>E0650</x:v>
      </x:c>
      <x:c r="B655" s="9" t="str">
        <x:v>T06.01</x:v>
      </x:c>
      <x:c r="C655" s="9" t="str">
        <x:v>Current versus non-current classification</x:v>
      </x:c>
      <x:c r="D655" s="15" t="str">
        <x:v>RECOMMENDED_BEFORE</x:v>
      </x:c>
      <x:c r="E655" s="9" t="str">
        <x:v>T14.03</x:v>
      </x:c>
      <x:c r="F655" s="9" t="str">
        <x:v>Inventory days, receivable days, and payable days</x:v>
      </x:c>
      <x:c r="G655" s="9" t="str">
        <x:v>Suggested starting knowledge: Current versus non-current classification. It helps you manage the timing gap between cash receipts, payments and funding.</x:v>
      </x:c>
      <x:c r="H655" s="9" t="str">
        <x:v>Suggested learning order; learners can still explore freely.</x:v>
      </x:c>
      <x:c r="I655" s="9" t="str">
        <x:v>Curated curriculum relationship</x:v>
      </x:c>
    </x:row>
    <x:row r="656" ht="58" customHeight="1">
      <x:c r="A656" s="10" t="str">
        <x:v>E0651</x:v>
      </x:c>
      <x:c r="B656" s="10" t="str">
        <x:v>T14.04</x:v>
      </x:c>
      <x:c r="C656" s="10" t="str">
        <x:v>Cash budgeting and short-term liquidity forecasting</x:v>
      </x:c>
      <x:c r="D656" s="14" t="str">
        <x:v>PART_OF</x:v>
      </x:c>
      <x:c r="E656" s="10" t="str">
        <x:v>D14</x:v>
      </x:c>
      <x:c r="F656" s="10" t="str">
        <x:v>Working capital and treasury management</x:v>
      </x:c>
      <x:c r="G656" s="10" t="str">
        <x:v>Curriculum membership. Use this link to move between the topic and its finance area.</x:v>
      </x:c>
      <x:c r="H656" s="10" t="str">
        <x:v>Classification only; this edge is not a causal or calculation relationship.</x:v>
      </x:c>
      <x:c r="I656" s="10" t="str">
        <x:v>Curated curriculum relationship</x:v>
      </x:c>
    </x:row>
    <x:row r="657" ht="58" customHeight="1">
      <x:c r="A657" s="9" t="str">
        <x:v>E0652</x:v>
      </x:c>
      <x:c r="B657" s="9" t="str">
        <x:v>T14.04</x:v>
      </x:c>
      <x:c r="C657" s="9" t="str">
        <x:v>Cash budgeting and short-term liquidity forecasting</x:v>
      </x:c>
      <x:c r="D657" s="15" t="str">
        <x:v>EXPLORE_WITH</x:v>
      </x:c>
      <x:c r="E657" s="9" t="str">
        <x:v>T14.15</x:v>
      </x:c>
      <x:c r="F657" s="9" t="str">
        <x:v>Liquidity buffers and contingency funding</x:v>
      </x:c>
      <x:c r="G657" s="9" t="str">
        <x:v>Study these together to manage the timing gap between cash receipts, payments and funding.</x:v>
      </x:c>
      <x:c r="H657" s="9" t="str">
        <x:v>A topical exploration link, not a claim that one determines the other.</x:v>
      </x:c>
      <x:c r="I657" s="9" t="str">
        <x:v>Curated curriculum relationship</x:v>
      </x:c>
    </x:row>
    <x:row r="658" ht="58" customHeight="1">
      <x:c r="A658" s="10" t="str">
        <x:v>E0653</x:v>
      </x:c>
      <x:c r="B658" s="10" t="str">
        <x:v>T06.01</x:v>
      </x:c>
      <x:c r="C658" s="10" t="str">
        <x:v>Current versus non-current classification</x:v>
      </x:c>
      <x:c r="D658" s="14" t="str">
        <x:v>RECOMMENDED_BEFORE</x:v>
      </x:c>
      <x:c r="E658" s="10" t="str">
        <x:v>T14.04</x:v>
      </x:c>
      <x:c r="F658" s="10" t="str">
        <x:v>Cash budgeting and short-term liquidity forecasting</x:v>
      </x:c>
      <x:c r="G658" s="10" t="str">
        <x:v>Suggested starting knowledge: Current versus non-current classification. It helps you manage the timing gap between cash receipts, payments and funding.</x:v>
      </x:c>
      <x:c r="H658" s="10" t="str">
        <x:v>Suggested learning order; learners can still explore freely.</x:v>
      </x:c>
      <x:c r="I658" s="10" t="str">
        <x:v>Curated curriculum relationship</x:v>
      </x:c>
    </x:row>
    <x:row r="659" ht="58" customHeight="1">
      <x:c r="A659" s="9" t="str">
        <x:v>E0654</x:v>
      </x:c>
      <x:c r="B659" s="9" t="str">
        <x:v>T14.05</x:v>
      </x:c>
      <x:c r="C659" s="9" t="str">
        <x:v>Customer credit policy and collections</x:v>
      </x:c>
      <x:c r="D659" s="15" t="str">
        <x:v>PART_OF</x:v>
      </x:c>
      <x:c r="E659" s="9" t="str">
        <x:v>D14</x:v>
      </x:c>
      <x:c r="F659" s="9" t="str">
        <x:v>Working capital and treasury management</x:v>
      </x:c>
      <x:c r="G659" s="9" t="str">
        <x:v>Curriculum membership. Use this link to move between the topic and its finance area.</x:v>
      </x:c>
      <x:c r="H659" s="9" t="str">
        <x:v>Classification only; this edge is not a causal or calculation relationship.</x:v>
      </x:c>
      <x:c r="I659" s="9" t="str">
        <x:v>Curated curriculum relationship</x:v>
      </x:c>
    </x:row>
    <x:row r="660" ht="58" customHeight="1">
      <x:c r="A660" s="10" t="str">
        <x:v>E0655</x:v>
      </x:c>
      <x:c r="B660" s="10" t="str">
        <x:v>T14.05</x:v>
      </x:c>
      <x:c r="C660" s="10" t="str">
        <x:v>Customer credit policy and collections</x:v>
      </x:c>
      <x:c r="D660" s="14" t="str">
        <x:v>EXPLORE_WITH</x:v>
      </x:c>
      <x:c r="E660" s="10" t="str">
        <x:v>T14.03</x:v>
      </x:c>
      <x:c r="F660" s="10" t="str">
        <x:v>Inventory days, receivable days, and payable days</x:v>
      </x:c>
      <x:c r="G660" s="10" t="str">
        <x:v>Study these together to manage the timing gap between cash receipts, payments and funding.</x:v>
      </x:c>
      <x:c r="H660" s="10" t="str">
        <x:v>A topical exploration link, not a claim that one determines the other.</x:v>
      </x:c>
      <x:c r="I660" s="10" t="str">
        <x:v>Curated curriculum relationship</x:v>
      </x:c>
    </x:row>
    <x:row r="661" ht="58" customHeight="1">
      <x:c r="A661" s="9" t="str">
        <x:v>E0656</x:v>
      </x:c>
      <x:c r="B661" s="9" t="str">
        <x:v>T06.01</x:v>
      </x:c>
      <x:c r="C661" s="9" t="str">
        <x:v>Current versus non-current classification</x:v>
      </x:c>
      <x:c r="D661" s="15" t="str">
        <x:v>RECOMMENDED_BEFORE</x:v>
      </x:c>
      <x:c r="E661" s="9" t="str">
        <x:v>T14.05</x:v>
      </x:c>
      <x:c r="F661" s="9" t="str">
        <x:v>Customer credit policy and collections</x:v>
      </x:c>
      <x:c r="G661" s="9" t="str">
        <x:v>Suggested starting knowledge: Current versus non-current classification. It helps you manage the timing gap between cash receipts, payments and funding.</x:v>
      </x:c>
      <x:c r="H661" s="9" t="str">
        <x:v>Suggested learning order; learners can still explore freely.</x:v>
      </x:c>
      <x:c r="I661" s="9" t="str">
        <x:v>Curated curriculum relationship</x:v>
      </x:c>
    </x:row>
    <x:row r="662" ht="58" customHeight="1">
      <x:c r="A662" s="10" t="str">
        <x:v>E0657</x:v>
      </x:c>
      <x:c r="B662" s="10" t="str">
        <x:v>T14.06</x:v>
      </x:c>
      <x:c r="C662" s="10" t="str">
        <x:v>Inventory financing</x:v>
      </x:c>
      <x:c r="D662" s="14" t="str">
        <x:v>PART_OF</x:v>
      </x:c>
      <x:c r="E662" s="10" t="str">
        <x:v>D14</x:v>
      </x:c>
      <x:c r="F662" s="10" t="str">
        <x:v>Working capital and treasury management</x:v>
      </x:c>
      <x:c r="G662" s="10" t="str">
        <x:v>Curriculum membership. Use this link to move between the topic and its finance area.</x:v>
      </x:c>
      <x:c r="H662" s="10" t="str">
        <x:v>Classification only; this edge is not a causal or calculation relationship.</x:v>
      </x:c>
      <x:c r="I662" s="10" t="str">
        <x:v>Curated curriculum relationship</x:v>
      </x:c>
    </x:row>
    <x:row r="663" ht="58" customHeight="1">
      <x:c r="A663" s="9" t="str">
        <x:v>E0658</x:v>
      </x:c>
      <x:c r="B663" s="9" t="str">
        <x:v>T14.06</x:v>
      </x:c>
      <x:c r="C663" s="9" t="str">
        <x:v>Inventory financing</x:v>
      </x:c>
      <x:c r="D663" s="15" t="str">
        <x:v>EXPLORE_WITH</x:v>
      </x:c>
      <x:c r="E663" s="9" t="str">
        <x:v>T14.01</x:v>
      </x:c>
      <x:c r="F663" s="9" t="str">
        <x:v>Operating working capital versus total working capital</x:v>
      </x:c>
      <x:c r="G663" s="9" t="str">
        <x:v>Study these together to manage the timing gap between cash receipts, payments and funding.</x:v>
      </x:c>
      <x:c r="H663" s="9" t="str">
        <x:v>A topical exploration link, not a claim that one determines the other.</x:v>
      </x:c>
      <x:c r="I663" s="9" t="str">
        <x:v>Curated curriculum relationship</x:v>
      </x:c>
    </x:row>
    <x:row r="664" ht="58" customHeight="1">
      <x:c r="A664" s="10" t="str">
        <x:v>E0659</x:v>
      </x:c>
      <x:c r="B664" s="10" t="str">
        <x:v>T06.01</x:v>
      </x:c>
      <x:c r="C664" s="10" t="str">
        <x:v>Current versus non-current classification</x:v>
      </x:c>
      <x:c r="D664" s="14" t="str">
        <x:v>RECOMMENDED_BEFORE</x:v>
      </x:c>
      <x:c r="E664" s="10" t="str">
        <x:v>T14.06</x:v>
      </x:c>
      <x:c r="F664" s="10" t="str">
        <x:v>Inventory financing</x:v>
      </x:c>
      <x:c r="G664" s="10" t="str">
        <x:v>Suggested starting knowledge: Current versus non-current classification. It helps you manage the timing gap between cash receipts, payments and funding.</x:v>
      </x:c>
      <x:c r="H664" s="10" t="str">
        <x:v>Suggested learning order; learners can still explore freely.</x:v>
      </x:c>
      <x:c r="I664" s="10" t="str">
        <x:v>Curated curriculum relationship</x:v>
      </x:c>
    </x:row>
    <x:row r="665" ht="58" customHeight="1">
      <x:c r="A665" s="9" t="str">
        <x:v>E0660</x:v>
      </x:c>
      <x:c r="B665" s="9" t="str">
        <x:v>T14.07</x:v>
      </x:c>
      <x:c r="C665" s="9" t="str">
        <x:v>Supplier terms and payment management</x:v>
      </x:c>
      <x:c r="D665" s="15" t="str">
        <x:v>PART_OF</x:v>
      </x:c>
      <x:c r="E665" s="9" t="str">
        <x:v>D14</x:v>
      </x:c>
      <x:c r="F665" s="9" t="str">
        <x:v>Working capital and treasury management</x:v>
      </x:c>
      <x:c r="G665" s="9" t="str">
        <x:v>Curriculum membership. Use this link to move between the topic and its finance area.</x:v>
      </x:c>
      <x:c r="H665" s="9" t="str">
        <x:v>Classification only; this edge is not a causal or calculation relationship.</x:v>
      </x:c>
      <x:c r="I665" s="9" t="str">
        <x:v>Curated curriculum relationship</x:v>
      </x:c>
    </x:row>
    <x:row r="666" ht="58" customHeight="1">
      <x:c r="A666" s="10" t="str">
        <x:v>E0661</x:v>
      </x:c>
      <x:c r="B666" s="10" t="str">
        <x:v>T14.07</x:v>
      </x:c>
      <x:c r="C666" s="10" t="str">
        <x:v>Supplier terms and payment management</x:v>
      </x:c>
      <x:c r="D666" s="14" t="str">
        <x:v>EXPLORE_WITH</x:v>
      </x:c>
      <x:c r="E666" s="10" t="str">
        <x:v>T14.03</x:v>
      </x:c>
      <x:c r="F666" s="10" t="str">
        <x:v>Inventory days, receivable days, and payable days</x:v>
      </x:c>
      <x:c r="G666" s="10" t="str">
        <x:v>Study these together to manage the timing gap between cash receipts, payments and funding.</x:v>
      </x:c>
      <x:c r="H666" s="10" t="str">
        <x:v>A topical exploration link, not a claim that one determines the other.</x:v>
      </x:c>
      <x:c r="I666" s="10" t="str">
        <x:v>Curated curriculum relationship</x:v>
      </x:c>
    </x:row>
    <x:row r="667" ht="58" customHeight="1">
      <x:c r="A667" s="9" t="str">
        <x:v>E0662</x:v>
      </x:c>
      <x:c r="B667" s="9" t="str">
        <x:v>T06.01</x:v>
      </x:c>
      <x:c r="C667" s="9" t="str">
        <x:v>Current versus non-current classification</x:v>
      </x:c>
      <x:c r="D667" s="15" t="str">
        <x:v>RECOMMENDED_BEFORE</x:v>
      </x:c>
      <x:c r="E667" s="9" t="str">
        <x:v>T14.07</x:v>
      </x:c>
      <x:c r="F667" s="9" t="str">
        <x:v>Supplier terms and payment management</x:v>
      </x:c>
      <x:c r="G667" s="9" t="str">
        <x:v>Suggested starting knowledge: Current versus non-current classification. It helps you manage the timing gap between cash receipts, payments and funding.</x:v>
      </x:c>
      <x:c r="H667" s="9" t="str">
        <x:v>Suggested learning order; learners can still explore freely.</x:v>
      </x:c>
      <x:c r="I667" s="9" t="str">
        <x:v>Curated curriculum relationship</x:v>
      </x:c>
    </x:row>
    <x:row r="668" ht="58" customHeight="1">
      <x:c r="A668" s="10" t="str">
        <x:v>E0663</x:v>
      </x:c>
      <x:c r="B668" s="10" t="str">
        <x:v>T14.08</x:v>
      </x:c>
      <x:c r="C668" s="10" t="str">
        <x:v>Factoring and invoice discounting</x:v>
      </x:c>
      <x:c r="D668" s="14" t="str">
        <x:v>PART_OF</x:v>
      </x:c>
      <x:c r="E668" s="10" t="str">
        <x:v>D14</x:v>
      </x:c>
      <x:c r="F668" s="10" t="str">
        <x:v>Working capital and treasury management</x:v>
      </x:c>
      <x:c r="G668" s="10" t="str">
        <x:v>Curriculum membership. Use this link to move between the topic and its finance area.</x:v>
      </x:c>
      <x:c r="H668" s="10" t="str">
        <x:v>Classification only; this edge is not a causal or calculation relationship.</x:v>
      </x:c>
      <x:c r="I668" s="10" t="str">
        <x:v>Curated curriculum relationship</x:v>
      </x:c>
    </x:row>
    <x:row r="669" ht="58" customHeight="1">
      <x:c r="A669" s="9" t="str">
        <x:v>E0664</x:v>
      </x:c>
      <x:c r="B669" s="9" t="str">
        <x:v>T14.08</x:v>
      </x:c>
      <x:c r="C669" s="9" t="str">
        <x:v>Factoring and invoice discounting</x:v>
      </x:c>
      <x:c r="D669" s="15" t="str">
        <x:v>EXPLORE_WITH</x:v>
      </x:c>
      <x:c r="E669" s="9" t="str">
        <x:v>T14.05</x:v>
      </x:c>
      <x:c r="F669" s="9" t="str">
        <x:v>Customer credit policy and collections</x:v>
      </x:c>
      <x:c r="G669" s="9" t="str">
        <x:v>Study these together to manage the timing gap between cash receipts, payments and funding.</x:v>
      </x:c>
      <x:c r="H669" s="9" t="str">
        <x:v>A topical exploration link, not a claim that one determines the other.</x:v>
      </x:c>
      <x:c r="I669" s="9" t="str">
        <x:v>Curated curriculum relationship</x:v>
      </x:c>
    </x:row>
    <x:row r="670" ht="58" customHeight="1">
      <x:c r="A670" s="10" t="str">
        <x:v>E0665</x:v>
      </x:c>
      <x:c r="B670" s="10" t="str">
        <x:v>T06.01</x:v>
      </x:c>
      <x:c r="C670" s="10" t="str">
        <x:v>Current versus non-current classification</x:v>
      </x:c>
      <x:c r="D670" s="14" t="str">
        <x:v>RECOMMENDED_BEFORE</x:v>
      </x:c>
      <x:c r="E670" s="10" t="str">
        <x:v>T14.08</x:v>
      </x:c>
      <x:c r="F670" s="10" t="str">
        <x:v>Factoring and invoice discounting</x:v>
      </x:c>
      <x:c r="G670" s="10" t="str">
        <x:v>Suggested starting knowledge: Current versus non-current classification. It helps you manage the timing gap between cash receipts, payments and funding.</x:v>
      </x:c>
      <x:c r="H670" s="10" t="str">
        <x:v>Suggested learning order; learners can still explore freely.</x:v>
      </x:c>
      <x:c r="I670" s="10" t="str">
        <x:v>Curated curriculum relationship</x:v>
      </x:c>
    </x:row>
    <x:row r="671" ht="58" customHeight="1">
      <x:c r="A671" s="9" t="str">
        <x:v>E0666</x:v>
      </x:c>
      <x:c r="B671" s="9" t="str">
        <x:v>T14.09</x:v>
      </x:c>
      <x:c r="C671" s="9" t="str">
        <x:v>Reverse factoring and supply-chain finance</x:v>
      </x:c>
      <x:c r="D671" s="15" t="str">
        <x:v>PART_OF</x:v>
      </x:c>
      <x:c r="E671" s="9" t="str">
        <x:v>D14</x:v>
      </x:c>
      <x:c r="F671" s="9" t="str">
        <x:v>Working capital and treasury management</x:v>
      </x:c>
      <x:c r="G671" s="9" t="str">
        <x:v>Curriculum membership. Use this link to move between the topic and its finance area.</x:v>
      </x:c>
      <x:c r="H671" s="9" t="str">
        <x:v>Classification only; this edge is not a causal or calculation relationship.</x:v>
      </x:c>
      <x:c r="I671" s="9" t="str">
        <x:v>Curated curriculum relationship</x:v>
      </x:c>
    </x:row>
    <x:row r="672" ht="58" customHeight="1">
      <x:c r="A672" s="10" t="str">
        <x:v>E0667</x:v>
      </x:c>
      <x:c r="B672" s="10" t="str">
        <x:v>T14.09</x:v>
      </x:c>
      <x:c r="C672" s="10" t="str">
        <x:v>Reverse factoring and supply-chain finance</x:v>
      </x:c>
      <x:c r="D672" s="14" t="str">
        <x:v>EXPLORE_WITH</x:v>
      </x:c>
      <x:c r="E672" s="10" t="str">
        <x:v>T14.07</x:v>
      </x:c>
      <x:c r="F672" s="10" t="str">
        <x:v>Supplier terms and payment management</x:v>
      </x:c>
      <x:c r="G672" s="10" t="str">
        <x:v>Study these together to manage the timing gap between cash receipts, payments and funding.</x:v>
      </x:c>
      <x:c r="H672" s="10" t="str">
        <x:v>A topical exploration link, not a claim that one determines the other.</x:v>
      </x:c>
      <x:c r="I672" s="10" t="str">
        <x:v>Curated curriculum relationship</x:v>
      </x:c>
    </x:row>
    <x:row r="673" ht="58" customHeight="1">
      <x:c r="A673" s="9" t="str">
        <x:v>E0668</x:v>
      </x:c>
      <x:c r="B673" s="9" t="str">
        <x:v>T06.01</x:v>
      </x:c>
      <x:c r="C673" s="9" t="str">
        <x:v>Current versus non-current classification</x:v>
      </x:c>
      <x:c r="D673" s="15" t="str">
        <x:v>RECOMMENDED_BEFORE</x:v>
      </x:c>
      <x:c r="E673" s="9" t="str">
        <x:v>T14.09</x:v>
      </x:c>
      <x:c r="F673" s="9" t="str">
        <x:v>Reverse factoring and supply-chain finance</x:v>
      </x:c>
      <x:c r="G673" s="9" t="str">
        <x:v>Suggested starting knowledge: Current versus non-current classification. It helps you manage the timing gap between cash receipts, payments and funding.</x:v>
      </x:c>
      <x:c r="H673" s="9" t="str">
        <x:v>Suggested learning order; learners can still explore freely.</x:v>
      </x:c>
      <x:c r="I673" s="9" t="str">
        <x:v>Curated curriculum relationship</x:v>
      </x:c>
    </x:row>
    <x:row r="674" ht="58" customHeight="1">
      <x:c r="A674" s="10" t="str">
        <x:v>E0669</x:v>
      </x:c>
      <x:c r="B674" s="10" t="str">
        <x:v>T14.10</x:v>
      </x:c>
      <x:c r="C674" s="10" t="str">
        <x:v>Cash-credit facilities, overdrafts, and revolving credit</x:v>
      </x:c>
      <x:c r="D674" s="14" t="str">
        <x:v>PART_OF</x:v>
      </x:c>
      <x:c r="E674" s="10" t="str">
        <x:v>D14</x:v>
      </x:c>
      <x:c r="F674" s="10" t="str">
        <x:v>Working capital and treasury management</x:v>
      </x:c>
      <x:c r="G674" s="10" t="str">
        <x:v>Curriculum membership. Use this link to move between the topic and its finance area.</x:v>
      </x:c>
      <x:c r="H674" s="10" t="str">
        <x:v>Classification only; this edge is not a causal or calculation relationship.</x:v>
      </x:c>
      <x:c r="I674" s="10" t="str">
        <x:v>Curated curriculum relationship</x:v>
      </x:c>
    </x:row>
    <x:row r="675" ht="58" customHeight="1">
      <x:c r="A675" s="9" t="str">
        <x:v>E0670</x:v>
      </x:c>
      <x:c r="B675" s="9" t="str">
        <x:v>T14.10</x:v>
      </x:c>
      <x:c r="C675" s="9" t="str">
        <x:v>Cash-credit facilities, overdrafts, and revolving credit</x:v>
      </x:c>
      <x:c r="D675" s="15" t="str">
        <x:v>EXPLORE_WITH</x:v>
      </x:c>
      <x:c r="E675" s="9" t="str">
        <x:v>T14.15</x:v>
      </x:c>
      <x:c r="F675" s="9" t="str">
        <x:v>Liquidity buffers and contingency funding</x:v>
      </x:c>
      <x:c r="G675" s="9" t="str">
        <x:v>Study these together to manage the timing gap between cash receipts, payments and funding.</x:v>
      </x:c>
      <x:c r="H675" s="9" t="str">
        <x:v>A topical exploration link, not a claim that one determines the other.</x:v>
      </x:c>
      <x:c r="I675" s="9" t="str">
        <x:v>Curated curriculum relationship</x:v>
      </x:c>
    </x:row>
    <x:row r="676" ht="58" customHeight="1">
      <x:c r="A676" s="10" t="str">
        <x:v>E0671</x:v>
      </x:c>
      <x:c r="B676" s="10" t="str">
        <x:v>T06.01</x:v>
      </x:c>
      <x:c r="C676" s="10" t="str">
        <x:v>Current versus non-current classification</x:v>
      </x:c>
      <x:c r="D676" s="14" t="str">
        <x:v>RECOMMENDED_BEFORE</x:v>
      </x:c>
      <x:c r="E676" s="10" t="str">
        <x:v>T14.10</x:v>
      </x:c>
      <x:c r="F676" s="10" t="str">
        <x:v>Cash-credit facilities, overdrafts, and revolving credit</x:v>
      </x:c>
      <x:c r="G676" s="10" t="str">
        <x:v>Suggested starting knowledge: Current versus non-current classification. It helps you manage the timing gap between cash receipts, payments and funding.</x:v>
      </x:c>
      <x:c r="H676" s="10" t="str">
        <x:v>Suggested learning order; learners can still explore freely.</x:v>
      </x:c>
      <x:c r="I676" s="10" t="str">
        <x:v>Curated curriculum relationship</x:v>
      </x:c>
    </x:row>
    <x:row r="677" ht="58" customHeight="1">
      <x:c r="A677" s="9" t="str">
        <x:v>E0672</x:v>
      </x:c>
      <x:c r="B677" s="9" t="str">
        <x:v>T14.11</x:v>
      </x:c>
      <x:c r="C677" s="9" t="str">
        <x:v>Commercial paper and short-term funding</x:v>
      </x:c>
      <x:c r="D677" s="15" t="str">
        <x:v>PART_OF</x:v>
      </x:c>
      <x:c r="E677" s="9" t="str">
        <x:v>D14</x:v>
      </x:c>
      <x:c r="F677" s="9" t="str">
        <x:v>Working capital and treasury management</x:v>
      </x:c>
      <x:c r="G677" s="9" t="str">
        <x:v>Curriculum membership. Use this link to move between the topic and its finance area.</x:v>
      </x:c>
      <x:c r="H677" s="9" t="str">
        <x:v>Classification only; this edge is not a causal or calculation relationship.</x:v>
      </x:c>
      <x:c r="I677" s="9" t="str">
        <x:v>Curated curriculum relationship</x:v>
      </x:c>
    </x:row>
    <x:row r="678" ht="58" customHeight="1">
      <x:c r="A678" s="10" t="str">
        <x:v>E0673</x:v>
      </x:c>
      <x:c r="B678" s="10" t="str">
        <x:v>T14.11</x:v>
      </x:c>
      <x:c r="C678" s="10" t="str">
        <x:v>Commercial paper and short-term funding</x:v>
      </x:c>
      <x:c r="D678" s="14" t="str">
        <x:v>EXPLORE_WITH</x:v>
      </x:c>
      <x:c r="E678" s="10" t="str">
        <x:v>T14.10</x:v>
      </x:c>
      <x:c r="F678" s="10" t="str">
        <x:v>Cash-credit facilities, overdrafts, and revolving credit</x:v>
      </x:c>
      <x:c r="G678" s="10" t="str">
        <x:v>Study these together to manage the timing gap between cash receipts, payments and funding.</x:v>
      </x:c>
      <x:c r="H678" s="10" t="str">
        <x:v>A topical exploration link, not a claim that one determines the other.</x:v>
      </x:c>
      <x:c r="I678" s="10" t="str">
        <x:v>Curated curriculum relationship</x:v>
      </x:c>
    </x:row>
    <x:row r="679" ht="58" customHeight="1">
      <x:c r="A679" s="9" t="str">
        <x:v>E0674</x:v>
      </x:c>
      <x:c r="B679" s="9" t="str">
        <x:v>T06.01</x:v>
      </x:c>
      <x:c r="C679" s="9" t="str">
        <x:v>Current versus non-current classification</x:v>
      </x:c>
      <x:c r="D679" s="15" t="str">
        <x:v>RECOMMENDED_BEFORE</x:v>
      </x:c>
      <x:c r="E679" s="9" t="str">
        <x:v>T14.11</x:v>
      </x:c>
      <x:c r="F679" s="9" t="str">
        <x:v>Commercial paper and short-term funding</x:v>
      </x:c>
      <x:c r="G679" s="9" t="str">
        <x:v>Suggested starting knowledge: Current versus non-current classification. It helps you manage the timing gap between cash receipts, payments and funding.</x:v>
      </x:c>
      <x:c r="H679" s="9" t="str">
        <x:v>Suggested learning order; learners can still explore freely.</x:v>
      </x:c>
      <x:c r="I679" s="9" t="str">
        <x:v>Curated curriculum relationship</x:v>
      </x:c>
    </x:row>
    <x:row r="680" ht="58" customHeight="1">
      <x:c r="A680" s="10" t="str">
        <x:v>E0675</x:v>
      </x:c>
      <x:c r="B680" s="10" t="str">
        <x:v>T14.12</x:v>
      </x:c>
      <x:c r="C680" s="10" t="str">
        <x:v>Cash pooling and intercompany funding</x:v>
      </x:c>
      <x:c r="D680" s="14" t="str">
        <x:v>PART_OF</x:v>
      </x:c>
      <x:c r="E680" s="10" t="str">
        <x:v>D14</x:v>
      </x:c>
      <x:c r="F680" s="10" t="str">
        <x:v>Working capital and treasury management</x:v>
      </x:c>
      <x:c r="G680" s="10" t="str">
        <x:v>Curriculum membership. Use this link to move between the topic and its finance area.</x:v>
      </x:c>
      <x:c r="H680" s="10" t="str">
        <x:v>Classification only; this edge is not a causal or calculation relationship.</x:v>
      </x:c>
      <x:c r="I680" s="10" t="str">
        <x:v>Curated curriculum relationship</x:v>
      </x:c>
    </x:row>
    <x:row r="681" ht="58" customHeight="1">
      <x:c r="A681" s="9" t="str">
        <x:v>E0676</x:v>
      </x:c>
      <x:c r="B681" s="9" t="str">
        <x:v>T14.12</x:v>
      </x:c>
      <x:c r="C681" s="9" t="str">
        <x:v>Cash pooling and intercompany funding</x:v>
      </x:c>
      <x:c r="D681" s="15" t="str">
        <x:v>EXPLORE_WITH</x:v>
      </x:c>
      <x:c r="E681" s="9" t="str">
        <x:v>T14.04</x:v>
      </x:c>
      <x:c r="F681" s="9" t="str">
        <x:v>Cash budgeting and short-term liquidity forecasting</x:v>
      </x:c>
      <x:c r="G681" s="9" t="str">
        <x:v>Study these together to manage the timing gap between cash receipts, payments and funding.</x:v>
      </x:c>
      <x:c r="H681" s="9" t="str">
        <x:v>A topical exploration link, not a claim that one determines the other.</x:v>
      </x:c>
      <x:c r="I681" s="9" t="str">
        <x:v>Curated curriculum relationship</x:v>
      </x:c>
    </x:row>
    <x:row r="682" ht="58" customHeight="1">
      <x:c r="A682" s="10" t="str">
        <x:v>E0677</x:v>
      </x:c>
      <x:c r="B682" s="10" t="str">
        <x:v>T06.01</x:v>
      </x:c>
      <x:c r="C682" s="10" t="str">
        <x:v>Current versus non-current classification</x:v>
      </x:c>
      <x:c r="D682" s="14" t="str">
        <x:v>RECOMMENDED_BEFORE</x:v>
      </x:c>
      <x:c r="E682" s="10" t="str">
        <x:v>T14.12</x:v>
      </x:c>
      <x:c r="F682" s="10" t="str">
        <x:v>Cash pooling and intercompany funding</x:v>
      </x:c>
      <x:c r="G682" s="10" t="str">
        <x:v>Suggested starting knowledge: Current versus non-current classification. It helps you manage the timing gap between cash receipts, payments and funding.</x:v>
      </x:c>
      <x:c r="H682" s="10" t="str">
        <x:v>Suggested learning order; learners can still explore freely.</x:v>
      </x:c>
      <x:c r="I682" s="10" t="str">
        <x:v>Curated curriculum relationship</x:v>
      </x:c>
    </x:row>
    <x:row r="683" ht="58" customHeight="1">
      <x:c r="A683" s="9" t="str">
        <x:v>E0678</x:v>
      </x:c>
      <x:c r="B683" s="9" t="str">
        <x:v>T14.13</x:v>
      </x:c>
      <x:c r="C683" s="9" t="str">
        <x:v>Treasury investment policies</x:v>
      </x:c>
      <x:c r="D683" s="15" t="str">
        <x:v>PART_OF</x:v>
      </x:c>
      <x:c r="E683" s="9" t="str">
        <x:v>D14</x:v>
      </x:c>
      <x:c r="F683" s="9" t="str">
        <x:v>Working capital and treasury management</x:v>
      </x:c>
      <x:c r="G683" s="9" t="str">
        <x:v>Curriculum membership. Use this link to move between the topic and its finance area.</x:v>
      </x:c>
      <x:c r="H683" s="9" t="str">
        <x:v>Classification only; this edge is not a causal or calculation relationship.</x:v>
      </x:c>
      <x:c r="I683" s="9" t="str">
        <x:v>Curated curriculum relationship</x:v>
      </x:c>
    </x:row>
    <x:row r="684" ht="58" customHeight="1">
      <x:c r="A684" s="10" t="str">
        <x:v>E0679</x:v>
      </x:c>
      <x:c r="B684" s="10" t="str">
        <x:v>T14.13</x:v>
      </x:c>
      <x:c r="C684" s="10" t="str">
        <x:v>Treasury investment policies</x:v>
      </x:c>
      <x:c r="D684" s="14" t="str">
        <x:v>EXPLORE_WITH</x:v>
      </x:c>
      <x:c r="E684" s="10" t="str">
        <x:v>T14.15</x:v>
      </x:c>
      <x:c r="F684" s="10" t="str">
        <x:v>Liquidity buffers and contingency funding</x:v>
      </x:c>
      <x:c r="G684" s="10" t="str">
        <x:v>Study these together to manage the timing gap between cash receipts, payments and funding.</x:v>
      </x:c>
      <x:c r="H684" s="10" t="str">
        <x:v>A topical exploration link, not a claim that one determines the other.</x:v>
      </x:c>
      <x:c r="I684" s="10" t="str">
        <x:v>Curated curriculum relationship</x:v>
      </x:c>
    </x:row>
    <x:row r="685" ht="58" customHeight="1">
      <x:c r="A685" s="9" t="str">
        <x:v>E0680</x:v>
      </x:c>
      <x:c r="B685" s="9" t="str">
        <x:v>T06.01</x:v>
      </x:c>
      <x:c r="C685" s="9" t="str">
        <x:v>Current versus non-current classification</x:v>
      </x:c>
      <x:c r="D685" s="15" t="str">
        <x:v>RECOMMENDED_BEFORE</x:v>
      </x:c>
      <x:c r="E685" s="9" t="str">
        <x:v>T14.13</x:v>
      </x:c>
      <x:c r="F685" s="9" t="str">
        <x:v>Treasury investment policies</x:v>
      </x:c>
      <x:c r="G685" s="9" t="str">
        <x:v>Suggested starting knowledge: Current versus non-current classification. It helps you manage the timing gap between cash receipts, payments and funding.</x:v>
      </x:c>
      <x:c r="H685" s="9" t="str">
        <x:v>Suggested learning order; learners can still explore freely.</x:v>
      </x:c>
      <x:c r="I685" s="9" t="str">
        <x:v>Curated curriculum relationship</x:v>
      </x:c>
    </x:row>
    <x:row r="686" ht="58" customHeight="1">
      <x:c r="A686" s="10" t="str">
        <x:v>E0681</x:v>
      </x:c>
      <x:c r="B686" s="10" t="str">
        <x:v>T14.14</x:v>
      </x:c>
      <x:c r="C686" s="10" t="str">
        <x:v>Foreign-exchange and interest-rate exposure</x:v>
      </x:c>
      <x:c r="D686" s="14" t="str">
        <x:v>PART_OF</x:v>
      </x:c>
      <x:c r="E686" s="10" t="str">
        <x:v>D14</x:v>
      </x:c>
      <x:c r="F686" s="10" t="str">
        <x:v>Working capital and treasury management</x:v>
      </x:c>
      <x:c r="G686" s="10" t="str">
        <x:v>Curriculum membership. Use this link to move between the topic and its finance area.</x:v>
      </x:c>
      <x:c r="H686" s="10" t="str">
        <x:v>Classification only; this edge is not a causal or calculation relationship.</x:v>
      </x:c>
      <x:c r="I686" s="10" t="str">
        <x:v>Curated curriculum relationship</x:v>
      </x:c>
    </x:row>
    <x:row r="687" ht="58" customHeight="1">
      <x:c r="A687" s="9" t="str">
        <x:v>E0682</x:v>
      </x:c>
      <x:c r="B687" s="9" t="str">
        <x:v>T14.14</x:v>
      </x:c>
      <x:c r="C687" s="9" t="str">
        <x:v>Foreign-exchange and interest-rate exposure</x:v>
      </x:c>
      <x:c r="D687" s="15" t="str">
        <x:v>EXPLORE_WITH</x:v>
      </x:c>
      <x:c r="E687" s="9" t="str">
        <x:v>T14.16</x:v>
      </x:c>
      <x:c r="F687" s="9" t="str">
        <x:v>Treasury controls and counterparty management</x:v>
      </x:c>
      <x:c r="G687" s="9" t="str">
        <x:v>Study these together to manage the timing gap between cash receipts, payments and funding.</x:v>
      </x:c>
      <x:c r="H687" s="9" t="str">
        <x:v>A topical exploration link, not a claim that one determines the other.</x:v>
      </x:c>
      <x:c r="I687" s="9" t="str">
        <x:v>Curated curriculum relationship</x:v>
      </x:c>
    </x:row>
    <x:row r="688" ht="58" customHeight="1">
      <x:c r="A688" s="10" t="str">
        <x:v>E0683</x:v>
      </x:c>
      <x:c r="B688" s="10" t="str">
        <x:v>T06.01</x:v>
      </x:c>
      <x:c r="C688" s="10" t="str">
        <x:v>Current versus non-current classification</x:v>
      </x:c>
      <x:c r="D688" s="14" t="str">
        <x:v>RECOMMENDED_BEFORE</x:v>
      </x:c>
      <x:c r="E688" s="10" t="str">
        <x:v>T14.14</x:v>
      </x:c>
      <x:c r="F688" s="10" t="str">
        <x:v>Foreign-exchange and interest-rate exposure</x:v>
      </x:c>
      <x:c r="G688" s="10" t="str">
        <x:v>Suggested starting knowledge: Current versus non-current classification. It helps you manage the timing gap between cash receipts, payments and funding.</x:v>
      </x:c>
      <x:c r="H688" s="10" t="str">
        <x:v>Suggested learning order; learners can still explore freely.</x:v>
      </x:c>
      <x:c r="I688" s="10" t="str">
        <x:v>Curated curriculum relationship</x:v>
      </x:c>
    </x:row>
    <x:row r="689" ht="58" customHeight="1">
      <x:c r="A689" s="9" t="str">
        <x:v>E0684</x:v>
      </x:c>
      <x:c r="B689" s="9" t="str">
        <x:v>T14.15</x:v>
      </x:c>
      <x:c r="C689" s="9" t="str">
        <x:v>Liquidity buffers and contingency funding</x:v>
      </x:c>
      <x:c r="D689" s="15" t="str">
        <x:v>PART_OF</x:v>
      </x:c>
      <x:c r="E689" s="9" t="str">
        <x:v>D14</x:v>
      </x:c>
      <x:c r="F689" s="9" t="str">
        <x:v>Working capital and treasury management</x:v>
      </x:c>
      <x:c r="G689" s="9" t="str">
        <x:v>Curriculum membership. Use this link to move between the topic and its finance area.</x:v>
      </x:c>
      <x:c r="H689" s="9" t="str">
        <x:v>Classification only; this edge is not a causal or calculation relationship.</x:v>
      </x:c>
      <x:c r="I689" s="9" t="str">
        <x:v>Curated curriculum relationship</x:v>
      </x:c>
    </x:row>
    <x:row r="690" ht="58" customHeight="1">
      <x:c r="A690" s="10" t="str">
        <x:v>E0685</x:v>
      </x:c>
      <x:c r="B690" s="10" t="str">
        <x:v>T14.15</x:v>
      </x:c>
      <x:c r="C690" s="10" t="str">
        <x:v>Liquidity buffers and contingency funding</x:v>
      </x:c>
      <x:c r="D690" s="14" t="str">
        <x:v>EXPLORE_WITH</x:v>
      </x:c>
      <x:c r="E690" s="10" t="str">
        <x:v>T14.04</x:v>
      </x:c>
      <x:c r="F690" s="10" t="str">
        <x:v>Cash budgeting and short-term liquidity forecasting</x:v>
      </x:c>
      <x:c r="G690" s="10" t="str">
        <x:v>Study these together to manage the timing gap between cash receipts, payments and funding.</x:v>
      </x:c>
      <x:c r="H690" s="10" t="str">
        <x:v>A topical exploration link, not a claim that one determines the other.</x:v>
      </x:c>
      <x:c r="I690" s="10" t="str">
        <x:v>Curated curriculum relationship</x:v>
      </x:c>
    </x:row>
    <x:row r="691" ht="58" customHeight="1">
      <x:c r="A691" s="9" t="str">
        <x:v>E0686</x:v>
      </x:c>
      <x:c r="B691" s="9" t="str">
        <x:v>T06.01</x:v>
      </x:c>
      <x:c r="C691" s="9" t="str">
        <x:v>Current versus non-current classification</x:v>
      </x:c>
      <x:c r="D691" s="15" t="str">
        <x:v>RECOMMENDED_BEFORE</x:v>
      </x:c>
      <x:c r="E691" s="9" t="str">
        <x:v>T14.15</x:v>
      </x:c>
      <x:c r="F691" s="9" t="str">
        <x:v>Liquidity buffers and contingency funding</x:v>
      </x:c>
      <x:c r="G691" s="9" t="str">
        <x:v>Suggested starting knowledge: Current versus non-current classification. It helps you manage the timing gap between cash receipts, payments and funding.</x:v>
      </x:c>
      <x:c r="H691" s="9" t="str">
        <x:v>Suggested learning order; learners can still explore freely.</x:v>
      </x:c>
      <x:c r="I691" s="9" t="str">
        <x:v>Curated curriculum relationship</x:v>
      </x:c>
    </x:row>
    <x:row r="692" ht="58" customHeight="1">
      <x:c r="A692" s="10" t="str">
        <x:v>E0687</x:v>
      </x:c>
      <x:c r="B692" s="10" t="str">
        <x:v>T14.16</x:v>
      </x:c>
      <x:c r="C692" s="10" t="str">
        <x:v>Treasury controls and counterparty management</x:v>
      </x:c>
      <x:c r="D692" s="14" t="str">
        <x:v>PART_OF</x:v>
      </x:c>
      <x:c r="E692" s="10" t="str">
        <x:v>D14</x:v>
      </x:c>
      <x:c r="F692" s="10" t="str">
        <x:v>Working capital and treasury management</x:v>
      </x:c>
      <x:c r="G692" s="10" t="str">
        <x:v>Curriculum membership. Use this link to move between the topic and its finance area.</x:v>
      </x:c>
      <x:c r="H692" s="10" t="str">
        <x:v>Classification only; this edge is not a causal or calculation relationship.</x:v>
      </x:c>
      <x:c r="I692" s="10" t="str">
        <x:v>Curated curriculum relationship</x:v>
      </x:c>
    </x:row>
    <x:row r="693" ht="58" customHeight="1">
      <x:c r="A693" s="9" t="str">
        <x:v>E0688</x:v>
      </x:c>
      <x:c r="B693" s="9" t="str">
        <x:v>T14.16</x:v>
      </x:c>
      <x:c r="C693" s="9" t="str">
        <x:v>Treasury controls and counterparty management</x:v>
      </x:c>
      <x:c r="D693" s="15" t="str">
        <x:v>EXPLORE_WITH</x:v>
      </x:c>
      <x:c r="E693" s="9" t="str">
        <x:v>T14.14</x:v>
      </x:c>
      <x:c r="F693" s="9" t="str">
        <x:v>Foreign-exchange and interest-rate exposure</x:v>
      </x:c>
      <x:c r="G693" s="9" t="str">
        <x:v>Study these together to manage the timing gap between cash receipts, payments and funding.</x:v>
      </x:c>
      <x:c r="H693" s="9" t="str">
        <x:v>A topical exploration link, not a claim that one determines the other.</x:v>
      </x:c>
      <x:c r="I693" s="9" t="str">
        <x:v>Curated curriculum relationship</x:v>
      </x:c>
    </x:row>
    <x:row r="694" ht="58" customHeight="1">
      <x:c r="A694" s="10" t="str">
        <x:v>E0689</x:v>
      </x:c>
      <x:c r="B694" s="10" t="str">
        <x:v>T06.01</x:v>
      </x:c>
      <x:c r="C694" s="10" t="str">
        <x:v>Current versus non-current classification</x:v>
      </x:c>
      <x:c r="D694" s="14" t="str">
        <x:v>RECOMMENDED_BEFORE</x:v>
      </x:c>
      <x:c r="E694" s="10" t="str">
        <x:v>T14.16</x:v>
      </x:c>
      <x:c r="F694" s="10" t="str">
        <x:v>Treasury controls and counterparty management</x:v>
      </x:c>
      <x:c r="G694" s="10" t="str">
        <x:v>Suggested starting knowledge: Current versus non-current classification. It helps you manage the timing gap between cash receipts, payments and funding.</x:v>
      </x:c>
      <x:c r="H694" s="10" t="str">
        <x:v>Suggested learning order; learners can still explore freely.</x:v>
      </x:c>
      <x:c r="I694" s="10" t="str">
        <x:v>Curated curriculum relationship</x:v>
      </x:c>
    </x:row>
    <x:row r="695" ht="58" customHeight="1">
      <x:c r="A695" s="9" t="str">
        <x:v>E0690</x:v>
      </x:c>
      <x:c r="B695" s="9" t="str">
        <x:v>T15.01</x:v>
      </x:c>
      <x:c r="C695" s="9" t="str">
        <x:v>Strategic financial planning</x:v>
      </x:c>
      <x:c r="D695" s="15" t="str">
        <x:v>PART_OF</x:v>
      </x:c>
      <x:c r="E695" s="9" t="str">
        <x:v>D15</x:v>
      </x:c>
      <x:c r="F695" s="9" t="str">
        <x:v>Financial planning, budgeting, and management accounting</x:v>
      </x:c>
      <x:c r="G695" s="9" t="str">
        <x:v>Curriculum membership. Use this link to move between the topic and its finance area.</x:v>
      </x:c>
      <x:c r="H695" s="9" t="str">
        <x:v>Classification only; this edge is not a causal or calculation relationship.</x:v>
      </x:c>
      <x:c r="I695" s="9" t="str">
        <x:v>Curated curriculum relationship</x:v>
      </x:c>
    </x:row>
    <x:row r="696" ht="58" customHeight="1">
      <x:c r="A696" s="10" t="str">
        <x:v>E0691</x:v>
      </x:c>
      <x:c r="B696" s="10" t="str">
        <x:v>T15.01</x:v>
      </x:c>
      <x:c r="C696" s="10" t="str">
        <x:v>Strategic financial planning</x:v>
      </x:c>
      <x:c r="D696" s="14" t="str">
        <x:v>EXPLORE_WITH</x:v>
      </x:c>
      <x:c r="E696" s="10" t="str">
        <x:v>T15.02</x:v>
      </x:c>
      <x:c r="F696" s="10" t="str">
        <x:v>Annual operating plans</x:v>
      </x:c>
      <x:c r="G696" s="10" t="str">
        <x:v>Study these together to translate operating assumptions into plans, decisions and explanations of variance.</x:v>
      </x:c>
      <x:c r="H696" s="10" t="str">
        <x:v>A topical exploration link, not a claim that one determines the other.</x:v>
      </x:c>
      <x:c r="I696" s="10" t="str">
        <x:v>Curated curriculum relationship</x:v>
      </x:c>
    </x:row>
    <x:row r="697" ht="58" customHeight="1">
      <x:c r="A697" s="9" t="str">
        <x:v>E0692</x:v>
      </x:c>
      <x:c r="B697" s="9" t="str">
        <x:v>T11.02</x:v>
      </x:c>
      <x:c r="C697" s="9" t="str">
        <x:v>Fixed, variable, and semi-variable costs</x:v>
      </x:c>
      <x:c r="D697" s="15" t="str">
        <x:v>RECOMMENDED_BEFORE</x:v>
      </x:c>
      <x:c r="E697" s="9" t="str">
        <x:v>T15.01</x:v>
      </x:c>
      <x:c r="F697" s="9" t="str">
        <x:v>Strategic financial planning</x:v>
      </x:c>
      <x:c r="G697" s="9" t="str">
        <x:v>Suggested starting knowledge: Fixed, variable, and semi-variable costs. It helps you translate operating assumptions into plans, decisions and explanations of variance.</x:v>
      </x:c>
      <x:c r="H697" s="9" t="str">
        <x:v>Suggested learning order; learners can still explore freely.</x:v>
      </x:c>
      <x:c r="I697" s="9" t="str">
        <x:v>Curated curriculum relationship</x:v>
      </x:c>
    </x:row>
    <x:row r="698" ht="58" customHeight="1">
      <x:c r="A698" s="10" t="str">
        <x:v>E0693</x:v>
      </x:c>
      <x:c r="B698" s="10" t="str">
        <x:v>T15.02</x:v>
      </x:c>
      <x:c r="C698" s="10" t="str">
        <x:v>Annual operating plans</x:v>
      </x:c>
      <x:c r="D698" s="14" t="str">
        <x:v>PART_OF</x:v>
      </x:c>
      <x:c r="E698" s="10" t="str">
        <x:v>D15</x:v>
      </x:c>
      <x:c r="F698" s="10" t="str">
        <x:v>Financial planning, budgeting, and management accounting</x:v>
      </x:c>
      <x:c r="G698" s="10" t="str">
        <x:v>Curriculum membership. Use this link to move between the topic and its finance area.</x:v>
      </x:c>
      <x:c r="H698" s="10" t="str">
        <x:v>Classification only; this edge is not a causal or calculation relationship.</x:v>
      </x:c>
      <x:c r="I698" s="10" t="str">
        <x:v>Curated curriculum relationship</x:v>
      </x:c>
    </x:row>
    <x:row r="699" ht="58" customHeight="1">
      <x:c r="A699" s="9" t="str">
        <x:v>E0694</x:v>
      </x:c>
      <x:c r="B699" s="9" t="str">
        <x:v>T15.02</x:v>
      </x:c>
      <x:c r="C699" s="9" t="str">
        <x:v>Annual operating plans</x:v>
      </x:c>
      <x:c r="D699" s="15" t="str">
        <x:v>EXPLORE_WITH</x:v>
      </x:c>
      <x:c r="E699" s="9" t="str">
        <x:v>T15.03</x:v>
      </x:c>
      <x:c r="F699" s="9" t="str">
        <x:v>Master budgets and departmental budgets</x:v>
      </x:c>
      <x:c r="G699" s="9" t="str">
        <x:v>Study these together to translate operating assumptions into plans, decisions and explanations of variance.</x:v>
      </x:c>
      <x:c r="H699" s="9" t="str">
        <x:v>A topical exploration link, not a claim that one determines the other.</x:v>
      </x:c>
      <x:c r="I699" s="9" t="str">
        <x:v>Curated curriculum relationship</x:v>
      </x:c>
    </x:row>
    <x:row r="700" ht="58" customHeight="1">
      <x:c r="A700" s="10" t="str">
        <x:v>E0695</x:v>
      </x:c>
      <x:c r="B700" s="10" t="str">
        <x:v>T11.02</x:v>
      </x:c>
      <x:c r="C700" s="10" t="str">
        <x:v>Fixed, variable, and semi-variable costs</x:v>
      </x:c>
      <x:c r="D700" s="14" t="str">
        <x:v>RECOMMENDED_BEFORE</x:v>
      </x:c>
      <x:c r="E700" s="10" t="str">
        <x:v>T15.02</x:v>
      </x:c>
      <x:c r="F700" s="10" t="str">
        <x:v>Annual operating plans</x:v>
      </x:c>
      <x:c r="G700" s="10" t="str">
        <x:v>Suggested starting knowledge: Fixed, variable, and semi-variable costs. It helps you translate operating assumptions into plans, decisions and explanations of variance.</x:v>
      </x:c>
      <x:c r="H700" s="10" t="str">
        <x:v>Suggested learning order; learners can still explore freely.</x:v>
      </x:c>
      <x:c r="I700" s="10" t="str">
        <x:v>Curated curriculum relationship</x:v>
      </x:c>
    </x:row>
    <x:row r="701" ht="58" customHeight="1">
      <x:c r="A701" s="9" t="str">
        <x:v>E0696</x:v>
      </x:c>
      <x:c r="B701" s="9" t="str">
        <x:v>T15.03</x:v>
      </x:c>
      <x:c r="C701" s="9" t="str">
        <x:v>Master budgets and departmental budgets</x:v>
      </x:c>
      <x:c r="D701" s="15" t="str">
        <x:v>PART_OF</x:v>
      </x:c>
      <x:c r="E701" s="9" t="str">
        <x:v>D15</x:v>
      </x:c>
      <x:c r="F701" s="9" t="str">
        <x:v>Financial planning, budgeting, and management accounting</x:v>
      </x:c>
      <x:c r="G701" s="9" t="str">
        <x:v>Curriculum membership. Use this link to move between the topic and its finance area.</x:v>
      </x:c>
      <x:c r="H701" s="9" t="str">
        <x:v>Classification only; this edge is not a causal or calculation relationship.</x:v>
      </x:c>
      <x:c r="I701" s="9" t="str">
        <x:v>Curated curriculum relationship</x:v>
      </x:c>
    </x:row>
    <x:row r="702" ht="58" customHeight="1">
      <x:c r="A702" s="10" t="str">
        <x:v>E0697</x:v>
      </x:c>
      <x:c r="B702" s="10" t="str">
        <x:v>T15.03</x:v>
      </x:c>
      <x:c r="C702" s="10" t="str">
        <x:v>Master budgets and departmental budgets</x:v>
      </x:c>
      <x:c r="D702" s="14" t="str">
        <x:v>EXPLORE_WITH</x:v>
      </x:c>
      <x:c r="E702" s="10" t="str">
        <x:v>T15.02</x:v>
      </x:c>
      <x:c r="F702" s="10" t="str">
        <x:v>Annual operating plans</x:v>
      </x:c>
      <x:c r="G702" s="10" t="str">
        <x:v>Study these together to translate operating assumptions into plans, decisions and explanations of variance.</x:v>
      </x:c>
      <x:c r="H702" s="10" t="str">
        <x:v>A topical exploration link, not a claim that one determines the other.</x:v>
      </x:c>
      <x:c r="I702" s="10" t="str">
        <x:v>Curated curriculum relationship</x:v>
      </x:c>
    </x:row>
    <x:row r="703" ht="58" customHeight="1">
      <x:c r="A703" s="9" t="str">
        <x:v>E0698</x:v>
      </x:c>
      <x:c r="B703" s="9" t="str">
        <x:v>T11.02</x:v>
      </x:c>
      <x:c r="C703" s="9" t="str">
        <x:v>Fixed, variable, and semi-variable costs</x:v>
      </x:c>
      <x:c r="D703" s="15" t="str">
        <x:v>RECOMMENDED_BEFORE</x:v>
      </x:c>
      <x:c r="E703" s="9" t="str">
        <x:v>T15.03</x:v>
      </x:c>
      <x:c r="F703" s="9" t="str">
        <x:v>Master budgets and departmental budgets</x:v>
      </x:c>
      <x:c r="G703" s="9" t="str">
        <x:v>Suggested starting knowledge: Fixed, variable, and semi-variable costs. It helps you translate operating assumptions into plans, decisions and explanations of variance.</x:v>
      </x:c>
      <x:c r="H703" s="9" t="str">
        <x:v>Suggested learning order; learners can still explore freely.</x:v>
      </x:c>
      <x:c r="I703" s="9" t="str">
        <x:v>Curated curriculum relationship</x:v>
      </x:c>
    </x:row>
    <x:row r="704" ht="58" customHeight="1">
      <x:c r="A704" s="10" t="str">
        <x:v>E0699</x:v>
      </x:c>
      <x:c r="B704" s="10" t="str">
        <x:v>T15.04</x:v>
      </x:c>
      <x:c r="C704" s="10" t="str">
        <x:v>Zero-based, incremental, and activity-based budgeting</x:v>
      </x:c>
      <x:c r="D704" s="14" t="str">
        <x:v>PART_OF</x:v>
      </x:c>
      <x:c r="E704" s="10" t="str">
        <x:v>D15</x:v>
      </x:c>
      <x:c r="F704" s="10" t="str">
        <x:v>Financial planning, budgeting, and management accounting</x:v>
      </x:c>
      <x:c r="G704" s="10" t="str">
        <x:v>Curriculum membership. Use this link to move between the topic and its finance area.</x:v>
      </x:c>
      <x:c r="H704" s="10" t="str">
        <x:v>Classification only; this edge is not a causal or calculation relationship.</x:v>
      </x:c>
      <x:c r="I704" s="10" t="str">
        <x:v>Curated curriculum relationship</x:v>
      </x:c>
    </x:row>
    <x:row r="705" ht="58" customHeight="1">
      <x:c r="A705" s="9" t="str">
        <x:v>E0700</x:v>
      </x:c>
      <x:c r="B705" s="9" t="str">
        <x:v>T15.04</x:v>
      </x:c>
      <x:c r="C705" s="9" t="str">
        <x:v>Zero-based, incremental, and activity-based budgeting</x:v>
      </x:c>
      <x:c r="D705" s="15" t="str">
        <x:v>EXPLORE_WITH</x:v>
      </x:c>
      <x:c r="E705" s="9" t="str">
        <x:v>T15.03</x:v>
      </x:c>
      <x:c r="F705" s="9" t="str">
        <x:v>Master budgets and departmental budgets</x:v>
      </x:c>
      <x:c r="G705" s="9" t="str">
        <x:v>Study these together to translate operating assumptions into plans, decisions and explanations of variance.</x:v>
      </x:c>
      <x:c r="H705" s="9" t="str">
        <x:v>A topical exploration link, not a claim that one determines the other.</x:v>
      </x:c>
      <x:c r="I705" s="9" t="str">
        <x:v>Curated curriculum relationship</x:v>
      </x:c>
    </x:row>
    <x:row r="706" ht="58" customHeight="1">
      <x:c r="A706" s="10" t="str">
        <x:v>E0701</x:v>
      </x:c>
      <x:c r="B706" s="10" t="str">
        <x:v>T11.02</x:v>
      </x:c>
      <x:c r="C706" s="10" t="str">
        <x:v>Fixed, variable, and semi-variable costs</x:v>
      </x:c>
      <x:c r="D706" s="14" t="str">
        <x:v>RECOMMENDED_BEFORE</x:v>
      </x:c>
      <x:c r="E706" s="10" t="str">
        <x:v>T15.04</x:v>
      </x:c>
      <x:c r="F706" s="10" t="str">
        <x:v>Zero-based, incremental, and activity-based budgeting</x:v>
      </x:c>
      <x:c r="G706" s="10" t="str">
        <x:v>Suggested starting knowledge: Fixed, variable, and semi-variable costs. It helps you translate operating assumptions into plans, decisions and explanations of variance.</x:v>
      </x:c>
      <x:c r="H706" s="10" t="str">
        <x:v>Suggested learning order; learners can still explore freely.</x:v>
      </x:c>
      <x:c r="I706" s="10" t="str">
        <x:v>Curated curriculum relationship</x:v>
      </x:c>
    </x:row>
    <x:row r="707" ht="58" customHeight="1">
      <x:c r="A707" s="9" t="str">
        <x:v>E0702</x:v>
      </x:c>
      <x:c r="B707" s="9" t="str">
        <x:v>T15.05</x:v>
      </x:c>
      <x:c r="C707" s="9" t="str">
        <x:v>Flexible budgets and rolling forecasts</x:v>
      </x:c>
      <x:c r="D707" s="15" t="str">
        <x:v>PART_OF</x:v>
      </x:c>
      <x:c r="E707" s="9" t="str">
        <x:v>D15</x:v>
      </x:c>
      <x:c r="F707" s="9" t="str">
        <x:v>Financial planning, budgeting, and management accounting</x:v>
      </x:c>
      <x:c r="G707" s="9" t="str">
        <x:v>Curriculum membership. Use this link to move between the topic and its finance area.</x:v>
      </x:c>
      <x:c r="H707" s="9" t="str">
        <x:v>Classification only; this edge is not a causal or calculation relationship.</x:v>
      </x:c>
      <x:c r="I707" s="9" t="str">
        <x:v>Curated curriculum relationship</x:v>
      </x:c>
    </x:row>
    <x:row r="708" ht="58" customHeight="1">
      <x:c r="A708" s="10" t="str">
        <x:v>E0703</x:v>
      </x:c>
      <x:c r="B708" s="10" t="str">
        <x:v>T15.05</x:v>
      </x:c>
      <x:c r="C708" s="10" t="str">
        <x:v>Flexible budgets and rolling forecasts</x:v>
      </x:c>
      <x:c r="D708" s="14" t="str">
        <x:v>EXPLORE_WITH</x:v>
      </x:c>
      <x:c r="E708" s="10" t="str">
        <x:v>T15.14</x:v>
      </x:c>
      <x:c r="F708" s="10" t="str">
        <x:v>Forecast accuracy</x:v>
      </x:c>
      <x:c r="G708" s="10" t="str">
        <x:v>Study these together to translate operating assumptions into plans, decisions and explanations of variance.</x:v>
      </x:c>
      <x:c r="H708" s="10" t="str">
        <x:v>A topical exploration link, not a claim that one determines the other.</x:v>
      </x:c>
      <x:c r="I708" s="10" t="str">
        <x:v>Curated curriculum relationship</x:v>
      </x:c>
    </x:row>
    <x:row r="709" ht="58" customHeight="1">
      <x:c r="A709" s="9" t="str">
        <x:v>E0704</x:v>
      </x:c>
      <x:c r="B709" s="9" t="str">
        <x:v>T11.02</x:v>
      </x:c>
      <x:c r="C709" s="9" t="str">
        <x:v>Fixed, variable, and semi-variable costs</x:v>
      </x:c>
      <x:c r="D709" s="15" t="str">
        <x:v>RECOMMENDED_BEFORE</x:v>
      </x:c>
      <x:c r="E709" s="9" t="str">
        <x:v>T15.05</x:v>
      </x:c>
      <x:c r="F709" s="9" t="str">
        <x:v>Flexible budgets and rolling forecasts</x:v>
      </x:c>
      <x:c r="G709" s="9" t="str">
        <x:v>Suggested starting knowledge: Fixed, variable, and semi-variable costs. It helps you translate operating assumptions into plans, decisions and explanations of variance.</x:v>
      </x:c>
      <x:c r="H709" s="9" t="str">
        <x:v>Suggested learning order; learners can still explore freely.</x:v>
      </x:c>
      <x:c r="I709" s="9" t="str">
        <x:v>Curated curriculum relationship</x:v>
      </x:c>
    </x:row>
    <x:row r="710" ht="58" customHeight="1">
      <x:c r="A710" s="10" t="str">
        <x:v>E0705</x:v>
      </x:c>
      <x:c r="B710" s="10" t="str">
        <x:v>T15.06</x:v>
      </x:c>
      <x:c r="C710" s="10" t="str">
        <x:v>Revenue, cost, headcount, and capital expenditure forecasting</x:v>
      </x:c>
      <x:c r="D710" s="14" t="str">
        <x:v>PART_OF</x:v>
      </x:c>
      <x:c r="E710" s="10" t="str">
        <x:v>D15</x:v>
      </x:c>
      <x:c r="F710" s="10" t="str">
        <x:v>Financial planning, budgeting, and management accounting</x:v>
      </x:c>
      <x:c r="G710" s="10" t="str">
        <x:v>Curriculum membership. Use this link to move between the topic and its finance area.</x:v>
      </x:c>
      <x:c r="H710" s="10" t="str">
        <x:v>Classification only; this edge is not a causal or calculation relationship.</x:v>
      </x:c>
      <x:c r="I710" s="10" t="str">
        <x:v>Curated curriculum relationship</x:v>
      </x:c>
    </x:row>
    <x:row r="711" ht="58" customHeight="1">
      <x:c r="A711" s="9" t="str">
        <x:v>E0706</x:v>
      </x:c>
      <x:c r="B711" s="9" t="str">
        <x:v>T15.06</x:v>
      </x:c>
      <x:c r="C711" s="9" t="str">
        <x:v>Revenue, cost, headcount, and capital expenditure forecasting</x:v>
      </x:c>
      <x:c r="D711" s="15" t="str">
        <x:v>EXPLORE_WITH</x:v>
      </x:c>
      <x:c r="E711" s="9" t="str">
        <x:v>T15.05</x:v>
      </x:c>
      <x:c r="F711" s="9" t="str">
        <x:v>Flexible budgets and rolling forecasts</x:v>
      </x:c>
      <x:c r="G711" s="9" t="str">
        <x:v>Study these together to translate operating assumptions into plans, decisions and explanations of variance.</x:v>
      </x:c>
      <x:c r="H711" s="9" t="str">
        <x:v>A topical exploration link, not a claim that one determines the other.</x:v>
      </x:c>
      <x:c r="I711" s="9" t="str">
        <x:v>Curated curriculum relationship</x:v>
      </x:c>
    </x:row>
    <x:row r="712" ht="58" customHeight="1">
      <x:c r="A712" s="10" t="str">
        <x:v>E0707</x:v>
      </x:c>
      <x:c r="B712" s="10" t="str">
        <x:v>T11.02</x:v>
      </x:c>
      <x:c r="C712" s="10" t="str">
        <x:v>Fixed, variable, and semi-variable costs</x:v>
      </x:c>
      <x:c r="D712" s="14" t="str">
        <x:v>RECOMMENDED_BEFORE</x:v>
      </x:c>
      <x:c r="E712" s="10" t="str">
        <x:v>T15.06</x:v>
      </x:c>
      <x:c r="F712" s="10" t="str">
        <x:v>Revenue, cost, headcount, and capital expenditure forecasting</x:v>
      </x:c>
      <x:c r="G712" s="10" t="str">
        <x:v>Suggested starting knowledge: Fixed, variable, and semi-variable costs. It helps you translate operating assumptions into plans, decisions and explanations of variance.</x:v>
      </x:c>
      <x:c r="H712" s="10" t="str">
        <x:v>Suggested learning order; learners can still explore freely.</x:v>
      </x:c>
      <x:c r="I712" s="10" t="str">
        <x:v>Curated curriculum relationship</x:v>
      </x:c>
    </x:row>
    <x:row r="713" ht="58" customHeight="1">
      <x:c r="A713" s="9" t="str">
        <x:v>E0708</x:v>
      </x:c>
      <x:c r="B713" s="9" t="str">
        <x:v>T15.07</x:v>
      </x:c>
      <x:c r="C713" s="9" t="str">
        <x:v>Variance analysis</x:v>
      </x:c>
      <x:c r="D713" s="15" t="str">
        <x:v>PART_OF</x:v>
      </x:c>
      <x:c r="E713" s="9" t="str">
        <x:v>D15</x:v>
      </x:c>
      <x:c r="F713" s="9" t="str">
        <x:v>Financial planning, budgeting, and management accounting</x:v>
      </x:c>
      <x:c r="G713" s="9" t="str">
        <x:v>Curriculum membership. Use this link to move between the topic and its finance area.</x:v>
      </x:c>
      <x:c r="H713" s="9" t="str">
        <x:v>Classification only; this edge is not a causal or calculation relationship.</x:v>
      </x:c>
      <x:c r="I713" s="9" t="str">
        <x:v>Curated curriculum relationship</x:v>
      </x:c>
    </x:row>
    <x:row r="714" ht="58" customHeight="1">
      <x:c r="A714" s="10" t="str">
        <x:v>E0709</x:v>
      </x:c>
      <x:c r="B714" s="10" t="str">
        <x:v>T15.07</x:v>
      </x:c>
      <x:c r="C714" s="10" t="str">
        <x:v>Variance analysis</x:v>
      </x:c>
      <x:c r="D714" s="14" t="str">
        <x:v>EXPLORE_WITH</x:v>
      </x:c>
      <x:c r="E714" s="10" t="str">
        <x:v>T15.14</x:v>
      </x:c>
      <x:c r="F714" s="10" t="str">
        <x:v>Forecast accuracy</x:v>
      </x:c>
      <x:c r="G714" s="10" t="str">
        <x:v>Study these together to translate operating assumptions into plans, decisions and explanations of variance.</x:v>
      </x:c>
      <x:c r="H714" s="10" t="str">
        <x:v>A topical exploration link, not a claim that one determines the other.</x:v>
      </x:c>
      <x:c r="I714" s="10" t="str">
        <x:v>Curated curriculum relationship</x:v>
      </x:c>
    </x:row>
    <x:row r="715" ht="58" customHeight="1">
      <x:c r="A715" s="9" t="str">
        <x:v>E0710</x:v>
      </x:c>
      <x:c r="B715" s="9" t="str">
        <x:v>T11.02</x:v>
      </x:c>
      <x:c r="C715" s="9" t="str">
        <x:v>Fixed, variable, and semi-variable costs</x:v>
      </x:c>
      <x:c r="D715" s="15" t="str">
        <x:v>RECOMMENDED_BEFORE</x:v>
      </x:c>
      <x:c r="E715" s="9" t="str">
        <x:v>T15.07</x:v>
      </x:c>
      <x:c r="F715" s="9" t="str">
        <x:v>Variance analysis</x:v>
      </x:c>
      <x:c r="G715" s="9" t="str">
        <x:v>Suggested starting knowledge: Fixed, variable, and semi-variable costs. It helps you translate operating assumptions into plans, decisions and explanations of variance.</x:v>
      </x:c>
      <x:c r="H715" s="9" t="str">
        <x:v>Suggested learning order; learners can still explore freely.</x:v>
      </x:c>
      <x:c r="I715" s="9" t="str">
        <x:v>Curated curriculum relationship</x:v>
      </x:c>
    </x:row>
    <x:row r="716" ht="58" customHeight="1">
      <x:c r="A716" s="10" t="str">
        <x:v>E0711</x:v>
      </x:c>
      <x:c r="B716" s="10" t="str">
        <x:v>T15.08</x:v>
      </x:c>
      <x:c r="C716" s="10" t="str">
        <x:v>Standard costing and activity-based costing</x:v>
      </x:c>
      <x:c r="D716" s="14" t="str">
        <x:v>PART_OF</x:v>
      </x:c>
      <x:c r="E716" s="10" t="str">
        <x:v>D15</x:v>
      </x:c>
      <x:c r="F716" s="10" t="str">
        <x:v>Financial planning, budgeting, and management accounting</x:v>
      </x:c>
      <x:c r="G716" s="10" t="str">
        <x:v>Curriculum membership. Use this link to move between the topic and its finance area.</x:v>
      </x:c>
      <x:c r="H716" s="10" t="str">
        <x:v>Classification only; this edge is not a causal or calculation relationship.</x:v>
      </x:c>
      <x:c r="I716" s="10" t="str">
        <x:v>Curated curriculum relationship</x:v>
      </x:c>
    </x:row>
    <x:row r="717" ht="58" customHeight="1">
      <x:c r="A717" s="9" t="str">
        <x:v>E0712</x:v>
      </x:c>
      <x:c r="B717" s="9" t="str">
        <x:v>T15.08</x:v>
      </x:c>
      <x:c r="C717" s="9" t="str">
        <x:v>Standard costing and activity-based costing</x:v>
      </x:c>
      <x:c r="D717" s="15" t="str">
        <x:v>EXPLORE_WITH</x:v>
      </x:c>
      <x:c r="E717" s="9" t="str">
        <x:v>T15.09</x:v>
      </x:c>
      <x:c r="F717" s="9" t="str">
        <x:v>Cost allocation and responsibility centres</x:v>
      </x:c>
      <x:c r="G717" s="9" t="str">
        <x:v>Study these together to translate operating assumptions into plans, decisions and explanations of variance.</x:v>
      </x:c>
      <x:c r="H717" s="9" t="str">
        <x:v>A topical exploration link, not a claim that one determines the other.</x:v>
      </x:c>
      <x:c r="I717" s="9" t="str">
        <x:v>Curated curriculum relationship</x:v>
      </x:c>
    </x:row>
    <x:row r="718" ht="58" customHeight="1">
      <x:c r="A718" s="10" t="str">
        <x:v>E0713</x:v>
      </x:c>
      <x:c r="B718" s="10" t="str">
        <x:v>T11.02</x:v>
      </x:c>
      <x:c r="C718" s="10" t="str">
        <x:v>Fixed, variable, and semi-variable costs</x:v>
      </x:c>
      <x:c r="D718" s="14" t="str">
        <x:v>RECOMMENDED_BEFORE</x:v>
      </x:c>
      <x:c r="E718" s="10" t="str">
        <x:v>T15.08</x:v>
      </x:c>
      <x:c r="F718" s="10" t="str">
        <x:v>Standard costing and activity-based costing</x:v>
      </x:c>
      <x:c r="G718" s="10" t="str">
        <x:v>Suggested starting knowledge: Fixed, variable, and semi-variable costs. It helps you translate operating assumptions into plans, decisions and explanations of variance.</x:v>
      </x:c>
      <x:c r="H718" s="10" t="str">
        <x:v>Suggested learning order; learners can still explore freely.</x:v>
      </x:c>
      <x:c r="I718" s="10" t="str">
        <x:v>Curated curriculum relationship</x:v>
      </x:c>
    </x:row>
    <x:row r="719" ht="58" customHeight="1">
      <x:c r="A719" s="9" t="str">
        <x:v>E0714</x:v>
      </x:c>
      <x:c r="B719" s="9" t="str">
        <x:v>T15.09</x:v>
      </x:c>
      <x:c r="C719" s="9" t="str">
        <x:v>Cost allocation and responsibility centres</x:v>
      </x:c>
      <x:c r="D719" s="15" t="str">
        <x:v>PART_OF</x:v>
      </x:c>
      <x:c r="E719" s="9" t="str">
        <x:v>D15</x:v>
      </x:c>
      <x:c r="F719" s="9" t="str">
        <x:v>Financial planning, budgeting, and management accounting</x:v>
      </x:c>
      <x:c r="G719" s="9" t="str">
        <x:v>Curriculum membership. Use this link to move between the topic and its finance area.</x:v>
      </x:c>
      <x:c r="H719" s="9" t="str">
        <x:v>Classification only; this edge is not a causal or calculation relationship.</x:v>
      </x:c>
      <x:c r="I719" s="9" t="str">
        <x:v>Curated curriculum relationship</x:v>
      </x:c>
    </x:row>
    <x:row r="720" ht="58" customHeight="1">
      <x:c r="A720" s="10" t="str">
        <x:v>E0715</x:v>
      </x:c>
      <x:c r="B720" s="10" t="str">
        <x:v>T15.09</x:v>
      </x:c>
      <x:c r="C720" s="10" t="str">
        <x:v>Cost allocation and responsibility centres</x:v>
      </x:c>
      <x:c r="D720" s="14" t="str">
        <x:v>EXPLORE_WITH</x:v>
      </x:c>
      <x:c r="E720" s="10" t="str">
        <x:v>T15.08</x:v>
      </x:c>
      <x:c r="F720" s="10" t="str">
        <x:v>Standard costing and activity-based costing</x:v>
      </x:c>
      <x:c r="G720" s="10" t="str">
        <x:v>Study these together to translate operating assumptions into plans, decisions and explanations of variance.</x:v>
      </x:c>
      <x:c r="H720" s="10" t="str">
        <x:v>A topical exploration link, not a claim that one determines the other.</x:v>
      </x:c>
      <x:c r="I720" s="10" t="str">
        <x:v>Curated curriculum relationship</x:v>
      </x:c>
    </x:row>
    <x:row r="721" ht="58" customHeight="1">
      <x:c r="A721" s="9" t="str">
        <x:v>E0716</x:v>
      </x:c>
      <x:c r="B721" s="9" t="str">
        <x:v>T11.02</x:v>
      </x:c>
      <x:c r="C721" s="9" t="str">
        <x:v>Fixed, variable, and semi-variable costs</x:v>
      </x:c>
      <x:c r="D721" s="15" t="str">
        <x:v>RECOMMENDED_BEFORE</x:v>
      </x:c>
      <x:c r="E721" s="9" t="str">
        <x:v>T15.09</x:v>
      </x:c>
      <x:c r="F721" s="9" t="str">
        <x:v>Cost allocation and responsibility centres</x:v>
      </x:c>
      <x:c r="G721" s="9" t="str">
        <x:v>Suggested starting knowledge: Fixed, variable, and semi-variable costs. It helps you translate operating assumptions into plans, decisions and explanations of variance.</x:v>
      </x:c>
      <x:c r="H721" s="9" t="str">
        <x:v>Suggested learning order; learners can still explore freely.</x:v>
      </x:c>
      <x:c r="I721" s="9" t="str">
        <x:v>Curated curriculum relationship</x:v>
      </x:c>
    </x:row>
    <x:row r="722" ht="58" customHeight="1">
      <x:c r="A722" s="10" t="str">
        <x:v>E0717</x:v>
      </x:c>
      <x:c r="B722" s="10" t="str">
        <x:v>T15.10</x:v>
      </x:c>
      <x:c r="C722" s="10" t="str">
        <x:v>Relevant costing and make-or-buy decisions</x:v>
      </x:c>
      <x:c r="D722" s="14" t="str">
        <x:v>PART_OF</x:v>
      </x:c>
      <x:c r="E722" s="10" t="str">
        <x:v>D15</x:v>
      </x:c>
      <x:c r="F722" s="10" t="str">
        <x:v>Financial planning, budgeting, and management accounting</x:v>
      </x:c>
      <x:c r="G722" s="10" t="str">
        <x:v>Curriculum membership. Use this link to move between the topic and its finance area.</x:v>
      </x:c>
      <x:c r="H722" s="10" t="str">
        <x:v>Classification only; this edge is not a causal or calculation relationship.</x:v>
      </x:c>
      <x:c r="I722" s="10" t="str">
        <x:v>Curated curriculum relationship</x:v>
      </x:c>
    </x:row>
    <x:row r="723" ht="58" customHeight="1">
      <x:c r="A723" s="9" t="str">
        <x:v>E0718</x:v>
      </x:c>
      <x:c r="B723" s="9" t="str">
        <x:v>T15.10</x:v>
      </x:c>
      <x:c r="C723" s="9" t="str">
        <x:v>Relevant costing and make-or-buy decisions</x:v>
      </x:c>
      <x:c r="D723" s="15" t="str">
        <x:v>EXPLORE_WITH</x:v>
      </x:c>
      <x:c r="E723" s="9" t="str">
        <x:v>T15.12</x:v>
      </x:c>
      <x:c r="F723" s="9" t="str">
        <x:v>Product-mix and capacity decisions</x:v>
      </x:c>
      <x:c r="G723" s="9" t="str">
        <x:v>Study these together to translate operating assumptions into plans, decisions and explanations of variance.</x:v>
      </x:c>
      <x:c r="H723" s="9" t="str">
        <x:v>A topical exploration link, not a claim that one determines the other.</x:v>
      </x:c>
      <x:c r="I723" s="9" t="str">
        <x:v>Curated curriculum relationship</x:v>
      </x:c>
    </x:row>
    <x:row r="724" ht="58" customHeight="1">
      <x:c r="A724" s="10" t="str">
        <x:v>E0719</x:v>
      </x:c>
      <x:c r="B724" s="10" t="str">
        <x:v>T11.02</x:v>
      </x:c>
      <x:c r="C724" s="10" t="str">
        <x:v>Fixed, variable, and semi-variable costs</x:v>
      </x:c>
      <x:c r="D724" s="14" t="str">
        <x:v>RECOMMENDED_BEFORE</x:v>
      </x:c>
      <x:c r="E724" s="10" t="str">
        <x:v>T15.10</x:v>
      </x:c>
      <x:c r="F724" s="10" t="str">
        <x:v>Relevant costing and make-or-buy decisions</x:v>
      </x:c>
      <x:c r="G724" s="10" t="str">
        <x:v>Suggested starting knowledge: Fixed, variable, and semi-variable costs. It helps you translate operating assumptions into plans, decisions and explanations of variance.</x:v>
      </x:c>
      <x:c r="H724" s="10" t="str">
        <x:v>Suggested learning order; learners can still explore freely.</x:v>
      </x:c>
      <x:c r="I724" s="10" t="str">
        <x:v>Curated curriculum relationship</x:v>
      </x:c>
    </x:row>
    <x:row r="725" ht="58" customHeight="1">
      <x:c r="A725" s="9" t="str">
        <x:v>E0720</x:v>
      </x:c>
      <x:c r="B725" s="9" t="str">
        <x:v>T15.11</x:v>
      </x:c>
      <x:c r="C725" s="9" t="str">
        <x:v>Transfer pricing for internal decisions</x:v>
      </x:c>
      <x:c r="D725" s="15" t="str">
        <x:v>PART_OF</x:v>
      </x:c>
      <x:c r="E725" s="9" t="str">
        <x:v>D15</x:v>
      </x:c>
      <x:c r="F725" s="9" t="str">
        <x:v>Financial planning, budgeting, and management accounting</x:v>
      </x:c>
      <x:c r="G725" s="9" t="str">
        <x:v>Curriculum membership. Use this link to move between the topic and its finance area.</x:v>
      </x:c>
      <x:c r="H725" s="9" t="str">
        <x:v>Classification only; this edge is not a causal or calculation relationship.</x:v>
      </x:c>
      <x:c r="I725" s="9" t="str">
        <x:v>Curated curriculum relationship</x:v>
      </x:c>
    </x:row>
    <x:row r="726" ht="58" customHeight="1">
      <x:c r="A726" s="10" t="str">
        <x:v>E0721</x:v>
      </x:c>
      <x:c r="B726" s="10" t="str">
        <x:v>T15.11</x:v>
      </x:c>
      <x:c r="C726" s="10" t="str">
        <x:v>Transfer pricing for internal decisions</x:v>
      </x:c>
      <x:c r="D726" s="14" t="str">
        <x:v>EXPLORE_WITH</x:v>
      </x:c>
      <x:c r="E726" s="10" t="str">
        <x:v>T15.09</x:v>
      </x:c>
      <x:c r="F726" s="10" t="str">
        <x:v>Cost allocation and responsibility centres</x:v>
      </x:c>
      <x:c r="G726" s="10" t="str">
        <x:v>Study these together to translate operating assumptions into plans, decisions and explanations of variance.</x:v>
      </x:c>
      <x:c r="H726" s="10" t="str">
        <x:v>A topical exploration link, not a claim that one determines the other.</x:v>
      </x:c>
      <x:c r="I726" s="10" t="str">
        <x:v>Curated curriculum relationship</x:v>
      </x:c>
    </x:row>
    <x:row r="727" ht="58" customHeight="1">
      <x:c r="A727" s="9" t="str">
        <x:v>E0722</x:v>
      </x:c>
      <x:c r="B727" s="9" t="str">
        <x:v>T11.02</x:v>
      </x:c>
      <x:c r="C727" s="9" t="str">
        <x:v>Fixed, variable, and semi-variable costs</x:v>
      </x:c>
      <x:c r="D727" s="15" t="str">
        <x:v>RECOMMENDED_BEFORE</x:v>
      </x:c>
      <x:c r="E727" s="9" t="str">
        <x:v>T15.11</x:v>
      </x:c>
      <x:c r="F727" s="9" t="str">
        <x:v>Transfer pricing for internal decisions</x:v>
      </x:c>
      <x:c r="G727" s="9" t="str">
        <x:v>Suggested starting knowledge: Fixed, variable, and semi-variable costs. It helps you translate operating assumptions into plans, decisions and explanations of variance.</x:v>
      </x:c>
      <x:c r="H727" s="9" t="str">
        <x:v>Suggested learning order; learners can still explore freely.</x:v>
      </x:c>
      <x:c r="I727" s="9" t="str">
        <x:v>Curated curriculum relationship</x:v>
      </x:c>
    </x:row>
    <x:row r="728" ht="58" customHeight="1">
      <x:c r="A728" s="10" t="str">
        <x:v>E0723</x:v>
      </x:c>
      <x:c r="B728" s="10" t="str">
        <x:v>T15.12</x:v>
      </x:c>
      <x:c r="C728" s="10" t="str">
        <x:v>Product-mix and capacity decisions</x:v>
      </x:c>
      <x:c r="D728" s="14" t="str">
        <x:v>PART_OF</x:v>
      </x:c>
      <x:c r="E728" s="10" t="str">
        <x:v>D15</x:v>
      </x:c>
      <x:c r="F728" s="10" t="str">
        <x:v>Financial planning, budgeting, and management accounting</x:v>
      </x:c>
      <x:c r="G728" s="10" t="str">
        <x:v>Curriculum membership. Use this link to move between the topic and its finance area.</x:v>
      </x:c>
      <x:c r="H728" s="10" t="str">
        <x:v>Classification only; this edge is not a causal or calculation relationship.</x:v>
      </x:c>
      <x:c r="I728" s="10" t="str">
        <x:v>Curated curriculum relationship</x:v>
      </x:c>
    </x:row>
    <x:row r="729" ht="58" customHeight="1">
      <x:c r="A729" s="9" t="str">
        <x:v>E0724</x:v>
      </x:c>
      <x:c r="B729" s="9" t="str">
        <x:v>T15.12</x:v>
      </x:c>
      <x:c r="C729" s="9" t="str">
        <x:v>Product-mix and capacity decisions</x:v>
      </x:c>
      <x:c r="D729" s="15" t="str">
        <x:v>EXPLORE_WITH</x:v>
      </x:c>
      <x:c r="E729" s="9" t="str">
        <x:v>T15.10</x:v>
      </x:c>
      <x:c r="F729" s="9" t="str">
        <x:v>Relevant costing and make-or-buy decisions</x:v>
      </x:c>
      <x:c r="G729" s="9" t="str">
        <x:v>Study these together to translate operating assumptions into plans, decisions and explanations of variance.</x:v>
      </x:c>
      <x:c r="H729" s="9" t="str">
        <x:v>A topical exploration link, not a claim that one determines the other.</x:v>
      </x:c>
      <x:c r="I729" s="9" t="str">
        <x:v>Curated curriculum relationship</x:v>
      </x:c>
    </x:row>
    <x:row r="730" ht="58" customHeight="1">
      <x:c r="A730" s="10" t="str">
        <x:v>E0725</x:v>
      </x:c>
      <x:c r="B730" s="10" t="str">
        <x:v>T11.02</x:v>
      </x:c>
      <x:c r="C730" s="10" t="str">
        <x:v>Fixed, variable, and semi-variable costs</x:v>
      </x:c>
      <x:c r="D730" s="14" t="str">
        <x:v>RECOMMENDED_BEFORE</x:v>
      </x:c>
      <x:c r="E730" s="10" t="str">
        <x:v>T15.12</x:v>
      </x:c>
      <x:c r="F730" s="10" t="str">
        <x:v>Product-mix and capacity decisions</x:v>
      </x:c>
      <x:c r="G730" s="10" t="str">
        <x:v>Suggested starting knowledge: Fixed, variable, and semi-variable costs. It helps you translate operating assumptions into plans, decisions and explanations of variance.</x:v>
      </x:c>
      <x:c r="H730" s="10" t="str">
        <x:v>Suggested learning order; learners can still explore freely.</x:v>
      </x:c>
      <x:c r="I730" s="10" t="str">
        <x:v>Curated curriculum relationship</x:v>
      </x:c>
    </x:row>
    <x:row r="731" ht="58" customHeight="1">
      <x:c r="A731" s="9" t="str">
        <x:v>E0726</x:v>
      </x:c>
      <x:c r="B731" s="9" t="str">
        <x:v>T15.13</x:v>
      </x:c>
      <x:c r="C731" s="9" t="str">
        <x:v>Management dashboards and KPI trees</x:v>
      </x:c>
      <x:c r="D731" s="15" t="str">
        <x:v>PART_OF</x:v>
      </x:c>
      <x:c r="E731" s="9" t="str">
        <x:v>D15</x:v>
      </x:c>
      <x:c r="F731" s="9" t="str">
        <x:v>Financial planning, budgeting, and management accounting</x:v>
      </x:c>
      <x:c r="G731" s="9" t="str">
        <x:v>Curriculum membership. Use this link to move between the topic and its finance area.</x:v>
      </x:c>
      <x:c r="H731" s="9" t="str">
        <x:v>Classification only; this edge is not a causal or calculation relationship.</x:v>
      </x:c>
      <x:c r="I731" s="9" t="str">
        <x:v>Curated curriculum relationship</x:v>
      </x:c>
    </x:row>
    <x:row r="732" ht="58" customHeight="1">
      <x:c r="A732" s="10" t="str">
        <x:v>E0727</x:v>
      </x:c>
      <x:c r="B732" s="10" t="str">
        <x:v>T15.13</x:v>
      </x:c>
      <x:c r="C732" s="10" t="str">
        <x:v>Management dashboards and KPI trees</x:v>
      </x:c>
      <x:c r="D732" s="14" t="str">
        <x:v>EXPLORE_WITH</x:v>
      </x:c>
      <x:c r="E732" s="10" t="str">
        <x:v>T15.15</x:v>
      </x:c>
      <x:c r="F732" s="10" t="str">
        <x:v>Business partnering and board reporting</x:v>
      </x:c>
      <x:c r="G732" s="10" t="str">
        <x:v>Study these together to translate operating assumptions into plans, decisions and explanations of variance.</x:v>
      </x:c>
      <x:c r="H732" s="10" t="str">
        <x:v>A topical exploration link, not a claim that one determines the other.</x:v>
      </x:c>
      <x:c r="I732" s="10" t="str">
        <x:v>Curated curriculum relationship</x:v>
      </x:c>
    </x:row>
    <x:row r="733" ht="58" customHeight="1">
      <x:c r="A733" s="9" t="str">
        <x:v>E0728</x:v>
      </x:c>
      <x:c r="B733" s="9" t="str">
        <x:v>T11.02</x:v>
      </x:c>
      <x:c r="C733" s="9" t="str">
        <x:v>Fixed, variable, and semi-variable costs</x:v>
      </x:c>
      <x:c r="D733" s="15" t="str">
        <x:v>RECOMMENDED_BEFORE</x:v>
      </x:c>
      <x:c r="E733" s="9" t="str">
        <x:v>T15.13</x:v>
      </x:c>
      <x:c r="F733" s="9" t="str">
        <x:v>Management dashboards and KPI trees</x:v>
      </x:c>
      <x:c r="G733" s="9" t="str">
        <x:v>Suggested starting knowledge: Fixed, variable, and semi-variable costs. It helps you translate operating assumptions into plans, decisions and explanations of variance.</x:v>
      </x:c>
      <x:c r="H733" s="9" t="str">
        <x:v>Suggested learning order; learners can still explore freely.</x:v>
      </x:c>
      <x:c r="I733" s="9" t="str">
        <x:v>Curated curriculum relationship</x:v>
      </x:c>
    </x:row>
    <x:row r="734" ht="58" customHeight="1">
      <x:c r="A734" s="10" t="str">
        <x:v>E0729</x:v>
      </x:c>
      <x:c r="B734" s="10" t="str">
        <x:v>T15.14</x:v>
      </x:c>
      <x:c r="C734" s="10" t="str">
        <x:v>Forecast accuracy</x:v>
      </x:c>
      <x:c r="D734" s="14" t="str">
        <x:v>PART_OF</x:v>
      </x:c>
      <x:c r="E734" s="10" t="str">
        <x:v>D15</x:v>
      </x:c>
      <x:c r="F734" s="10" t="str">
        <x:v>Financial planning, budgeting, and management accounting</x:v>
      </x:c>
      <x:c r="G734" s="10" t="str">
        <x:v>Curriculum membership. Use this link to move between the topic and its finance area.</x:v>
      </x:c>
      <x:c r="H734" s="10" t="str">
        <x:v>Classification only; this edge is not a causal or calculation relationship.</x:v>
      </x:c>
      <x:c r="I734" s="10" t="str">
        <x:v>Curated curriculum relationship</x:v>
      </x:c>
    </x:row>
    <x:row r="735" ht="58" customHeight="1">
      <x:c r="A735" s="9" t="str">
        <x:v>E0730</x:v>
      </x:c>
      <x:c r="B735" s="9" t="str">
        <x:v>T15.14</x:v>
      </x:c>
      <x:c r="C735" s="9" t="str">
        <x:v>Forecast accuracy</x:v>
      </x:c>
      <x:c r="D735" s="15" t="str">
        <x:v>EXPLORE_WITH</x:v>
      </x:c>
      <x:c r="E735" s="9" t="str">
        <x:v>T15.07</x:v>
      </x:c>
      <x:c r="F735" s="9" t="str">
        <x:v>Variance analysis</x:v>
      </x:c>
      <x:c r="G735" s="9" t="str">
        <x:v>Study these together to translate operating assumptions into plans, decisions and explanations of variance.</x:v>
      </x:c>
      <x:c r="H735" s="9" t="str">
        <x:v>A topical exploration link, not a claim that one determines the other.</x:v>
      </x:c>
      <x:c r="I735" s="9" t="str">
        <x:v>Curated curriculum relationship</x:v>
      </x:c>
    </x:row>
    <x:row r="736" ht="58" customHeight="1">
      <x:c r="A736" s="10" t="str">
        <x:v>E0731</x:v>
      </x:c>
      <x:c r="B736" s="10" t="str">
        <x:v>T11.02</x:v>
      </x:c>
      <x:c r="C736" s="10" t="str">
        <x:v>Fixed, variable, and semi-variable costs</x:v>
      </x:c>
      <x:c r="D736" s="14" t="str">
        <x:v>RECOMMENDED_BEFORE</x:v>
      </x:c>
      <x:c r="E736" s="10" t="str">
        <x:v>T15.14</x:v>
      </x:c>
      <x:c r="F736" s="10" t="str">
        <x:v>Forecast accuracy</x:v>
      </x:c>
      <x:c r="G736" s="10" t="str">
        <x:v>Suggested starting knowledge: Fixed, variable, and semi-variable costs. It helps you translate operating assumptions into plans, decisions and explanations of variance.</x:v>
      </x:c>
      <x:c r="H736" s="10" t="str">
        <x:v>Suggested learning order; learners can still explore freely.</x:v>
      </x:c>
      <x:c r="I736" s="10" t="str">
        <x:v>Curated curriculum relationship</x:v>
      </x:c>
    </x:row>
    <x:row r="737" ht="58" customHeight="1">
      <x:c r="A737" s="9" t="str">
        <x:v>E0732</x:v>
      </x:c>
      <x:c r="B737" s="9" t="str">
        <x:v>T15.15</x:v>
      </x:c>
      <x:c r="C737" s="9" t="str">
        <x:v>Business partnering and board reporting</x:v>
      </x:c>
      <x:c r="D737" s="15" t="str">
        <x:v>PART_OF</x:v>
      </x:c>
      <x:c r="E737" s="9" t="str">
        <x:v>D15</x:v>
      </x:c>
      <x:c r="F737" s="9" t="str">
        <x:v>Financial planning, budgeting, and management accounting</x:v>
      </x:c>
      <x:c r="G737" s="9" t="str">
        <x:v>Curriculum membership. Use this link to move between the topic and its finance area.</x:v>
      </x:c>
      <x:c r="H737" s="9" t="str">
        <x:v>Classification only; this edge is not a causal or calculation relationship.</x:v>
      </x:c>
      <x:c r="I737" s="9" t="str">
        <x:v>Curated curriculum relationship</x:v>
      </x:c>
    </x:row>
    <x:row r="738" ht="58" customHeight="1">
      <x:c r="A738" s="10" t="str">
        <x:v>E0733</x:v>
      </x:c>
      <x:c r="B738" s="10" t="str">
        <x:v>T15.15</x:v>
      </x:c>
      <x:c r="C738" s="10" t="str">
        <x:v>Business partnering and board reporting</x:v>
      </x:c>
      <x:c r="D738" s="14" t="str">
        <x:v>EXPLORE_WITH</x:v>
      </x:c>
      <x:c r="E738" s="10" t="str">
        <x:v>T15.13</x:v>
      </x:c>
      <x:c r="F738" s="10" t="str">
        <x:v>Management dashboards and KPI trees</x:v>
      </x:c>
      <x:c r="G738" s="10" t="str">
        <x:v>Study these together to translate operating assumptions into plans, decisions and explanations of variance.</x:v>
      </x:c>
      <x:c r="H738" s="10" t="str">
        <x:v>A topical exploration link, not a claim that one determines the other.</x:v>
      </x:c>
      <x:c r="I738" s="10" t="str">
        <x:v>Curated curriculum relationship</x:v>
      </x:c>
    </x:row>
    <x:row r="739" ht="58" customHeight="1">
      <x:c r="A739" s="9" t="str">
        <x:v>E0734</x:v>
      </x:c>
      <x:c r="B739" s="9" t="str">
        <x:v>T11.02</x:v>
      </x:c>
      <x:c r="C739" s="9" t="str">
        <x:v>Fixed, variable, and semi-variable costs</x:v>
      </x:c>
      <x:c r="D739" s="15" t="str">
        <x:v>RECOMMENDED_BEFORE</x:v>
      </x:c>
      <x:c r="E739" s="9" t="str">
        <x:v>T15.15</x:v>
      </x:c>
      <x:c r="F739" s="9" t="str">
        <x:v>Business partnering and board reporting</x:v>
      </x:c>
      <x:c r="G739" s="9" t="str">
        <x:v>Suggested starting knowledge: Fixed, variable, and semi-variable costs. It helps you translate operating assumptions into plans, decisions and explanations of variance.</x:v>
      </x:c>
      <x:c r="H739" s="9" t="str">
        <x:v>Suggested learning order; learners can still explore freely.</x:v>
      </x:c>
      <x:c r="I739" s="9" t="str">
        <x:v>Curated curriculum relationship</x:v>
      </x:c>
    </x:row>
    <x:row r="740" ht="58" customHeight="1">
      <x:c r="A740" s="10" t="str">
        <x:v>E0735</x:v>
      </x:c>
      <x:c r="B740" s="10" t="str">
        <x:v>T16.01</x:v>
      </x:c>
      <x:c r="C740" s="10" t="str">
        <x:v>Model structure, assumptions, and conventions</x:v>
      </x:c>
      <x:c r="D740" s="14" t="str">
        <x:v>PART_OF</x:v>
      </x:c>
      <x:c r="E740" s="10" t="str">
        <x:v>D16</x:v>
      </x:c>
      <x:c r="F740" s="10" t="str">
        <x:v>Financial modelling</x:v>
      </x:c>
      <x:c r="G740" s="10" t="str">
        <x:v>Curriculum membership. Use this link to move between the topic and its finance area.</x:v>
      </x:c>
      <x:c r="H740" s="10" t="str">
        <x:v>Classification only; this edge is not a causal or calculation relationship.</x:v>
      </x:c>
      <x:c r="I740" s="10" t="str">
        <x:v>Curated curriculum relationship</x:v>
      </x:c>
    </x:row>
    <x:row r="741" ht="58" customHeight="1">
      <x:c r="A741" s="9" t="str">
        <x:v>E0736</x:v>
      </x:c>
      <x:c r="B741" s="9" t="str">
        <x:v>T16.01</x:v>
      </x:c>
      <x:c r="C741" s="9" t="str">
        <x:v>Model structure, assumptions, and conventions</x:v>
      </x:c>
      <x:c r="D741" s="15" t="str">
        <x:v>EXPLORE_WITH</x:v>
      </x:c>
      <x:c r="E741" s="9" t="str">
        <x:v>T16.16</x:v>
      </x:c>
      <x:c r="F741" s="9" t="str">
        <x:v>Model auditing, error checks, and documentation</x:v>
      </x:c>
      <x:c r="G741" s="9" t="str">
        <x:v>Study these together to connect schedules into an internally consistent and auditable model.</x:v>
      </x:c>
      <x:c r="H741" s="9" t="str">
        <x:v>A topical exploration link, not a claim that one determines the other.</x:v>
      </x:c>
      <x:c r="I741" s="9" t="str">
        <x:v>Curated curriculum relationship</x:v>
      </x:c>
    </x:row>
    <x:row r="742" ht="58" customHeight="1">
      <x:c r="A742" s="10" t="str">
        <x:v>E0737</x:v>
      </x:c>
      <x:c r="B742" s="10" t="str">
        <x:v>T07.14</x:v>
      </x:c>
      <x:c r="C742" s="10" t="str">
        <x:v>How transactions move through all three statements</x:v>
      </x:c>
      <x:c r="D742" s="14" t="str">
        <x:v>RECOMMENDED_BEFORE</x:v>
      </x:c>
      <x:c r="E742" s="10" t="str">
        <x:v>T16.01</x:v>
      </x:c>
      <x:c r="F742" s="10" t="str">
        <x:v>Model structure, assumptions, and conventions</x:v>
      </x:c>
      <x:c r="G742" s="10" t="str">
        <x:v>Suggested starting knowledge: How transactions move through all three statements. It helps you connect schedules into an internally consistent and auditable model.</x:v>
      </x:c>
      <x:c r="H742" s="10" t="str">
        <x:v>Suggested learning order; learners can still explore freely.</x:v>
      </x:c>
      <x:c r="I742" s="10" t="str">
        <x:v>Curated curriculum relationship</x:v>
      </x:c>
    </x:row>
    <x:row r="743" ht="58" customHeight="1">
      <x:c r="A743" s="9" t="str">
        <x:v>E0738</x:v>
      </x:c>
      <x:c r="B743" s="9" t="str">
        <x:v>T16.02</x:v>
      </x:c>
      <x:c r="C743" s="9" t="str">
        <x:v>Historical financial statement preparation</x:v>
      </x:c>
      <x:c r="D743" s="15" t="str">
        <x:v>PART_OF</x:v>
      </x:c>
      <x:c r="E743" s="9" t="str">
        <x:v>D16</x:v>
      </x:c>
      <x:c r="F743" s="9" t="str">
        <x:v>Financial modelling</x:v>
      </x:c>
      <x:c r="G743" s="9" t="str">
        <x:v>Curriculum membership. Use this link to move between the topic and its finance area.</x:v>
      </x:c>
      <x:c r="H743" s="9" t="str">
        <x:v>Classification only; this edge is not a causal or calculation relationship.</x:v>
      </x:c>
      <x:c r="I743" s="9" t="str">
        <x:v>Curated curriculum relationship</x:v>
      </x:c>
    </x:row>
    <x:row r="744" ht="58" customHeight="1">
      <x:c r="A744" s="10" t="str">
        <x:v>E0739</x:v>
      </x:c>
      <x:c r="B744" s="10" t="str">
        <x:v>T16.02</x:v>
      </x:c>
      <x:c r="C744" s="10" t="str">
        <x:v>Historical financial statement preparation</x:v>
      </x:c>
      <x:c r="D744" s="14" t="str">
        <x:v>EXPLORE_WITH</x:v>
      </x:c>
      <x:c r="E744" s="10" t="str">
        <x:v>T16.03</x:v>
      </x:c>
      <x:c r="F744" s="10" t="str">
        <x:v>Three-statement models</x:v>
      </x:c>
      <x:c r="G744" s="10" t="str">
        <x:v>Study these together to connect schedules into an internally consistent and auditable model.</x:v>
      </x:c>
      <x:c r="H744" s="10" t="str">
        <x:v>A topical exploration link, not a claim that one determines the other.</x:v>
      </x:c>
      <x:c r="I744" s="10" t="str">
        <x:v>Curated curriculum relationship</x:v>
      </x:c>
    </x:row>
    <x:row r="745" ht="58" customHeight="1">
      <x:c r="A745" s="9" t="str">
        <x:v>E0740</x:v>
      </x:c>
      <x:c r="B745" s="9" t="str">
        <x:v>T07.14</x:v>
      </x:c>
      <x:c r="C745" s="9" t="str">
        <x:v>How transactions move through all three statements</x:v>
      </x:c>
      <x:c r="D745" s="15" t="str">
        <x:v>RECOMMENDED_BEFORE</x:v>
      </x:c>
      <x:c r="E745" s="9" t="str">
        <x:v>T16.02</x:v>
      </x:c>
      <x:c r="F745" s="9" t="str">
        <x:v>Historical financial statement preparation</x:v>
      </x:c>
      <x:c r="G745" s="9" t="str">
        <x:v>Suggested starting knowledge: How transactions move through all three statements. It helps you connect schedules into an internally consistent and auditable model.</x:v>
      </x:c>
      <x:c r="H745" s="9" t="str">
        <x:v>Suggested learning order; learners can still explore freely.</x:v>
      </x:c>
      <x:c r="I745" s="9" t="str">
        <x:v>Curated curriculum relationship</x:v>
      </x:c>
    </x:row>
    <x:row r="746" ht="58" customHeight="1">
      <x:c r="A746" s="10" t="str">
        <x:v>E0741</x:v>
      </x:c>
      <x:c r="B746" s="10" t="str">
        <x:v>T16.03</x:v>
      </x:c>
      <x:c r="C746" s="10" t="str">
        <x:v>Three-statement models</x:v>
      </x:c>
      <x:c r="D746" s="14" t="str">
        <x:v>PART_OF</x:v>
      </x:c>
      <x:c r="E746" s="10" t="str">
        <x:v>D16</x:v>
      </x:c>
      <x:c r="F746" s="10" t="str">
        <x:v>Financial modelling</x:v>
      </x:c>
      <x:c r="G746" s="10" t="str">
        <x:v>Curriculum membership. Use this link to move between the topic and its finance area.</x:v>
      </x:c>
      <x:c r="H746" s="10" t="str">
        <x:v>Classification only; this edge is not a causal or calculation relationship.</x:v>
      </x:c>
      <x:c r="I746" s="10" t="str">
        <x:v>Curated curriculum relationship</x:v>
      </x:c>
    </x:row>
    <x:row r="747" ht="58" customHeight="1">
      <x:c r="A747" s="9" t="str">
        <x:v>E0742</x:v>
      </x:c>
      <x:c r="B747" s="9" t="str">
        <x:v>T16.03</x:v>
      </x:c>
      <x:c r="C747" s="9" t="str">
        <x:v>Three-statement models</x:v>
      </x:c>
      <x:c r="D747" s="15" t="str">
        <x:v>EXPLORE_WITH</x:v>
      </x:c>
      <x:c r="E747" s="9" t="str">
        <x:v>T16.09</x:v>
      </x:c>
      <x:c r="F747" s="9" t="str">
        <x:v>Circularity and model balancing</x:v>
      </x:c>
      <x:c r="G747" s="9" t="str">
        <x:v>Study these together to connect schedules into an internally consistent and auditable model.</x:v>
      </x:c>
      <x:c r="H747" s="9" t="str">
        <x:v>A topical exploration link, not a claim that one determines the other.</x:v>
      </x:c>
      <x:c r="I747" s="9" t="str">
        <x:v>Curated curriculum relationship</x:v>
      </x:c>
    </x:row>
    <x:row r="748" ht="58" customHeight="1">
      <x:c r="A748" s="10" t="str">
        <x:v>E0743</x:v>
      </x:c>
      <x:c r="B748" s="10" t="str">
        <x:v>T07.14</x:v>
      </x:c>
      <x:c r="C748" s="10" t="str">
        <x:v>How transactions move through all three statements</x:v>
      </x:c>
      <x:c r="D748" s="14" t="str">
        <x:v>RECOMMENDED_BEFORE</x:v>
      </x:c>
      <x:c r="E748" s="10" t="str">
        <x:v>T16.03</x:v>
      </x:c>
      <x:c r="F748" s="10" t="str">
        <x:v>Three-statement models</x:v>
      </x:c>
      <x:c r="G748" s="10" t="str">
        <x:v>Suggested starting knowledge: How transactions move through all three statements. It helps you connect schedules into an internally consistent and auditable model.</x:v>
      </x:c>
      <x:c r="H748" s="10" t="str">
        <x:v>Suggested learning order; learners can still explore freely.</x:v>
      </x:c>
      <x:c r="I748" s="10" t="str">
        <x:v>Curated curriculum relationship</x:v>
      </x:c>
    </x:row>
    <x:row r="749" ht="58" customHeight="1">
      <x:c r="A749" s="9" t="str">
        <x:v>E0744</x:v>
      </x:c>
      <x:c r="B749" s="9" t="str">
        <x:v>T16.04</x:v>
      </x:c>
      <x:c r="C749" s="9" t="str">
        <x:v>Revenue and operating-cost schedules</x:v>
      </x:c>
      <x:c r="D749" s="15" t="str">
        <x:v>PART_OF</x:v>
      </x:c>
      <x:c r="E749" s="9" t="str">
        <x:v>D16</x:v>
      </x:c>
      <x:c r="F749" s="9" t="str">
        <x:v>Financial modelling</x:v>
      </x:c>
      <x:c r="G749" s="9" t="str">
        <x:v>Curriculum membership. Use this link to move between the topic and its finance area.</x:v>
      </x:c>
      <x:c r="H749" s="9" t="str">
        <x:v>Classification only; this edge is not a causal or calculation relationship.</x:v>
      </x:c>
      <x:c r="I749" s="9" t="str">
        <x:v>Curated curriculum relationship</x:v>
      </x:c>
    </x:row>
    <x:row r="750" ht="58" customHeight="1">
      <x:c r="A750" s="10" t="str">
        <x:v>E0745</x:v>
      </x:c>
      <x:c r="B750" s="10" t="str">
        <x:v>T16.04</x:v>
      </x:c>
      <x:c r="C750" s="10" t="str">
        <x:v>Revenue and operating-cost schedules</x:v>
      </x:c>
      <x:c r="D750" s="14" t="str">
        <x:v>EXPLORE_WITH</x:v>
      </x:c>
      <x:c r="E750" s="10" t="str">
        <x:v>T16.03</x:v>
      </x:c>
      <x:c r="F750" s="10" t="str">
        <x:v>Three-statement models</x:v>
      </x:c>
      <x:c r="G750" s="10" t="str">
        <x:v>Study these together to connect schedules into an internally consistent and auditable model.</x:v>
      </x:c>
      <x:c r="H750" s="10" t="str">
        <x:v>A topical exploration link, not a claim that one determines the other.</x:v>
      </x:c>
      <x:c r="I750" s="10" t="str">
        <x:v>Curated curriculum relationship</x:v>
      </x:c>
    </x:row>
    <x:row r="751" ht="58" customHeight="1">
      <x:c r="A751" s="9" t="str">
        <x:v>E0746</x:v>
      </x:c>
      <x:c r="B751" s="9" t="str">
        <x:v>T07.14</x:v>
      </x:c>
      <x:c r="C751" s="9" t="str">
        <x:v>How transactions move through all three statements</x:v>
      </x:c>
      <x:c r="D751" s="15" t="str">
        <x:v>RECOMMENDED_BEFORE</x:v>
      </x:c>
      <x:c r="E751" s="9" t="str">
        <x:v>T16.04</x:v>
      </x:c>
      <x:c r="F751" s="9" t="str">
        <x:v>Revenue and operating-cost schedules</x:v>
      </x:c>
      <x:c r="G751" s="9" t="str">
        <x:v>Suggested starting knowledge: How transactions move through all three statements. It helps you connect schedules into an internally consistent and auditable model.</x:v>
      </x:c>
      <x:c r="H751" s="9" t="str">
        <x:v>Suggested learning order; learners can still explore freely.</x:v>
      </x:c>
      <x:c r="I751" s="9" t="str">
        <x:v>Curated curriculum relationship</x:v>
      </x:c>
    </x:row>
    <x:row r="752" ht="58" customHeight="1">
      <x:c r="A752" s="10" t="str">
        <x:v>E0747</x:v>
      </x:c>
      <x:c r="B752" s="10" t="str">
        <x:v>T16.05</x:v>
      </x:c>
      <x:c r="C752" s="10" t="str">
        <x:v>Working-capital schedules</x:v>
      </x:c>
      <x:c r="D752" s="14" t="str">
        <x:v>PART_OF</x:v>
      </x:c>
      <x:c r="E752" s="10" t="str">
        <x:v>D16</x:v>
      </x:c>
      <x:c r="F752" s="10" t="str">
        <x:v>Financial modelling</x:v>
      </x:c>
      <x:c r="G752" s="10" t="str">
        <x:v>Curriculum membership. Use this link to move between the topic and its finance area.</x:v>
      </x:c>
      <x:c r="H752" s="10" t="str">
        <x:v>Classification only; this edge is not a causal or calculation relationship.</x:v>
      </x:c>
      <x:c r="I752" s="10" t="str">
        <x:v>Curated curriculum relationship</x:v>
      </x:c>
    </x:row>
    <x:row r="753" ht="58" customHeight="1">
      <x:c r="A753" s="9" t="str">
        <x:v>E0748</x:v>
      </x:c>
      <x:c r="B753" s="9" t="str">
        <x:v>T16.05</x:v>
      </x:c>
      <x:c r="C753" s="9" t="str">
        <x:v>Working-capital schedules</x:v>
      </x:c>
      <x:c r="D753" s="15" t="str">
        <x:v>EXPLORE_WITH</x:v>
      </x:c>
      <x:c r="E753" s="9" t="str">
        <x:v>T16.03</x:v>
      </x:c>
      <x:c r="F753" s="9" t="str">
        <x:v>Three-statement models</x:v>
      </x:c>
      <x:c r="G753" s="9" t="str">
        <x:v>Study these together to connect schedules into an internally consistent and auditable model.</x:v>
      </x:c>
      <x:c r="H753" s="9" t="str">
        <x:v>A topical exploration link, not a claim that one determines the other.</x:v>
      </x:c>
      <x:c r="I753" s="9" t="str">
        <x:v>Curated curriculum relationship</x:v>
      </x:c>
    </x:row>
    <x:row r="754" ht="58" customHeight="1">
      <x:c r="A754" s="10" t="str">
        <x:v>E0749</x:v>
      </x:c>
      <x:c r="B754" s="10" t="str">
        <x:v>T07.14</x:v>
      </x:c>
      <x:c r="C754" s="10" t="str">
        <x:v>How transactions move through all three statements</x:v>
      </x:c>
      <x:c r="D754" s="14" t="str">
        <x:v>RECOMMENDED_BEFORE</x:v>
      </x:c>
      <x:c r="E754" s="10" t="str">
        <x:v>T16.05</x:v>
      </x:c>
      <x:c r="F754" s="10" t="str">
        <x:v>Working-capital schedules</x:v>
      </x:c>
      <x:c r="G754" s="10" t="str">
        <x:v>Suggested starting knowledge: How transactions move through all three statements. It helps you connect schedules into an internally consistent and auditable model.</x:v>
      </x:c>
      <x:c r="H754" s="10" t="str">
        <x:v>Suggested learning order; learners can still explore freely.</x:v>
      </x:c>
      <x:c r="I754" s="10" t="str">
        <x:v>Curated curriculum relationship</x:v>
      </x:c>
    </x:row>
    <x:row r="755" ht="58" customHeight="1">
      <x:c r="A755" s="9" t="str">
        <x:v>E0750</x:v>
      </x:c>
      <x:c r="B755" s="9" t="str">
        <x:v>T16.06</x:v>
      </x:c>
      <x:c r="C755" s="9" t="str">
        <x:v>Fixed-asset and depreciation schedules</x:v>
      </x:c>
      <x:c r="D755" s="15" t="str">
        <x:v>PART_OF</x:v>
      </x:c>
      <x:c r="E755" s="9" t="str">
        <x:v>D16</x:v>
      </x:c>
      <x:c r="F755" s="9" t="str">
        <x:v>Financial modelling</x:v>
      </x:c>
      <x:c r="G755" s="9" t="str">
        <x:v>Curriculum membership. Use this link to move between the topic and its finance area.</x:v>
      </x:c>
      <x:c r="H755" s="9" t="str">
        <x:v>Classification only; this edge is not a causal or calculation relationship.</x:v>
      </x:c>
      <x:c r="I755" s="9" t="str">
        <x:v>Curated curriculum relationship</x:v>
      </x:c>
    </x:row>
    <x:row r="756" ht="58" customHeight="1">
      <x:c r="A756" s="10" t="str">
        <x:v>E0751</x:v>
      </x:c>
      <x:c r="B756" s="10" t="str">
        <x:v>T16.06</x:v>
      </x:c>
      <x:c r="C756" s="10" t="str">
        <x:v>Fixed-asset and depreciation schedules</x:v>
      </x:c>
      <x:c r="D756" s="14" t="str">
        <x:v>EXPLORE_WITH</x:v>
      </x:c>
      <x:c r="E756" s="10" t="str">
        <x:v>T16.03</x:v>
      </x:c>
      <x:c r="F756" s="10" t="str">
        <x:v>Three-statement models</x:v>
      </x:c>
      <x:c r="G756" s="10" t="str">
        <x:v>Study these together to connect schedules into an internally consistent and auditable model.</x:v>
      </x:c>
      <x:c r="H756" s="10" t="str">
        <x:v>A topical exploration link, not a claim that one determines the other.</x:v>
      </x:c>
      <x:c r="I756" s="10" t="str">
        <x:v>Curated curriculum relationship</x:v>
      </x:c>
    </x:row>
    <x:row r="757" ht="58" customHeight="1">
      <x:c r="A757" s="9" t="str">
        <x:v>E0752</x:v>
      </x:c>
      <x:c r="B757" s="9" t="str">
        <x:v>T07.14</x:v>
      </x:c>
      <x:c r="C757" s="9" t="str">
        <x:v>How transactions move through all three statements</x:v>
      </x:c>
      <x:c r="D757" s="15" t="str">
        <x:v>RECOMMENDED_BEFORE</x:v>
      </x:c>
      <x:c r="E757" s="9" t="str">
        <x:v>T16.06</x:v>
      </x:c>
      <x:c r="F757" s="9" t="str">
        <x:v>Fixed-asset and depreciation schedules</x:v>
      </x:c>
      <x:c r="G757" s="9" t="str">
        <x:v>Suggested starting knowledge: How transactions move through all three statements. It helps you connect schedules into an internally consistent and auditable model.</x:v>
      </x:c>
      <x:c r="H757" s="9" t="str">
        <x:v>Suggested learning order; learners can still explore freely.</x:v>
      </x:c>
      <x:c r="I757" s="9" t="str">
        <x:v>Curated curriculum relationship</x:v>
      </x:c>
    </x:row>
    <x:row r="758" ht="58" customHeight="1">
      <x:c r="A758" s="10" t="str">
        <x:v>E0753</x:v>
      </x:c>
      <x:c r="B758" s="10" t="str">
        <x:v>T16.07</x:v>
      </x:c>
      <x:c r="C758" s="10" t="str">
        <x:v>Debt, interest, and cash schedules</x:v>
      </x:c>
      <x:c r="D758" s="14" t="str">
        <x:v>PART_OF</x:v>
      </x:c>
      <x:c r="E758" s="10" t="str">
        <x:v>D16</x:v>
      </x:c>
      <x:c r="F758" s="10" t="str">
        <x:v>Financial modelling</x:v>
      </x:c>
      <x:c r="G758" s="10" t="str">
        <x:v>Curriculum membership. Use this link to move between the topic and its finance area.</x:v>
      </x:c>
      <x:c r="H758" s="10" t="str">
        <x:v>Classification only; this edge is not a causal or calculation relationship.</x:v>
      </x:c>
      <x:c r="I758" s="10" t="str">
        <x:v>Curated curriculum relationship</x:v>
      </x:c>
    </x:row>
    <x:row r="759" ht="58" customHeight="1">
      <x:c r="A759" s="9" t="str">
        <x:v>E0754</x:v>
      </x:c>
      <x:c r="B759" s="9" t="str">
        <x:v>T16.07</x:v>
      </x:c>
      <x:c r="C759" s="9" t="str">
        <x:v>Debt, interest, and cash schedules</x:v>
      </x:c>
      <x:c r="D759" s="15" t="str">
        <x:v>EXPLORE_WITH</x:v>
      </x:c>
      <x:c r="E759" s="9" t="str">
        <x:v>T16.03</x:v>
      </x:c>
      <x:c r="F759" s="9" t="str">
        <x:v>Three-statement models</x:v>
      </x:c>
      <x:c r="G759" s="9" t="str">
        <x:v>Study these together to connect schedules into an internally consistent and auditable model.</x:v>
      </x:c>
      <x:c r="H759" s="9" t="str">
        <x:v>A topical exploration link, not a claim that one determines the other.</x:v>
      </x:c>
      <x:c r="I759" s="9" t="str">
        <x:v>Curated curriculum relationship</x:v>
      </x:c>
    </x:row>
    <x:row r="760" ht="58" customHeight="1">
      <x:c r="A760" s="10" t="str">
        <x:v>E0755</x:v>
      </x:c>
      <x:c r="B760" s="10" t="str">
        <x:v>T07.14</x:v>
      </x:c>
      <x:c r="C760" s="10" t="str">
        <x:v>How transactions move through all three statements</x:v>
      </x:c>
      <x:c r="D760" s="14" t="str">
        <x:v>RECOMMENDED_BEFORE</x:v>
      </x:c>
      <x:c r="E760" s="10" t="str">
        <x:v>T16.07</x:v>
      </x:c>
      <x:c r="F760" s="10" t="str">
        <x:v>Debt, interest, and cash schedules</x:v>
      </x:c>
      <x:c r="G760" s="10" t="str">
        <x:v>Suggested starting knowledge: How transactions move through all three statements. It helps you connect schedules into an internally consistent and auditable model.</x:v>
      </x:c>
      <x:c r="H760" s="10" t="str">
        <x:v>Suggested learning order; learners can still explore freely.</x:v>
      </x:c>
      <x:c r="I760" s="10" t="str">
        <x:v>Curated curriculum relationship</x:v>
      </x:c>
    </x:row>
    <x:row r="761" ht="58" customHeight="1">
      <x:c r="A761" s="9" t="str">
        <x:v>E0756</x:v>
      </x:c>
      <x:c r="B761" s="9" t="str">
        <x:v>T16.08</x:v>
      </x:c>
      <x:c r="C761" s="9" t="str">
        <x:v>Tax and equity schedules</x:v>
      </x:c>
      <x:c r="D761" s="15" t="str">
        <x:v>PART_OF</x:v>
      </x:c>
      <x:c r="E761" s="9" t="str">
        <x:v>D16</x:v>
      </x:c>
      <x:c r="F761" s="9" t="str">
        <x:v>Financial modelling</x:v>
      </x:c>
      <x:c r="G761" s="9" t="str">
        <x:v>Curriculum membership. Use this link to move between the topic and its finance area.</x:v>
      </x:c>
      <x:c r="H761" s="9" t="str">
        <x:v>Classification only; this edge is not a causal or calculation relationship.</x:v>
      </x:c>
      <x:c r="I761" s="9" t="str">
        <x:v>Curated curriculum relationship</x:v>
      </x:c>
    </x:row>
    <x:row r="762" ht="58" customHeight="1">
      <x:c r="A762" s="10" t="str">
        <x:v>E0757</x:v>
      </x:c>
      <x:c r="B762" s="10" t="str">
        <x:v>T16.08</x:v>
      </x:c>
      <x:c r="C762" s="10" t="str">
        <x:v>Tax and equity schedules</x:v>
      </x:c>
      <x:c r="D762" s="14" t="str">
        <x:v>EXPLORE_WITH</x:v>
      </x:c>
      <x:c r="E762" s="10" t="str">
        <x:v>T16.03</x:v>
      </x:c>
      <x:c r="F762" s="10" t="str">
        <x:v>Three-statement models</x:v>
      </x:c>
      <x:c r="G762" s="10" t="str">
        <x:v>Study these together to connect schedules into an internally consistent and auditable model.</x:v>
      </x:c>
      <x:c r="H762" s="10" t="str">
        <x:v>A topical exploration link, not a claim that one determines the other.</x:v>
      </x:c>
      <x:c r="I762" s="10" t="str">
        <x:v>Curated curriculum relationship</x:v>
      </x:c>
    </x:row>
    <x:row r="763" ht="58" customHeight="1">
      <x:c r="A763" s="9" t="str">
        <x:v>E0758</x:v>
      </x:c>
      <x:c r="B763" s="9" t="str">
        <x:v>T07.14</x:v>
      </x:c>
      <x:c r="C763" s="9" t="str">
        <x:v>How transactions move through all three statements</x:v>
      </x:c>
      <x:c r="D763" s="15" t="str">
        <x:v>RECOMMENDED_BEFORE</x:v>
      </x:c>
      <x:c r="E763" s="9" t="str">
        <x:v>T16.08</x:v>
      </x:c>
      <x:c r="F763" s="9" t="str">
        <x:v>Tax and equity schedules</x:v>
      </x:c>
      <x:c r="G763" s="9" t="str">
        <x:v>Suggested starting knowledge: How transactions move through all three statements. It helps you connect schedules into an internally consistent and auditable model.</x:v>
      </x:c>
      <x:c r="H763" s="9" t="str">
        <x:v>Suggested learning order; learners can still explore freely.</x:v>
      </x:c>
      <x:c r="I763" s="9" t="str">
        <x:v>Curated curriculum relationship</x:v>
      </x:c>
    </x:row>
    <x:row r="764" ht="58" customHeight="1">
      <x:c r="A764" s="10" t="str">
        <x:v>E0759</x:v>
      </x:c>
      <x:c r="B764" s="10" t="str">
        <x:v>T16.09</x:v>
      </x:c>
      <x:c r="C764" s="10" t="str">
        <x:v>Circularity and model balancing</x:v>
      </x:c>
      <x:c r="D764" s="14" t="str">
        <x:v>PART_OF</x:v>
      </x:c>
      <x:c r="E764" s="10" t="str">
        <x:v>D16</x:v>
      </x:c>
      <x:c r="F764" s="10" t="str">
        <x:v>Financial modelling</x:v>
      </x:c>
      <x:c r="G764" s="10" t="str">
        <x:v>Curriculum membership. Use this link to move between the topic and its finance area.</x:v>
      </x:c>
      <x:c r="H764" s="10" t="str">
        <x:v>Classification only; this edge is not a causal or calculation relationship.</x:v>
      </x:c>
      <x:c r="I764" s="10" t="str">
        <x:v>Curated curriculum relationship</x:v>
      </x:c>
    </x:row>
    <x:row r="765" ht="58" customHeight="1">
      <x:c r="A765" s="9" t="str">
        <x:v>E0760</x:v>
      </x:c>
      <x:c r="B765" s="9" t="str">
        <x:v>T16.09</x:v>
      </x:c>
      <x:c r="C765" s="9" t="str">
        <x:v>Circularity and model balancing</x:v>
      </x:c>
      <x:c r="D765" s="15" t="str">
        <x:v>EXPLORE_WITH</x:v>
      </x:c>
      <x:c r="E765" s="9" t="str">
        <x:v>T16.03</x:v>
      </x:c>
      <x:c r="F765" s="9" t="str">
        <x:v>Three-statement models</x:v>
      </x:c>
      <x:c r="G765" s="9" t="str">
        <x:v>Study these together to connect schedules into an internally consistent and auditable model.</x:v>
      </x:c>
      <x:c r="H765" s="9" t="str">
        <x:v>A topical exploration link, not a claim that one determines the other.</x:v>
      </x:c>
      <x:c r="I765" s="9" t="str">
        <x:v>Curated curriculum relationship</x:v>
      </x:c>
    </x:row>
    <x:row r="766" ht="58" customHeight="1">
      <x:c r="A766" s="10" t="str">
        <x:v>E0761</x:v>
      </x:c>
      <x:c r="B766" s="10" t="str">
        <x:v>T07.14</x:v>
      </x:c>
      <x:c r="C766" s="10" t="str">
        <x:v>How transactions move through all three statements</x:v>
      </x:c>
      <x:c r="D766" s="14" t="str">
        <x:v>RECOMMENDED_BEFORE</x:v>
      </x:c>
      <x:c r="E766" s="10" t="str">
        <x:v>T16.09</x:v>
      </x:c>
      <x:c r="F766" s="10" t="str">
        <x:v>Circularity and model balancing</x:v>
      </x:c>
      <x:c r="G766" s="10" t="str">
        <x:v>Suggested starting knowledge: How transactions move through all three statements. It helps you connect schedules into an internally consistent and auditable model.</x:v>
      </x:c>
      <x:c r="H766" s="10" t="str">
        <x:v>Suggested learning order; learners can still explore freely.</x:v>
      </x:c>
      <x:c r="I766" s="10" t="str">
        <x:v>Curated curriculum relationship</x:v>
      </x:c>
    </x:row>
    <x:row r="767" ht="58" customHeight="1">
      <x:c r="A767" s="9" t="str">
        <x:v>E0762</x:v>
      </x:c>
      <x:c r="B767" s="9" t="str">
        <x:v>T16.10</x:v>
      </x:c>
      <x:c r="C767" s="9" t="str">
        <x:v>Scenario and sensitivity models</x:v>
      </x:c>
      <x:c r="D767" s="15" t="str">
        <x:v>PART_OF</x:v>
      </x:c>
      <x:c r="E767" s="9" t="str">
        <x:v>D16</x:v>
      </x:c>
      <x:c r="F767" s="9" t="str">
        <x:v>Financial modelling</x:v>
      </x:c>
      <x:c r="G767" s="9" t="str">
        <x:v>Curriculum membership. Use this link to move between the topic and its finance area.</x:v>
      </x:c>
      <x:c r="H767" s="9" t="str">
        <x:v>Classification only; this edge is not a causal or calculation relationship.</x:v>
      </x:c>
      <x:c r="I767" s="9" t="str">
        <x:v>Curated curriculum relationship</x:v>
      </x:c>
    </x:row>
    <x:row r="768" ht="58" customHeight="1">
      <x:c r="A768" s="10" t="str">
        <x:v>E0763</x:v>
      </x:c>
      <x:c r="B768" s="10" t="str">
        <x:v>T16.10</x:v>
      </x:c>
      <x:c r="C768" s="10" t="str">
        <x:v>Scenario and sensitivity models</x:v>
      </x:c>
      <x:c r="D768" s="14" t="str">
        <x:v>EXPLORE_WITH</x:v>
      </x:c>
      <x:c r="E768" s="10" t="str">
        <x:v>T16.16</x:v>
      </x:c>
      <x:c r="F768" s="10" t="str">
        <x:v>Model auditing, error checks, and documentation</x:v>
      </x:c>
      <x:c r="G768" s="10" t="str">
        <x:v>Study these together to connect schedules into an internally consistent and auditable model.</x:v>
      </x:c>
      <x:c r="H768" s="10" t="str">
        <x:v>A topical exploration link, not a claim that one determines the other.</x:v>
      </x:c>
      <x:c r="I768" s="10" t="str">
        <x:v>Curated curriculum relationship</x:v>
      </x:c>
    </x:row>
    <x:row r="769" ht="58" customHeight="1">
      <x:c r="A769" s="9" t="str">
        <x:v>E0764</x:v>
      </x:c>
      <x:c r="B769" s="9" t="str">
        <x:v>T07.14</x:v>
      </x:c>
      <x:c r="C769" s="9" t="str">
        <x:v>How transactions move through all three statements</x:v>
      </x:c>
      <x:c r="D769" s="15" t="str">
        <x:v>RECOMMENDED_BEFORE</x:v>
      </x:c>
      <x:c r="E769" s="9" t="str">
        <x:v>T16.10</x:v>
      </x:c>
      <x:c r="F769" s="9" t="str">
        <x:v>Scenario and sensitivity models</x:v>
      </x:c>
      <x:c r="G769" s="9" t="str">
        <x:v>Suggested starting knowledge: How transactions move through all three statements. It helps you connect schedules into an internally consistent and auditable model.</x:v>
      </x:c>
      <x:c r="H769" s="9" t="str">
        <x:v>Suggested learning order; learners can still explore freely.</x:v>
      </x:c>
      <x:c r="I769" s="9" t="str">
        <x:v>Curated curriculum relationship</x:v>
      </x:c>
    </x:row>
    <x:row r="770" ht="58" customHeight="1">
      <x:c r="A770" s="10" t="str">
        <x:v>E0765</x:v>
      </x:c>
      <x:c r="B770" s="10" t="str">
        <x:v>T16.11</x:v>
      </x:c>
      <x:c r="C770" s="10" t="str">
        <x:v>DCF and comparable-company models</x:v>
      </x:c>
      <x:c r="D770" s="14" t="str">
        <x:v>PART_OF</x:v>
      </x:c>
      <x:c r="E770" s="10" t="str">
        <x:v>D16</x:v>
      </x:c>
      <x:c r="F770" s="10" t="str">
        <x:v>Financial modelling</x:v>
      </x:c>
      <x:c r="G770" s="10" t="str">
        <x:v>Curriculum membership. Use this link to move between the topic and its finance area.</x:v>
      </x:c>
      <x:c r="H770" s="10" t="str">
        <x:v>Classification only; this edge is not a causal or calculation relationship.</x:v>
      </x:c>
      <x:c r="I770" s="10" t="str">
        <x:v>Curated curriculum relationship</x:v>
      </x:c>
    </x:row>
    <x:row r="771" ht="58" customHeight="1">
      <x:c r="A771" s="9" t="str">
        <x:v>E0766</x:v>
      </x:c>
      <x:c r="B771" s="9" t="str">
        <x:v>T16.11</x:v>
      </x:c>
      <x:c r="C771" s="9" t="str">
        <x:v>DCF and comparable-company models</x:v>
      </x:c>
      <x:c r="D771" s="15" t="str">
        <x:v>EXPLORE_WITH</x:v>
      </x:c>
      <x:c r="E771" s="9" t="str">
        <x:v>T16.10</x:v>
      </x:c>
      <x:c r="F771" s="9" t="str">
        <x:v>Scenario and sensitivity models</x:v>
      </x:c>
      <x:c r="G771" s="9" t="str">
        <x:v>Study these together to connect schedules into an internally consistent and auditable model.</x:v>
      </x:c>
      <x:c r="H771" s="9" t="str">
        <x:v>A topical exploration link, not a claim that one determines the other.</x:v>
      </x:c>
      <x:c r="I771" s="9" t="str">
        <x:v>Curated curriculum relationship</x:v>
      </x:c>
    </x:row>
    <x:row r="772" ht="58" customHeight="1">
      <x:c r="A772" s="10" t="str">
        <x:v>E0767</x:v>
      </x:c>
      <x:c r="B772" s="10" t="str">
        <x:v>T07.14</x:v>
      </x:c>
      <x:c r="C772" s="10" t="str">
        <x:v>How transactions move through all three statements</x:v>
      </x:c>
      <x:c r="D772" s="14" t="str">
        <x:v>RECOMMENDED_BEFORE</x:v>
      </x:c>
      <x:c r="E772" s="10" t="str">
        <x:v>T16.11</x:v>
      </x:c>
      <x:c r="F772" s="10" t="str">
        <x:v>DCF and comparable-company models</x:v>
      </x:c>
      <x:c r="G772" s="10" t="str">
        <x:v>Suggested starting knowledge: How transactions move through all three statements. It helps you connect schedules into an internally consistent and auditable model.</x:v>
      </x:c>
      <x:c r="H772" s="10" t="str">
        <x:v>Suggested learning order; learners can still explore freely.</x:v>
      </x:c>
      <x:c r="I772" s="10" t="str">
        <x:v>Curated curriculum relationship</x:v>
      </x:c>
    </x:row>
    <x:row r="773" ht="58" customHeight="1">
      <x:c r="A773" s="9" t="str">
        <x:v>E0768</x:v>
      </x:c>
      <x:c r="B773" s="9" t="str">
        <x:v>T16.12</x:v>
      </x:c>
      <x:c r="C773" s="9" t="str">
        <x:v>Merger and acquisition models</x:v>
      </x:c>
      <x:c r="D773" s="15" t="str">
        <x:v>PART_OF</x:v>
      </x:c>
      <x:c r="E773" s="9" t="str">
        <x:v>D16</x:v>
      </x:c>
      <x:c r="F773" s="9" t="str">
        <x:v>Financial modelling</x:v>
      </x:c>
      <x:c r="G773" s="9" t="str">
        <x:v>Curriculum membership. Use this link to move between the topic and its finance area.</x:v>
      </x:c>
      <x:c r="H773" s="9" t="str">
        <x:v>Classification only; this edge is not a causal or calculation relationship.</x:v>
      </x:c>
      <x:c r="I773" s="9" t="str">
        <x:v>Curated curriculum relationship</x:v>
      </x:c>
    </x:row>
    <x:row r="774" ht="58" customHeight="1">
      <x:c r="A774" s="10" t="str">
        <x:v>E0769</x:v>
      </x:c>
      <x:c r="B774" s="10" t="str">
        <x:v>T16.12</x:v>
      </x:c>
      <x:c r="C774" s="10" t="str">
        <x:v>Merger and acquisition models</x:v>
      </x:c>
      <x:c r="D774" s="14" t="str">
        <x:v>EXPLORE_WITH</x:v>
      </x:c>
      <x:c r="E774" s="10" t="str">
        <x:v>T16.03</x:v>
      </x:c>
      <x:c r="F774" s="10" t="str">
        <x:v>Three-statement models</x:v>
      </x:c>
      <x:c r="G774" s="10" t="str">
        <x:v>Study these together to connect schedules into an internally consistent and auditable model.</x:v>
      </x:c>
      <x:c r="H774" s="10" t="str">
        <x:v>A topical exploration link, not a claim that one determines the other.</x:v>
      </x:c>
      <x:c r="I774" s="10" t="str">
        <x:v>Curated curriculum relationship</x:v>
      </x:c>
    </x:row>
    <x:row r="775" ht="58" customHeight="1">
      <x:c r="A775" s="9" t="str">
        <x:v>E0770</x:v>
      </x:c>
      <x:c r="B775" s="9" t="str">
        <x:v>T07.14</x:v>
      </x:c>
      <x:c r="C775" s="9" t="str">
        <x:v>How transactions move through all three statements</x:v>
      </x:c>
      <x:c r="D775" s="15" t="str">
        <x:v>RECOMMENDED_BEFORE</x:v>
      </x:c>
      <x:c r="E775" s="9" t="str">
        <x:v>T16.12</x:v>
      </x:c>
      <x:c r="F775" s="9" t="str">
        <x:v>Merger and acquisition models</x:v>
      </x:c>
      <x:c r="G775" s="9" t="str">
        <x:v>Suggested starting knowledge: How transactions move through all three statements. It helps you connect schedules into an internally consistent and auditable model.</x:v>
      </x:c>
      <x:c r="H775" s="9" t="str">
        <x:v>Suggested learning order; learners can still explore freely.</x:v>
      </x:c>
      <x:c r="I775" s="9" t="str">
        <x:v>Curated curriculum relationship</x:v>
      </x:c>
    </x:row>
    <x:row r="776" ht="58" customHeight="1">
      <x:c r="A776" s="10" t="str">
        <x:v>E0771</x:v>
      </x:c>
      <x:c r="B776" s="10" t="str">
        <x:v>T16.13</x:v>
      </x:c>
      <x:c r="C776" s="10" t="str">
        <x:v>Leveraged buyout models</x:v>
      </x:c>
      <x:c r="D776" s="14" t="str">
        <x:v>PART_OF</x:v>
      </x:c>
      <x:c r="E776" s="10" t="str">
        <x:v>D16</x:v>
      </x:c>
      <x:c r="F776" s="10" t="str">
        <x:v>Financial modelling</x:v>
      </x:c>
      <x:c r="G776" s="10" t="str">
        <x:v>Curriculum membership. Use this link to move between the topic and its finance area.</x:v>
      </x:c>
      <x:c r="H776" s="10" t="str">
        <x:v>Classification only; this edge is not a causal or calculation relationship.</x:v>
      </x:c>
      <x:c r="I776" s="10" t="str">
        <x:v>Curated curriculum relationship</x:v>
      </x:c>
    </x:row>
    <x:row r="777" ht="58" customHeight="1">
      <x:c r="A777" s="9" t="str">
        <x:v>E0772</x:v>
      </x:c>
      <x:c r="B777" s="9" t="str">
        <x:v>T16.13</x:v>
      </x:c>
      <x:c r="C777" s="9" t="str">
        <x:v>Leveraged buyout models</x:v>
      </x:c>
      <x:c r="D777" s="15" t="str">
        <x:v>EXPLORE_WITH</x:v>
      </x:c>
      <x:c r="E777" s="9" t="str">
        <x:v>T16.07</x:v>
      </x:c>
      <x:c r="F777" s="9" t="str">
        <x:v>Debt, interest, and cash schedules</x:v>
      </x:c>
      <x:c r="G777" s="9" t="str">
        <x:v>Study these together to connect schedules into an internally consistent and auditable model.</x:v>
      </x:c>
      <x:c r="H777" s="9" t="str">
        <x:v>A topical exploration link, not a claim that one determines the other.</x:v>
      </x:c>
      <x:c r="I777" s="9" t="str">
        <x:v>Curated curriculum relationship</x:v>
      </x:c>
    </x:row>
    <x:row r="778" ht="58" customHeight="1">
      <x:c r="A778" s="10" t="str">
        <x:v>E0773</x:v>
      </x:c>
      <x:c r="B778" s="10" t="str">
        <x:v>T07.14</x:v>
      </x:c>
      <x:c r="C778" s="10" t="str">
        <x:v>How transactions move through all three statements</x:v>
      </x:c>
      <x:c r="D778" s="14" t="str">
        <x:v>RECOMMENDED_BEFORE</x:v>
      </x:c>
      <x:c r="E778" s="10" t="str">
        <x:v>T16.13</x:v>
      </x:c>
      <x:c r="F778" s="10" t="str">
        <x:v>Leveraged buyout models</x:v>
      </x:c>
      <x:c r="G778" s="10" t="str">
        <x:v>Suggested starting knowledge: How transactions move through all three statements. It helps you connect schedules into an internally consistent and auditable model.</x:v>
      </x:c>
      <x:c r="H778" s="10" t="str">
        <x:v>Suggested learning order; learners can still explore freely.</x:v>
      </x:c>
      <x:c r="I778" s="10" t="str">
        <x:v>Curated curriculum relationship</x:v>
      </x:c>
    </x:row>
    <x:row r="779" ht="58" customHeight="1">
      <x:c r="A779" s="9" t="str">
        <x:v>E0774</x:v>
      </x:c>
      <x:c r="B779" s="9" t="str">
        <x:v>T16.14</x:v>
      </x:c>
      <x:c r="C779" s="9" t="str">
        <x:v>Project finance and real estate models</x:v>
      </x:c>
      <x:c r="D779" s="15" t="str">
        <x:v>PART_OF</x:v>
      </x:c>
      <x:c r="E779" s="9" t="str">
        <x:v>D16</x:v>
      </x:c>
      <x:c r="F779" s="9" t="str">
        <x:v>Financial modelling</x:v>
      </x:c>
      <x:c r="G779" s="9" t="str">
        <x:v>Curriculum membership. Use this link to move between the topic and its finance area.</x:v>
      </x:c>
      <x:c r="H779" s="9" t="str">
        <x:v>Classification only; this edge is not a causal or calculation relationship.</x:v>
      </x:c>
      <x:c r="I779" s="9" t="str">
        <x:v>Curated curriculum relationship</x:v>
      </x:c>
    </x:row>
    <x:row r="780" ht="58" customHeight="1">
      <x:c r="A780" s="10" t="str">
        <x:v>E0775</x:v>
      </x:c>
      <x:c r="B780" s="10" t="str">
        <x:v>T16.14</x:v>
      </x:c>
      <x:c r="C780" s="10" t="str">
        <x:v>Project finance and real estate models</x:v>
      </x:c>
      <x:c r="D780" s="14" t="str">
        <x:v>EXPLORE_WITH</x:v>
      </x:c>
      <x:c r="E780" s="10" t="str">
        <x:v>T16.07</x:v>
      </x:c>
      <x:c r="F780" s="10" t="str">
        <x:v>Debt, interest, and cash schedules</x:v>
      </x:c>
      <x:c r="G780" s="10" t="str">
        <x:v>Study these together to connect schedules into an internally consistent and auditable model.</x:v>
      </x:c>
      <x:c r="H780" s="10" t="str">
        <x:v>A topical exploration link, not a claim that one determines the other.</x:v>
      </x:c>
      <x:c r="I780" s="10" t="str">
        <x:v>Curated curriculum relationship</x:v>
      </x:c>
    </x:row>
    <x:row r="781" ht="58" customHeight="1">
      <x:c r="A781" s="9" t="str">
        <x:v>E0776</x:v>
      </x:c>
      <x:c r="B781" s="9" t="str">
        <x:v>T07.14</x:v>
      </x:c>
      <x:c r="C781" s="9" t="str">
        <x:v>How transactions move through all three statements</x:v>
      </x:c>
      <x:c r="D781" s="15" t="str">
        <x:v>RECOMMENDED_BEFORE</x:v>
      </x:c>
      <x:c r="E781" s="9" t="str">
        <x:v>T16.14</x:v>
      </x:c>
      <x:c r="F781" s="9" t="str">
        <x:v>Project finance and real estate models</x:v>
      </x:c>
      <x:c r="G781" s="9" t="str">
        <x:v>Suggested starting knowledge: How transactions move through all three statements. It helps you connect schedules into an internally consistent and auditable model.</x:v>
      </x:c>
      <x:c r="H781" s="9" t="str">
        <x:v>Suggested learning order; learners can still explore freely.</x:v>
      </x:c>
      <x:c r="I781" s="9" t="str">
        <x:v>Curated curriculum relationship</x:v>
      </x:c>
    </x:row>
    <x:row r="782" ht="58" customHeight="1">
      <x:c r="A782" s="10" t="str">
        <x:v>E0777</x:v>
      </x:c>
      <x:c r="B782" s="10" t="str">
        <x:v>T16.15</x:v>
      </x:c>
      <x:c r="C782" s="10" t="str">
        <x:v>Bank, insurance, and startup models</x:v>
      </x:c>
      <x:c r="D782" s="14" t="str">
        <x:v>PART_OF</x:v>
      </x:c>
      <x:c r="E782" s="10" t="str">
        <x:v>D16</x:v>
      </x:c>
      <x:c r="F782" s="10" t="str">
        <x:v>Financial modelling</x:v>
      </x:c>
      <x:c r="G782" s="10" t="str">
        <x:v>Curriculum membership. Use this link to move between the topic and its finance area.</x:v>
      </x:c>
      <x:c r="H782" s="10" t="str">
        <x:v>Classification only; this edge is not a causal or calculation relationship.</x:v>
      </x:c>
      <x:c r="I782" s="10" t="str">
        <x:v>Curated curriculum relationship</x:v>
      </x:c>
    </x:row>
    <x:row r="783" ht="58" customHeight="1">
      <x:c r="A783" s="9" t="str">
        <x:v>E0778</x:v>
      </x:c>
      <x:c r="B783" s="9" t="str">
        <x:v>T16.15</x:v>
      </x:c>
      <x:c r="C783" s="9" t="str">
        <x:v>Bank, insurance, and startup models</x:v>
      </x:c>
      <x:c r="D783" s="15" t="str">
        <x:v>EXPLORE_WITH</x:v>
      </x:c>
      <x:c r="E783" s="9" t="str">
        <x:v>T16.03</x:v>
      </x:c>
      <x:c r="F783" s="9" t="str">
        <x:v>Three-statement models</x:v>
      </x:c>
      <x:c r="G783" s="9" t="str">
        <x:v>Study these together to connect schedules into an internally consistent and auditable model.</x:v>
      </x:c>
      <x:c r="H783" s="9" t="str">
        <x:v>A topical exploration link, not a claim that one determines the other.</x:v>
      </x:c>
      <x:c r="I783" s="9" t="str">
        <x:v>Curated curriculum relationship</x:v>
      </x:c>
    </x:row>
    <x:row r="784" ht="58" customHeight="1">
      <x:c r="A784" s="10" t="str">
        <x:v>E0779</x:v>
      </x:c>
      <x:c r="B784" s="10" t="str">
        <x:v>T07.14</x:v>
      </x:c>
      <x:c r="C784" s="10" t="str">
        <x:v>How transactions move through all three statements</x:v>
      </x:c>
      <x:c r="D784" s="14" t="str">
        <x:v>RECOMMENDED_BEFORE</x:v>
      </x:c>
      <x:c r="E784" s="10" t="str">
        <x:v>T16.15</x:v>
      </x:c>
      <x:c r="F784" s="10" t="str">
        <x:v>Bank, insurance, and startup models</x:v>
      </x:c>
      <x:c r="G784" s="10" t="str">
        <x:v>Suggested starting knowledge: How transactions move through all three statements. It helps you connect schedules into an internally consistent and auditable model.</x:v>
      </x:c>
      <x:c r="H784" s="10" t="str">
        <x:v>Suggested learning order; learners can still explore freely.</x:v>
      </x:c>
      <x:c r="I784" s="10" t="str">
        <x:v>Curated curriculum relationship</x:v>
      </x:c>
    </x:row>
    <x:row r="785" ht="58" customHeight="1">
      <x:c r="A785" s="9" t="str">
        <x:v>E0780</x:v>
      </x:c>
      <x:c r="B785" s="9" t="str">
        <x:v>T16.16</x:v>
      </x:c>
      <x:c r="C785" s="9" t="str">
        <x:v>Model auditing, error checks, and documentation</x:v>
      </x:c>
      <x:c r="D785" s="15" t="str">
        <x:v>PART_OF</x:v>
      </x:c>
      <x:c r="E785" s="9" t="str">
        <x:v>D16</x:v>
      </x:c>
      <x:c r="F785" s="9" t="str">
        <x:v>Financial modelling</x:v>
      </x:c>
      <x:c r="G785" s="9" t="str">
        <x:v>Curriculum membership. Use this link to move between the topic and its finance area.</x:v>
      </x:c>
      <x:c r="H785" s="9" t="str">
        <x:v>Classification only; this edge is not a causal or calculation relationship.</x:v>
      </x:c>
      <x:c r="I785" s="9" t="str">
        <x:v>Curated curriculum relationship</x:v>
      </x:c>
    </x:row>
    <x:row r="786" ht="58" customHeight="1">
      <x:c r="A786" s="10" t="str">
        <x:v>E0781</x:v>
      </x:c>
      <x:c r="B786" s="10" t="str">
        <x:v>T16.16</x:v>
      </x:c>
      <x:c r="C786" s="10" t="str">
        <x:v>Model auditing, error checks, and documentation</x:v>
      </x:c>
      <x:c r="D786" s="14" t="str">
        <x:v>EXPLORE_WITH</x:v>
      </x:c>
      <x:c r="E786" s="10" t="str">
        <x:v>T16.09</x:v>
      </x:c>
      <x:c r="F786" s="10" t="str">
        <x:v>Circularity and model balancing</x:v>
      </x:c>
      <x:c r="G786" s="10" t="str">
        <x:v>Study these together to connect schedules into an internally consistent and auditable model.</x:v>
      </x:c>
      <x:c r="H786" s="10" t="str">
        <x:v>A topical exploration link, not a claim that one determines the other.</x:v>
      </x:c>
      <x:c r="I786" s="10" t="str">
        <x:v>Curated curriculum relationship</x:v>
      </x:c>
    </x:row>
    <x:row r="787" ht="58" customHeight="1">
      <x:c r="A787" s="9" t="str">
        <x:v>E0782</x:v>
      </x:c>
      <x:c r="B787" s="9" t="str">
        <x:v>T07.14</x:v>
      </x:c>
      <x:c r="C787" s="9" t="str">
        <x:v>How transactions move through all three statements</x:v>
      </x:c>
      <x:c r="D787" s="15" t="str">
        <x:v>RECOMMENDED_BEFORE</x:v>
      </x:c>
      <x:c r="E787" s="9" t="str">
        <x:v>T16.16</x:v>
      </x:c>
      <x:c r="F787" s="9" t="str">
        <x:v>Model auditing, error checks, and documentation</x:v>
      </x:c>
      <x:c r="G787" s="9" t="str">
        <x:v>Suggested starting knowledge: How transactions move through all three statements. It helps you connect schedules into an internally consistent and auditable model.</x:v>
      </x:c>
      <x:c r="H787" s="9" t="str">
        <x:v>Suggested learning order; learners can still explore freely.</x:v>
      </x:c>
      <x:c r="I787" s="9" t="str">
        <x:v>Curated curriculum relationship</x:v>
      </x:c>
    </x:row>
    <x:row r="788" ht="58" customHeight="1">
      <x:c r="A788" s="10" t="str">
        <x:v>E0783</x:v>
      </x:c>
      <x:c r="B788" s="10" t="str">
        <x:v>T17.01</x:v>
      </x:c>
      <x:c r="C788" s="10" t="str">
        <x:v>Price versus value</x:v>
      </x:c>
      <x:c r="D788" s="14" t="str">
        <x:v>PART_OF</x:v>
      </x:c>
      <x:c r="E788" s="10" t="str">
        <x:v>D17</x:v>
      </x:c>
      <x:c r="F788" s="10" t="str">
        <x:v>Valuation foundations and discounted cash flow</x:v>
      </x:c>
      <x:c r="G788" s="10" t="str">
        <x:v>Curriculum membership. Use this link to move between the topic and its finance area.</x:v>
      </x:c>
      <x:c r="H788" s="10" t="str">
        <x:v>Classification only; this edge is not a causal or calculation relationship.</x:v>
      </x:c>
      <x:c r="I788" s="10" t="str">
        <x:v>Curated curriculum relationship</x:v>
      </x:c>
    </x:row>
    <x:row r="789" ht="58" customHeight="1">
      <x:c r="A789" s="9" t="str">
        <x:v>E0784</x:v>
      </x:c>
      <x:c r="B789" s="9" t="str">
        <x:v>T17.01</x:v>
      </x:c>
      <x:c r="C789" s="9" t="str">
        <x:v>Price versus value</x:v>
      </x:c>
      <x:c r="D789" s="15" t="str">
        <x:v>EXPLORE_WITH</x:v>
      </x:c>
      <x:c r="E789" s="9" t="str">
        <x:v>T17.02</x:v>
      </x:c>
      <x:c r="F789" s="9" t="str">
        <x:v>Intrinsic valuation versus relative valuation</x:v>
      </x:c>
      <x:c r="G789" s="9" t="str">
        <x:v>Study these together to match cash flows, reinvestment, discount rates and investor claims.</x:v>
      </x:c>
      <x:c r="H789" s="9" t="str">
        <x:v>A topical exploration link, not a claim that one determines the other.</x:v>
      </x:c>
      <x:c r="I789" s="9" t="str">
        <x:v>Curated curriculum relationship</x:v>
      </x:c>
    </x:row>
    <x:row r="790" ht="58" customHeight="1">
      <x:c r="A790" s="10" t="str">
        <x:v>E0785</x:v>
      </x:c>
      <x:c r="B790" s="10" t="str">
        <x:v>T03.01</x:v>
      </x:c>
      <x:c r="C790" s="10" t="str">
        <x:v>Present value and future value</x:v>
      </x:c>
      <x:c r="D790" s="14" t="str">
        <x:v>RECOMMENDED_BEFORE</x:v>
      </x:c>
      <x:c r="E790" s="10" t="str">
        <x:v>T17.01</x:v>
      </x:c>
      <x:c r="F790" s="10" t="str">
        <x:v>Price versus value</x:v>
      </x:c>
      <x:c r="G790" s="10" t="str">
        <x:v>Suggested starting knowledge: Present value and future value. It helps you match cash flows, reinvestment, discount rates and investor claims.</x:v>
      </x:c>
      <x:c r="H790" s="10" t="str">
        <x:v>Suggested learning order; learners can still explore freely.</x:v>
      </x:c>
      <x:c r="I790" s="10" t="str">
        <x:v>Curated curriculum relationship</x:v>
      </x:c>
    </x:row>
    <x:row r="791" ht="58" customHeight="1">
      <x:c r="A791" s="9" t="str">
        <x:v>E0786</x:v>
      </x:c>
      <x:c r="B791" s="9" t="str">
        <x:v>T17.02</x:v>
      </x:c>
      <x:c r="C791" s="9" t="str">
        <x:v>Intrinsic valuation versus relative valuation</x:v>
      </x:c>
      <x:c r="D791" s="15" t="str">
        <x:v>PART_OF</x:v>
      </x:c>
      <x:c r="E791" s="9" t="str">
        <x:v>D17</x:v>
      </x:c>
      <x:c r="F791" s="9" t="str">
        <x:v>Valuation foundations and discounted cash flow</x:v>
      </x:c>
      <x:c r="G791" s="9" t="str">
        <x:v>Curriculum membership. Use this link to move between the topic and its finance area.</x:v>
      </x:c>
      <x:c r="H791" s="9" t="str">
        <x:v>Classification only; this edge is not a causal or calculation relationship.</x:v>
      </x:c>
      <x:c r="I791" s="9" t="str">
        <x:v>Curated curriculum relationship</x:v>
      </x:c>
    </x:row>
    <x:row r="792" ht="58" customHeight="1">
      <x:c r="A792" s="10" t="str">
        <x:v>E0787</x:v>
      </x:c>
      <x:c r="B792" s="10" t="str">
        <x:v>T17.02</x:v>
      </x:c>
      <x:c r="C792" s="10" t="str">
        <x:v>Intrinsic valuation versus relative valuation</x:v>
      </x:c>
      <x:c r="D792" s="14" t="str">
        <x:v>EXPLORE_WITH</x:v>
      </x:c>
      <x:c r="E792" s="10" t="str">
        <x:v>T17.01</x:v>
      </x:c>
      <x:c r="F792" s="10" t="str">
        <x:v>Price versus value</x:v>
      </x:c>
      <x:c r="G792" s="10" t="str">
        <x:v>Study these together to match cash flows, reinvestment, discount rates and investor claims.</x:v>
      </x:c>
      <x:c r="H792" s="10" t="str">
        <x:v>A topical exploration link, not a claim that one determines the other.</x:v>
      </x:c>
      <x:c r="I792" s="10" t="str">
        <x:v>Curated curriculum relationship</x:v>
      </x:c>
    </x:row>
    <x:row r="793" ht="58" customHeight="1">
      <x:c r="A793" s="9" t="str">
        <x:v>E0788</x:v>
      </x:c>
      <x:c r="B793" s="9" t="str">
        <x:v>T03.01</x:v>
      </x:c>
      <x:c r="C793" s="9" t="str">
        <x:v>Present value and future value</x:v>
      </x:c>
      <x:c r="D793" s="15" t="str">
        <x:v>RECOMMENDED_BEFORE</x:v>
      </x:c>
      <x:c r="E793" s="9" t="str">
        <x:v>T17.02</x:v>
      </x:c>
      <x:c r="F793" s="9" t="str">
        <x:v>Intrinsic valuation versus relative valuation</x:v>
      </x:c>
      <x:c r="G793" s="9" t="str">
        <x:v>Suggested starting knowledge: Present value and future value. It helps you match cash flows, reinvestment, discount rates and investor claims.</x:v>
      </x:c>
      <x:c r="H793" s="9" t="str">
        <x:v>Suggested learning order; learners can still explore freely.</x:v>
      </x:c>
      <x:c r="I793" s="9" t="str">
        <x:v>Curated curriculum relationship</x:v>
      </x:c>
    </x:row>
    <x:row r="794" ht="58" customHeight="1">
      <x:c r="A794" s="10" t="str">
        <x:v>E0789</x:v>
      </x:c>
      <x:c r="B794" s="10" t="str">
        <x:v>T17.03</x:v>
      </x:c>
      <x:c r="C794" s="10" t="str">
        <x:v>Enterprise value versus equity value</x:v>
      </x:c>
      <x:c r="D794" s="14" t="str">
        <x:v>PART_OF</x:v>
      </x:c>
      <x:c r="E794" s="10" t="str">
        <x:v>D17</x:v>
      </x:c>
      <x:c r="F794" s="10" t="str">
        <x:v>Valuation foundations and discounted cash flow</x:v>
      </x:c>
      <x:c r="G794" s="10" t="str">
        <x:v>Curriculum membership. Use this link to move between the topic and its finance area.</x:v>
      </x:c>
      <x:c r="H794" s="10" t="str">
        <x:v>Classification only; this edge is not a causal or calculation relationship.</x:v>
      </x:c>
      <x:c r="I794" s="10" t="str">
        <x:v>Curated curriculum relationship</x:v>
      </x:c>
    </x:row>
    <x:row r="795" ht="58" customHeight="1">
      <x:c r="A795" s="9" t="str">
        <x:v>E0790</x:v>
      </x:c>
      <x:c r="B795" s="9" t="str">
        <x:v>T17.03</x:v>
      </x:c>
      <x:c r="C795" s="9" t="str">
        <x:v>Enterprise value versus equity value</x:v>
      </x:c>
      <x:c r="D795" s="15" t="str">
        <x:v>EXPLORE_WITH</x:v>
      </x:c>
      <x:c r="E795" s="9" t="str">
        <x:v>T17.04</x:v>
      </x:c>
      <x:c r="F795" s="9" t="str">
        <x:v>The enterprise-to-equity value bridge</x:v>
      </x:c>
      <x:c r="G795" s="9" t="str">
        <x:v>Study these together to match cash flows, reinvestment, discount rates and investor claims.</x:v>
      </x:c>
      <x:c r="H795" s="9" t="str">
        <x:v>A topical exploration link, not a claim that one determines the other.</x:v>
      </x:c>
      <x:c r="I795" s="9" t="str">
        <x:v>Curated curriculum relationship</x:v>
      </x:c>
    </x:row>
    <x:row r="796" ht="58" customHeight="1">
      <x:c r="A796" s="10" t="str">
        <x:v>E0791</x:v>
      </x:c>
      <x:c r="B796" s="10" t="str">
        <x:v>T03.01</x:v>
      </x:c>
      <x:c r="C796" s="10" t="str">
        <x:v>Present value and future value</x:v>
      </x:c>
      <x:c r="D796" s="14" t="str">
        <x:v>RECOMMENDED_BEFORE</x:v>
      </x:c>
      <x:c r="E796" s="10" t="str">
        <x:v>T17.03</x:v>
      </x:c>
      <x:c r="F796" s="10" t="str">
        <x:v>Enterprise value versus equity value</x:v>
      </x:c>
      <x:c r="G796" s="10" t="str">
        <x:v>Suggested starting knowledge: Present value and future value. It helps you match cash flows, reinvestment, discount rates and investor claims.</x:v>
      </x:c>
      <x:c r="H796" s="10" t="str">
        <x:v>Suggested learning order; learners can still explore freely.</x:v>
      </x:c>
      <x:c r="I796" s="10" t="str">
        <x:v>Curated curriculum relationship</x:v>
      </x:c>
    </x:row>
    <x:row r="797" ht="58" customHeight="1">
      <x:c r="A797" s="9" t="str">
        <x:v>E0792</x:v>
      </x:c>
      <x:c r="B797" s="9" t="str">
        <x:v>T17.04</x:v>
      </x:c>
      <x:c r="C797" s="9" t="str">
        <x:v>The enterprise-to-equity value bridge</x:v>
      </x:c>
      <x:c r="D797" s="15" t="str">
        <x:v>PART_OF</x:v>
      </x:c>
      <x:c r="E797" s="9" t="str">
        <x:v>D17</x:v>
      </x:c>
      <x:c r="F797" s="9" t="str">
        <x:v>Valuation foundations and discounted cash flow</x:v>
      </x:c>
      <x:c r="G797" s="9" t="str">
        <x:v>Curriculum membership. Use this link to move between the topic and its finance area.</x:v>
      </x:c>
      <x:c r="H797" s="9" t="str">
        <x:v>Classification only; this edge is not a causal or calculation relationship.</x:v>
      </x:c>
      <x:c r="I797" s="9" t="str">
        <x:v>Curated curriculum relationship</x:v>
      </x:c>
    </x:row>
    <x:row r="798" ht="58" customHeight="1">
      <x:c r="A798" s="10" t="str">
        <x:v>E0793</x:v>
      </x:c>
      <x:c r="B798" s="10" t="str">
        <x:v>T17.04</x:v>
      </x:c>
      <x:c r="C798" s="10" t="str">
        <x:v>The enterprise-to-equity value bridge</x:v>
      </x:c>
      <x:c r="D798" s="14" t="str">
        <x:v>EXPLORE_WITH</x:v>
      </x:c>
      <x:c r="E798" s="10" t="str">
        <x:v>T17.03</x:v>
      </x:c>
      <x:c r="F798" s="10" t="str">
        <x:v>Enterprise value versus equity value</x:v>
      </x:c>
      <x:c r="G798" s="10" t="str">
        <x:v>Study these together to match cash flows, reinvestment, discount rates and investor claims.</x:v>
      </x:c>
      <x:c r="H798" s="10" t="str">
        <x:v>A topical exploration link, not a claim that one determines the other.</x:v>
      </x:c>
      <x:c r="I798" s="10" t="str">
        <x:v>Curated curriculum relationship</x:v>
      </x:c>
    </x:row>
    <x:row r="799" ht="58" customHeight="1">
      <x:c r="A799" s="9" t="str">
        <x:v>E0794</x:v>
      </x:c>
      <x:c r="B799" s="9" t="str">
        <x:v>T03.01</x:v>
      </x:c>
      <x:c r="C799" s="9" t="str">
        <x:v>Present value and future value</x:v>
      </x:c>
      <x:c r="D799" s="15" t="str">
        <x:v>RECOMMENDED_BEFORE</x:v>
      </x:c>
      <x:c r="E799" s="9" t="str">
        <x:v>T17.04</x:v>
      </x:c>
      <x:c r="F799" s="9" t="str">
        <x:v>The enterprise-to-equity value bridge</x:v>
      </x:c>
      <x:c r="G799" s="9" t="str">
        <x:v>Suggested starting knowledge: Present value and future value. It helps you match cash flows, reinvestment, discount rates and investor claims.</x:v>
      </x:c>
      <x:c r="H799" s="9" t="str">
        <x:v>Suggested learning order; learners can still explore freely.</x:v>
      </x:c>
      <x:c r="I799" s="9" t="str">
        <x:v>Curated curriculum relationship</x:v>
      </x:c>
    </x:row>
    <x:row r="800" ht="58" customHeight="1">
      <x:c r="A800" s="10" t="str">
        <x:v>E0795</x:v>
      </x:c>
      <x:c r="B800" s="10" t="str">
        <x:v>T17.05</x:v>
      </x:c>
      <x:c r="C800" s="10" t="str">
        <x:v>FCFF and FCFE</x:v>
      </x:c>
      <x:c r="D800" s="14" t="str">
        <x:v>PART_OF</x:v>
      </x:c>
      <x:c r="E800" s="10" t="str">
        <x:v>D17</x:v>
      </x:c>
      <x:c r="F800" s="10" t="str">
        <x:v>Valuation foundations and discounted cash flow</x:v>
      </x:c>
      <x:c r="G800" s="10" t="str">
        <x:v>Curriculum membership. Use this link to move between the topic and its finance area.</x:v>
      </x:c>
      <x:c r="H800" s="10" t="str">
        <x:v>Classification only; this edge is not a causal or calculation relationship.</x:v>
      </x:c>
      <x:c r="I800" s="10" t="str">
        <x:v>Curated curriculum relationship</x:v>
      </x:c>
    </x:row>
    <x:row r="801" ht="58" customHeight="1">
      <x:c r="A801" s="9" t="str">
        <x:v>E0796</x:v>
      </x:c>
      <x:c r="B801" s="9" t="str">
        <x:v>T17.05</x:v>
      </x:c>
      <x:c r="C801" s="9" t="str">
        <x:v>FCFF and FCFE</x:v>
      </x:c>
      <x:c r="D801" s="15" t="str">
        <x:v>EXPLORE_WITH</x:v>
      </x:c>
      <x:c r="E801" s="9" t="str">
        <x:v>T17.07</x:v>
      </x:c>
      <x:c r="F801" s="9" t="str">
        <x:v>Discounted cash-flow valuation</x:v>
      </x:c>
      <x:c r="G801" s="9" t="str">
        <x:v>Study these together to match cash flows, reinvestment, discount rates and investor claims.</x:v>
      </x:c>
      <x:c r="H801" s="9" t="str">
        <x:v>A topical exploration link, not a claim that one determines the other.</x:v>
      </x:c>
      <x:c r="I801" s="9" t="str">
        <x:v>Curated curriculum relationship</x:v>
      </x:c>
    </x:row>
    <x:row r="802" ht="58" customHeight="1">
      <x:c r="A802" s="10" t="str">
        <x:v>E0797</x:v>
      </x:c>
      <x:c r="B802" s="10" t="str">
        <x:v>T03.01</x:v>
      </x:c>
      <x:c r="C802" s="10" t="str">
        <x:v>Present value and future value</x:v>
      </x:c>
      <x:c r="D802" s="14" t="str">
        <x:v>RECOMMENDED_BEFORE</x:v>
      </x:c>
      <x:c r="E802" s="10" t="str">
        <x:v>T17.05</x:v>
      </x:c>
      <x:c r="F802" s="10" t="str">
        <x:v>FCFF and FCFE</x:v>
      </x:c>
      <x:c r="G802" s="10" t="str">
        <x:v>Suggested starting knowledge: Present value and future value. It helps you match cash flows, reinvestment, discount rates and investor claims.</x:v>
      </x:c>
      <x:c r="H802" s="10" t="str">
        <x:v>Suggested learning order; learners can still explore freely.</x:v>
      </x:c>
      <x:c r="I802" s="10" t="str">
        <x:v>Curated curriculum relationship</x:v>
      </x:c>
    </x:row>
    <x:row r="803" ht="58" customHeight="1">
      <x:c r="A803" s="9" t="str">
        <x:v>E0798</x:v>
      </x:c>
      <x:c r="B803" s="9" t="str">
        <x:v>T17.06</x:v>
      </x:c>
      <x:c r="C803" s="9" t="str">
        <x:v>Dividend discount models</x:v>
      </x:c>
      <x:c r="D803" s="15" t="str">
        <x:v>PART_OF</x:v>
      </x:c>
      <x:c r="E803" s="9" t="str">
        <x:v>D17</x:v>
      </x:c>
      <x:c r="F803" s="9" t="str">
        <x:v>Valuation foundations and discounted cash flow</x:v>
      </x:c>
      <x:c r="G803" s="9" t="str">
        <x:v>Curriculum membership. Use this link to move between the topic and its finance area.</x:v>
      </x:c>
      <x:c r="H803" s="9" t="str">
        <x:v>Classification only; this edge is not a causal or calculation relationship.</x:v>
      </x:c>
      <x:c r="I803" s="9" t="str">
        <x:v>Curated curriculum relationship</x:v>
      </x:c>
    </x:row>
    <x:row r="804" ht="58" customHeight="1">
      <x:c r="A804" s="10" t="str">
        <x:v>E0799</x:v>
      </x:c>
      <x:c r="B804" s="10" t="str">
        <x:v>T17.06</x:v>
      </x:c>
      <x:c r="C804" s="10" t="str">
        <x:v>Dividend discount models</x:v>
      </x:c>
      <x:c r="D804" s="14" t="str">
        <x:v>EXPLORE_WITH</x:v>
      </x:c>
      <x:c r="E804" s="10" t="str">
        <x:v>T17.05</x:v>
      </x:c>
      <x:c r="F804" s="10" t="str">
        <x:v>FCFF and FCFE</x:v>
      </x:c>
      <x:c r="G804" s="10" t="str">
        <x:v>Study these together to match cash flows, reinvestment, discount rates and investor claims.</x:v>
      </x:c>
      <x:c r="H804" s="10" t="str">
        <x:v>A topical exploration link, not a claim that one determines the other.</x:v>
      </x:c>
      <x:c r="I804" s="10" t="str">
        <x:v>Curated curriculum relationship</x:v>
      </x:c>
    </x:row>
    <x:row r="805" ht="58" customHeight="1">
      <x:c r="A805" s="9" t="str">
        <x:v>E0800</x:v>
      </x:c>
      <x:c r="B805" s="9" t="str">
        <x:v>T03.01</x:v>
      </x:c>
      <x:c r="C805" s="9" t="str">
        <x:v>Present value and future value</x:v>
      </x:c>
      <x:c r="D805" s="15" t="str">
        <x:v>RECOMMENDED_BEFORE</x:v>
      </x:c>
      <x:c r="E805" s="9" t="str">
        <x:v>T17.06</x:v>
      </x:c>
      <x:c r="F805" s="9" t="str">
        <x:v>Dividend discount models</x:v>
      </x:c>
      <x:c r="G805" s="9" t="str">
        <x:v>Suggested starting knowledge: Present value and future value. It helps you match cash flows, reinvestment, discount rates and investor claims.</x:v>
      </x:c>
      <x:c r="H805" s="9" t="str">
        <x:v>Suggested learning order; learners can still explore freely.</x:v>
      </x:c>
      <x:c r="I805" s="9" t="str">
        <x:v>Curated curriculum relationship</x:v>
      </x:c>
    </x:row>
    <x:row r="806" ht="58" customHeight="1">
      <x:c r="A806" s="10" t="str">
        <x:v>E0801</x:v>
      </x:c>
      <x:c r="B806" s="10" t="str">
        <x:v>T17.07</x:v>
      </x:c>
      <x:c r="C806" s="10" t="str">
        <x:v>Discounted cash-flow valuation</x:v>
      </x:c>
      <x:c r="D806" s="14" t="str">
        <x:v>PART_OF</x:v>
      </x:c>
      <x:c r="E806" s="10" t="str">
        <x:v>D17</x:v>
      </x:c>
      <x:c r="F806" s="10" t="str">
        <x:v>Valuation foundations and discounted cash flow</x:v>
      </x:c>
      <x:c r="G806" s="10" t="str">
        <x:v>Curriculum membership. Use this link to move between the topic and its finance area.</x:v>
      </x:c>
      <x:c r="H806" s="10" t="str">
        <x:v>Classification only; this edge is not a causal or calculation relationship.</x:v>
      </x:c>
      <x:c r="I806" s="10" t="str">
        <x:v>Curated curriculum relationship</x:v>
      </x:c>
    </x:row>
    <x:row r="807" ht="58" customHeight="1">
      <x:c r="A807" s="9" t="str">
        <x:v>E0802</x:v>
      </x:c>
      <x:c r="B807" s="9" t="str">
        <x:v>T17.07</x:v>
      </x:c>
      <x:c r="C807" s="9" t="str">
        <x:v>Discounted cash-flow valuation</x:v>
      </x:c>
      <x:c r="D807" s="15" t="str">
        <x:v>EXPLORE_WITH</x:v>
      </x:c>
      <x:c r="E807" s="9" t="str">
        <x:v>T17.12</x:v>
      </x:c>
      <x:c r="F807" s="9" t="str">
        <x:v>Terminal growth and terminal value</x:v>
      </x:c>
      <x:c r="G807" s="9" t="str">
        <x:v>Study these together to match cash flows, reinvestment, discount rates and investor claims.</x:v>
      </x:c>
      <x:c r="H807" s="9" t="str">
        <x:v>A topical exploration link, not a claim that one determines the other.</x:v>
      </x:c>
      <x:c r="I807" s="9" t="str">
        <x:v>Curated curriculum relationship</x:v>
      </x:c>
    </x:row>
    <x:row r="808" ht="58" customHeight="1">
      <x:c r="A808" s="10" t="str">
        <x:v>E0803</x:v>
      </x:c>
      <x:c r="B808" s="10" t="str">
        <x:v>T03.01</x:v>
      </x:c>
      <x:c r="C808" s="10" t="str">
        <x:v>Present value and future value</x:v>
      </x:c>
      <x:c r="D808" s="14" t="str">
        <x:v>RECOMMENDED_BEFORE</x:v>
      </x:c>
      <x:c r="E808" s="10" t="str">
        <x:v>T17.07</x:v>
      </x:c>
      <x:c r="F808" s="10" t="str">
        <x:v>Discounted cash-flow valuation</x:v>
      </x:c>
      <x:c r="G808" s="10" t="str">
        <x:v>Suggested starting knowledge: Present value and future value. It helps you match cash flows, reinvestment, discount rates and investor claims.</x:v>
      </x:c>
      <x:c r="H808" s="10" t="str">
        <x:v>Suggested learning order; learners can still explore freely.</x:v>
      </x:c>
      <x:c r="I808" s="10" t="str">
        <x:v>Curated curriculum relationship</x:v>
      </x:c>
    </x:row>
    <x:row r="809" ht="58" customHeight="1">
      <x:c r="A809" s="9" t="str">
        <x:v>E0804</x:v>
      </x:c>
      <x:c r="B809" s="9" t="str">
        <x:v>T17.08</x:v>
      </x:c>
      <x:c r="C809" s="9" t="str">
        <x:v>Adjusted present value</x:v>
      </x:c>
      <x:c r="D809" s="15" t="str">
        <x:v>PART_OF</x:v>
      </x:c>
      <x:c r="E809" s="9" t="str">
        <x:v>D17</x:v>
      </x:c>
      <x:c r="F809" s="9" t="str">
        <x:v>Valuation foundations and discounted cash flow</x:v>
      </x:c>
      <x:c r="G809" s="9" t="str">
        <x:v>Curriculum membership. Use this link to move between the topic and its finance area.</x:v>
      </x:c>
      <x:c r="H809" s="9" t="str">
        <x:v>Classification only; this edge is not a causal or calculation relationship.</x:v>
      </x:c>
      <x:c r="I809" s="9" t="str">
        <x:v>Curated curriculum relationship</x:v>
      </x:c>
    </x:row>
    <x:row r="810" ht="58" customHeight="1">
      <x:c r="A810" s="10" t="str">
        <x:v>E0805</x:v>
      </x:c>
      <x:c r="B810" s="10" t="str">
        <x:v>T17.08</x:v>
      </x:c>
      <x:c r="C810" s="10" t="str">
        <x:v>Adjusted present value</x:v>
      </x:c>
      <x:c r="D810" s="14" t="str">
        <x:v>EXPLORE_WITH</x:v>
      </x:c>
      <x:c r="E810" s="10" t="str">
        <x:v>T17.07</x:v>
      </x:c>
      <x:c r="F810" s="10" t="str">
        <x:v>Discounted cash-flow valuation</x:v>
      </x:c>
      <x:c r="G810" s="10" t="str">
        <x:v>Study these together to match cash flows, reinvestment, discount rates and investor claims.</x:v>
      </x:c>
      <x:c r="H810" s="10" t="str">
        <x:v>A topical exploration link, not a claim that one determines the other.</x:v>
      </x:c>
      <x:c r="I810" s="10" t="str">
        <x:v>Curated curriculum relationship</x:v>
      </x:c>
    </x:row>
    <x:row r="811" ht="58" customHeight="1">
      <x:c r="A811" s="9" t="str">
        <x:v>E0806</x:v>
      </x:c>
      <x:c r="B811" s="9" t="str">
        <x:v>T03.01</x:v>
      </x:c>
      <x:c r="C811" s="9" t="str">
        <x:v>Present value and future value</x:v>
      </x:c>
      <x:c r="D811" s="15" t="str">
        <x:v>RECOMMENDED_BEFORE</x:v>
      </x:c>
      <x:c r="E811" s="9" t="str">
        <x:v>T17.08</x:v>
      </x:c>
      <x:c r="F811" s="9" t="str">
        <x:v>Adjusted present value</x:v>
      </x:c>
      <x:c r="G811" s="9" t="str">
        <x:v>Suggested starting knowledge: Present value and future value. It helps you match cash flows, reinvestment, discount rates and investor claims.</x:v>
      </x:c>
      <x:c r="H811" s="9" t="str">
        <x:v>Suggested learning order; learners can still explore freely.</x:v>
      </x:c>
      <x:c r="I811" s="9" t="str">
        <x:v>Curated curriculum relationship</x:v>
      </x:c>
    </x:row>
    <x:row r="812" ht="58" customHeight="1">
      <x:c r="A812" s="10" t="str">
        <x:v>E0807</x:v>
      </x:c>
      <x:c r="B812" s="10" t="str">
        <x:v>T17.09</x:v>
      </x:c>
      <x:c r="C812" s="10" t="str">
        <x:v>Residual income and economic profit valuation</x:v>
      </x:c>
      <x:c r="D812" s="14" t="str">
        <x:v>PART_OF</x:v>
      </x:c>
      <x:c r="E812" s="10" t="str">
        <x:v>D17</x:v>
      </x:c>
      <x:c r="F812" s="10" t="str">
        <x:v>Valuation foundations and discounted cash flow</x:v>
      </x:c>
      <x:c r="G812" s="10" t="str">
        <x:v>Curriculum membership. Use this link to move between the topic and its finance area.</x:v>
      </x:c>
      <x:c r="H812" s="10" t="str">
        <x:v>Classification only; this edge is not a causal or calculation relationship.</x:v>
      </x:c>
      <x:c r="I812" s="10" t="str">
        <x:v>Curated curriculum relationship</x:v>
      </x:c>
    </x:row>
    <x:row r="813" ht="58" customHeight="1">
      <x:c r="A813" s="9" t="str">
        <x:v>E0808</x:v>
      </x:c>
      <x:c r="B813" s="9" t="str">
        <x:v>T17.09</x:v>
      </x:c>
      <x:c r="C813" s="9" t="str">
        <x:v>Residual income and economic profit valuation</x:v>
      </x:c>
      <x:c r="D813" s="15" t="str">
        <x:v>EXPLORE_WITH</x:v>
      </x:c>
      <x:c r="E813" s="9" t="str">
        <x:v>T17.11</x:v>
      </x:c>
      <x:c r="F813" s="9" t="str">
        <x:v>Reinvestment, growth, and return on capital</x:v>
      </x:c>
      <x:c r="G813" s="9" t="str">
        <x:v>Study these together to match cash flows, reinvestment, discount rates and investor claims.</x:v>
      </x:c>
      <x:c r="H813" s="9" t="str">
        <x:v>A topical exploration link, not a claim that one determines the other.</x:v>
      </x:c>
      <x:c r="I813" s="9" t="str">
        <x:v>Curated curriculum relationship</x:v>
      </x:c>
    </x:row>
    <x:row r="814" ht="58" customHeight="1">
      <x:c r="A814" s="10" t="str">
        <x:v>E0809</x:v>
      </x:c>
      <x:c r="B814" s="10" t="str">
        <x:v>T03.01</x:v>
      </x:c>
      <x:c r="C814" s="10" t="str">
        <x:v>Present value and future value</x:v>
      </x:c>
      <x:c r="D814" s="14" t="str">
        <x:v>RECOMMENDED_BEFORE</x:v>
      </x:c>
      <x:c r="E814" s="10" t="str">
        <x:v>T17.09</x:v>
      </x:c>
      <x:c r="F814" s="10" t="str">
        <x:v>Residual income and economic profit valuation</x:v>
      </x:c>
      <x:c r="G814" s="10" t="str">
        <x:v>Suggested starting knowledge: Present value and future value. It helps you match cash flows, reinvestment, discount rates and investor claims.</x:v>
      </x:c>
      <x:c r="H814" s="10" t="str">
        <x:v>Suggested learning order; learners can still explore freely.</x:v>
      </x:c>
      <x:c r="I814" s="10" t="str">
        <x:v>Curated curriculum relationship</x:v>
      </x:c>
    </x:row>
    <x:row r="815" ht="58" customHeight="1">
      <x:c r="A815" s="9" t="str">
        <x:v>E0810</x:v>
      </x:c>
      <x:c r="B815" s="9" t="str">
        <x:v>T17.10</x:v>
      </x:c>
      <x:c r="C815" s="9" t="str">
        <x:v>Forecast horizons and competitive advantage periods</x:v>
      </x:c>
      <x:c r="D815" s="15" t="str">
        <x:v>PART_OF</x:v>
      </x:c>
      <x:c r="E815" s="9" t="str">
        <x:v>D17</x:v>
      </x:c>
      <x:c r="F815" s="9" t="str">
        <x:v>Valuation foundations and discounted cash flow</x:v>
      </x:c>
      <x:c r="G815" s="9" t="str">
        <x:v>Curriculum membership. Use this link to move between the topic and its finance area.</x:v>
      </x:c>
      <x:c r="H815" s="9" t="str">
        <x:v>Classification only; this edge is not a causal or calculation relationship.</x:v>
      </x:c>
      <x:c r="I815" s="9" t="str">
        <x:v>Curated curriculum relationship</x:v>
      </x:c>
    </x:row>
    <x:row r="816" ht="58" customHeight="1">
      <x:c r="A816" s="10" t="str">
        <x:v>E0811</x:v>
      </x:c>
      <x:c r="B816" s="10" t="str">
        <x:v>T17.10</x:v>
      </x:c>
      <x:c r="C816" s="10" t="str">
        <x:v>Forecast horizons and competitive advantage periods</x:v>
      </x:c>
      <x:c r="D816" s="14" t="str">
        <x:v>EXPLORE_WITH</x:v>
      </x:c>
      <x:c r="E816" s="10" t="str">
        <x:v>T17.12</x:v>
      </x:c>
      <x:c r="F816" s="10" t="str">
        <x:v>Terminal growth and terminal value</x:v>
      </x:c>
      <x:c r="G816" s="10" t="str">
        <x:v>Study these together to match cash flows, reinvestment, discount rates and investor claims.</x:v>
      </x:c>
      <x:c r="H816" s="10" t="str">
        <x:v>A topical exploration link, not a claim that one determines the other.</x:v>
      </x:c>
      <x:c r="I816" s="10" t="str">
        <x:v>Curated curriculum relationship</x:v>
      </x:c>
    </x:row>
    <x:row r="817" ht="58" customHeight="1">
      <x:c r="A817" s="9" t="str">
        <x:v>E0812</x:v>
      </x:c>
      <x:c r="B817" s="9" t="str">
        <x:v>T03.01</x:v>
      </x:c>
      <x:c r="C817" s="9" t="str">
        <x:v>Present value and future value</x:v>
      </x:c>
      <x:c r="D817" s="15" t="str">
        <x:v>RECOMMENDED_BEFORE</x:v>
      </x:c>
      <x:c r="E817" s="9" t="str">
        <x:v>T17.10</x:v>
      </x:c>
      <x:c r="F817" s="9" t="str">
        <x:v>Forecast horizons and competitive advantage periods</x:v>
      </x:c>
      <x:c r="G817" s="9" t="str">
        <x:v>Suggested starting knowledge: Present value and future value. It helps you match cash flows, reinvestment, discount rates and investor claims.</x:v>
      </x:c>
      <x:c r="H817" s="9" t="str">
        <x:v>Suggested learning order; learners can still explore freely.</x:v>
      </x:c>
      <x:c r="I817" s="9" t="str">
        <x:v>Curated curriculum relationship</x:v>
      </x:c>
    </x:row>
    <x:row r="818" ht="58" customHeight="1">
      <x:c r="A818" s="10" t="str">
        <x:v>E0813</x:v>
      </x:c>
      <x:c r="B818" s="10" t="str">
        <x:v>T17.11</x:v>
      </x:c>
      <x:c r="C818" s="10" t="str">
        <x:v>Reinvestment, growth, and return on capital</x:v>
      </x:c>
      <x:c r="D818" s="14" t="str">
        <x:v>PART_OF</x:v>
      </x:c>
      <x:c r="E818" s="10" t="str">
        <x:v>D17</x:v>
      </x:c>
      <x:c r="F818" s="10" t="str">
        <x:v>Valuation foundations and discounted cash flow</x:v>
      </x:c>
      <x:c r="G818" s="10" t="str">
        <x:v>Curriculum membership. Use this link to move between the topic and its finance area.</x:v>
      </x:c>
      <x:c r="H818" s="10" t="str">
        <x:v>Classification only; this edge is not a causal or calculation relationship.</x:v>
      </x:c>
      <x:c r="I818" s="10" t="str">
        <x:v>Curated curriculum relationship</x:v>
      </x:c>
    </x:row>
    <x:row r="819" ht="58" customHeight="1">
      <x:c r="A819" s="9" t="str">
        <x:v>E0814</x:v>
      </x:c>
      <x:c r="B819" s="9" t="str">
        <x:v>T17.11</x:v>
      </x:c>
      <x:c r="C819" s="9" t="str">
        <x:v>Reinvestment, growth, and return on capital</x:v>
      </x:c>
      <x:c r="D819" s="15" t="str">
        <x:v>EXPLORE_WITH</x:v>
      </x:c>
      <x:c r="E819" s="9" t="str">
        <x:v>T17.12</x:v>
      </x:c>
      <x:c r="F819" s="9" t="str">
        <x:v>Terminal growth and terminal value</x:v>
      </x:c>
      <x:c r="G819" s="9" t="str">
        <x:v>Study these together to match cash flows, reinvestment, discount rates and investor claims.</x:v>
      </x:c>
      <x:c r="H819" s="9" t="str">
        <x:v>A topical exploration link, not a claim that one determines the other.</x:v>
      </x:c>
      <x:c r="I819" s="9" t="str">
        <x:v>Curated curriculum relationship</x:v>
      </x:c>
    </x:row>
    <x:row r="820" ht="58" customHeight="1">
      <x:c r="A820" s="10" t="str">
        <x:v>E0815</x:v>
      </x:c>
      <x:c r="B820" s="10" t="str">
        <x:v>T03.01</x:v>
      </x:c>
      <x:c r="C820" s="10" t="str">
        <x:v>Present value and future value</x:v>
      </x:c>
      <x:c r="D820" s="14" t="str">
        <x:v>RECOMMENDED_BEFORE</x:v>
      </x:c>
      <x:c r="E820" s="10" t="str">
        <x:v>T17.11</x:v>
      </x:c>
      <x:c r="F820" s="10" t="str">
        <x:v>Reinvestment, growth, and return on capital</x:v>
      </x:c>
      <x:c r="G820" s="10" t="str">
        <x:v>Suggested starting knowledge: Present value and future value. It helps you match cash flows, reinvestment, discount rates and investor claims.</x:v>
      </x:c>
      <x:c r="H820" s="10" t="str">
        <x:v>Suggested learning order; learners can still explore freely.</x:v>
      </x:c>
      <x:c r="I820" s="10" t="str">
        <x:v>Curated curriculum relationship</x:v>
      </x:c>
    </x:row>
    <x:row r="821" ht="58" customHeight="1">
      <x:c r="A821" s="9" t="str">
        <x:v>E0816</x:v>
      </x:c>
      <x:c r="B821" s="9" t="str">
        <x:v>T17.12</x:v>
      </x:c>
      <x:c r="C821" s="9" t="str">
        <x:v>Terminal growth and terminal value</x:v>
      </x:c>
      <x:c r="D821" s="15" t="str">
        <x:v>PART_OF</x:v>
      </x:c>
      <x:c r="E821" s="9" t="str">
        <x:v>D17</x:v>
      </x:c>
      <x:c r="F821" s="9" t="str">
        <x:v>Valuation foundations and discounted cash flow</x:v>
      </x:c>
      <x:c r="G821" s="9" t="str">
        <x:v>Curriculum membership. Use this link to move between the topic and its finance area.</x:v>
      </x:c>
      <x:c r="H821" s="9" t="str">
        <x:v>Classification only; this edge is not a causal or calculation relationship.</x:v>
      </x:c>
      <x:c r="I821" s="9" t="str">
        <x:v>Curated curriculum relationship</x:v>
      </x:c>
    </x:row>
    <x:row r="822" ht="58" customHeight="1">
      <x:c r="A822" s="10" t="str">
        <x:v>E0817</x:v>
      </x:c>
      <x:c r="B822" s="10" t="str">
        <x:v>T17.12</x:v>
      </x:c>
      <x:c r="C822" s="10" t="str">
        <x:v>Terminal growth and terminal value</x:v>
      </x:c>
      <x:c r="D822" s="14" t="str">
        <x:v>EXPLORE_WITH</x:v>
      </x:c>
      <x:c r="E822" s="10" t="str">
        <x:v>T17.11</x:v>
      </x:c>
      <x:c r="F822" s="10" t="str">
        <x:v>Reinvestment, growth, and return on capital</x:v>
      </x:c>
      <x:c r="G822" s="10" t="str">
        <x:v>Study these together to match cash flows, reinvestment, discount rates and investor claims.</x:v>
      </x:c>
      <x:c r="H822" s="10" t="str">
        <x:v>A topical exploration link, not a claim that one determines the other.</x:v>
      </x:c>
      <x:c r="I822" s="10" t="str">
        <x:v>Curated curriculum relationship</x:v>
      </x:c>
    </x:row>
    <x:row r="823" ht="58" customHeight="1">
      <x:c r="A823" s="9" t="str">
        <x:v>E0818</x:v>
      </x:c>
      <x:c r="B823" s="9" t="str">
        <x:v>T03.01</x:v>
      </x:c>
      <x:c r="C823" s="9" t="str">
        <x:v>Present value and future value</x:v>
      </x:c>
      <x:c r="D823" s="15" t="str">
        <x:v>RECOMMENDED_BEFORE</x:v>
      </x:c>
      <x:c r="E823" s="9" t="str">
        <x:v>T17.12</x:v>
      </x:c>
      <x:c r="F823" s="9" t="str">
        <x:v>Terminal growth and terminal value</x:v>
      </x:c>
      <x:c r="G823" s="9" t="str">
        <x:v>Suggested starting knowledge: Present value and future value. It helps you match cash flows, reinvestment, discount rates and investor claims.</x:v>
      </x:c>
      <x:c r="H823" s="9" t="str">
        <x:v>Suggested learning order; learners can still explore freely.</x:v>
      </x:c>
      <x:c r="I823" s="9" t="str">
        <x:v>Curated curriculum relationship</x:v>
      </x:c>
    </x:row>
    <x:row r="824" ht="58" customHeight="1">
      <x:c r="A824" s="10" t="str">
        <x:v>E0819</x:v>
      </x:c>
      <x:c r="B824" s="10" t="str">
        <x:v>T17.13</x:v>
      </x:c>
      <x:c r="C824" s="10" t="str">
        <x:v>Exit-multiple terminal values</x:v>
      </x:c>
      <x:c r="D824" s="14" t="str">
        <x:v>PART_OF</x:v>
      </x:c>
      <x:c r="E824" s="10" t="str">
        <x:v>D17</x:v>
      </x:c>
      <x:c r="F824" s="10" t="str">
        <x:v>Valuation foundations and discounted cash flow</x:v>
      </x:c>
      <x:c r="G824" s="10" t="str">
        <x:v>Curriculum membership. Use this link to move between the topic and its finance area.</x:v>
      </x:c>
      <x:c r="H824" s="10" t="str">
        <x:v>Classification only; this edge is not a causal or calculation relationship.</x:v>
      </x:c>
      <x:c r="I824" s="10" t="str">
        <x:v>Curated curriculum relationship</x:v>
      </x:c>
    </x:row>
    <x:row r="825" ht="58" customHeight="1">
      <x:c r="A825" s="9" t="str">
        <x:v>E0820</x:v>
      </x:c>
      <x:c r="B825" s="9" t="str">
        <x:v>T17.13</x:v>
      </x:c>
      <x:c r="C825" s="9" t="str">
        <x:v>Exit-multiple terminal values</x:v>
      </x:c>
      <x:c r="D825" s="15" t="str">
        <x:v>EXPLORE_WITH</x:v>
      </x:c>
      <x:c r="E825" s="9" t="str">
        <x:v>T17.12</x:v>
      </x:c>
      <x:c r="F825" s="9" t="str">
        <x:v>Terminal growth and terminal value</x:v>
      </x:c>
      <x:c r="G825" s="9" t="str">
        <x:v>Study these together to match cash flows, reinvestment, discount rates and investor claims.</x:v>
      </x:c>
      <x:c r="H825" s="9" t="str">
        <x:v>A topical exploration link, not a claim that one determines the other.</x:v>
      </x:c>
      <x:c r="I825" s="9" t="str">
        <x:v>Curated curriculum relationship</x:v>
      </x:c>
    </x:row>
    <x:row r="826" ht="58" customHeight="1">
      <x:c r="A826" s="10" t="str">
        <x:v>E0821</x:v>
      </x:c>
      <x:c r="B826" s="10" t="str">
        <x:v>T03.01</x:v>
      </x:c>
      <x:c r="C826" s="10" t="str">
        <x:v>Present value and future value</x:v>
      </x:c>
      <x:c r="D826" s="14" t="str">
        <x:v>RECOMMENDED_BEFORE</x:v>
      </x:c>
      <x:c r="E826" s="10" t="str">
        <x:v>T17.13</x:v>
      </x:c>
      <x:c r="F826" s="10" t="str">
        <x:v>Exit-multiple terminal values</x:v>
      </x:c>
      <x:c r="G826" s="10" t="str">
        <x:v>Suggested starting knowledge: Present value and future value. It helps you match cash flows, reinvestment, discount rates and investor claims.</x:v>
      </x:c>
      <x:c r="H826" s="10" t="str">
        <x:v>Suggested learning order; learners can still explore freely.</x:v>
      </x:c>
      <x:c r="I826" s="10" t="str">
        <x:v>Curated curriculum relationship</x:v>
      </x:c>
    </x:row>
    <x:row r="827" ht="58" customHeight="1">
      <x:c r="A827" s="9" t="str">
        <x:v>E0822</x:v>
      </x:c>
      <x:c r="B827" s="9" t="str">
        <x:v>T17.14</x:v>
      </x:c>
      <x:c r="C827" s="9" t="str">
        <x:v>Mid-year discounting and stub periods</x:v>
      </x:c>
      <x:c r="D827" s="15" t="str">
        <x:v>PART_OF</x:v>
      </x:c>
      <x:c r="E827" s="9" t="str">
        <x:v>D17</x:v>
      </x:c>
      <x:c r="F827" s="9" t="str">
        <x:v>Valuation foundations and discounted cash flow</x:v>
      </x:c>
      <x:c r="G827" s="9" t="str">
        <x:v>Curriculum membership. Use this link to move between the topic and its finance area.</x:v>
      </x:c>
      <x:c r="H827" s="9" t="str">
        <x:v>Classification only; this edge is not a causal or calculation relationship.</x:v>
      </x:c>
      <x:c r="I827" s="9" t="str">
        <x:v>Curated curriculum relationship</x:v>
      </x:c>
    </x:row>
    <x:row r="828" ht="58" customHeight="1">
      <x:c r="A828" s="10" t="str">
        <x:v>E0823</x:v>
      </x:c>
      <x:c r="B828" s="10" t="str">
        <x:v>T17.14</x:v>
      </x:c>
      <x:c r="C828" s="10" t="str">
        <x:v>Mid-year discounting and stub periods</x:v>
      </x:c>
      <x:c r="D828" s="14" t="str">
        <x:v>EXPLORE_WITH</x:v>
      </x:c>
      <x:c r="E828" s="10" t="str">
        <x:v>T17.07</x:v>
      </x:c>
      <x:c r="F828" s="10" t="str">
        <x:v>Discounted cash-flow valuation</x:v>
      </x:c>
      <x:c r="G828" s="10" t="str">
        <x:v>Study these together to match cash flows, reinvestment, discount rates and investor claims.</x:v>
      </x:c>
      <x:c r="H828" s="10" t="str">
        <x:v>A topical exploration link, not a claim that one determines the other.</x:v>
      </x:c>
      <x:c r="I828" s="10" t="str">
        <x:v>Curated curriculum relationship</x:v>
      </x:c>
    </x:row>
    <x:row r="829" ht="58" customHeight="1">
      <x:c r="A829" s="9" t="str">
        <x:v>E0824</x:v>
      </x:c>
      <x:c r="B829" s="9" t="str">
        <x:v>T03.01</x:v>
      </x:c>
      <x:c r="C829" s="9" t="str">
        <x:v>Present value and future value</x:v>
      </x:c>
      <x:c r="D829" s="15" t="str">
        <x:v>RECOMMENDED_BEFORE</x:v>
      </x:c>
      <x:c r="E829" s="9" t="str">
        <x:v>T17.14</x:v>
      </x:c>
      <x:c r="F829" s="9" t="str">
        <x:v>Mid-year discounting and stub periods</x:v>
      </x:c>
      <x:c r="G829" s="9" t="str">
        <x:v>Suggested starting knowledge: Present value and future value. It helps you match cash flows, reinvestment, discount rates and investor claims.</x:v>
      </x:c>
      <x:c r="H829" s="9" t="str">
        <x:v>Suggested learning order; learners can still explore freely.</x:v>
      </x:c>
      <x:c r="I829" s="9" t="str">
        <x:v>Curated curriculum relationship</x:v>
      </x:c>
    </x:row>
    <x:row r="830" ht="58" customHeight="1">
      <x:c r="A830" s="10" t="str">
        <x:v>E0825</x:v>
      </x:c>
      <x:c r="B830" s="10" t="str">
        <x:v>T17.15</x:v>
      </x:c>
      <x:c r="C830" s="10" t="str">
        <x:v>Excess cash and non-operating assets</x:v>
      </x:c>
      <x:c r="D830" s="14" t="str">
        <x:v>PART_OF</x:v>
      </x:c>
      <x:c r="E830" s="10" t="str">
        <x:v>D17</x:v>
      </x:c>
      <x:c r="F830" s="10" t="str">
        <x:v>Valuation foundations and discounted cash flow</x:v>
      </x:c>
      <x:c r="G830" s="10" t="str">
        <x:v>Curriculum membership. Use this link to move between the topic and its finance area.</x:v>
      </x:c>
      <x:c r="H830" s="10" t="str">
        <x:v>Classification only; this edge is not a causal or calculation relationship.</x:v>
      </x:c>
      <x:c r="I830" s="10" t="str">
        <x:v>Curated curriculum relationship</x:v>
      </x:c>
    </x:row>
    <x:row r="831" ht="58" customHeight="1">
      <x:c r="A831" s="9" t="str">
        <x:v>E0826</x:v>
      </x:c>
      <x:c r="B831" s="9" t="str">
        <x:v>T17.15</x:v>
      </x:c>
      <x:c r="C831" s="9" t="str">
        <x:v>Excess cash and non-operating assets</x:v>
      </x:c>
      <x:c r="D831" s="15" t="str">
        <x:v>EXPLORE_WITH</x:v>
      </x:c>
      <x:c r="E831" s="9" t="str">
        <x:v>T17.04</x:v>
      </x:c>
      <x:c r="F831" s="9" t="str">
        <x:v>The enterprise-to-equity value bridge</x:v>
      </x:c>
      <x:c r="G831" s="9" t="str">
        <x:v>Study these together to match cash flows, reinvestment, discount rates and investor claims.</x:v>
      </x:c>
      <x:c r="H831" s="9" t="str">
        <x:v>A topical exploration link, not a claim that one determines the other.</x:v>
      </x:c>
      <x:c r="I831" s="9" t="str">
        <x:v>Curated curriculum relationship</x:v>
      </x:c>
    </x:row>
    <x:row r="832" ht="58" customHeight="1">
      <x:c r="A832" s="10" t="str">
        <x:v>E0827</x:v>
      </x:c>
      <x:c r="B832" s="10" t="str">
        <x:v>T03.01</x:v>
      </x:c>
      <x:c r="C832" s="10" t="str">
        <x:v>Present value and future value</x:v>
      </x:c>
      <x:c r="D832" s="14" t="str">
        <x:v>RECOMMENDED_BEFORE</x:v>
      </x:c>
      <x:c r="E832" s="10" t="str">
        <x:v>T17.15</x:v>
      </x:c>
      <x:c r="F832" s="10" t="str">
        <x:v>Excess cash and non-operating assets</x:v>
      </x:c>
      <x:c r="G832" s="10" t="str">
        <x:v>Suggested starting knowledge: Present value and future value. It helps you match cash flows, reinvestment, discount rates and investor claims.</x:v>
      </x:c>
      <x:c r="H832" s="10" t="str">
        <x:v>Suggested learning order; learners can still explore freely.</x:v>
      </x:c>
      <x:c r="I832" s="10" t="str">
        <x:v>Curated curriculum relationship</x:v>
      </x:c>
    </x:row>
    <x:row r="833" ht="58" customHeight="1">
      <x:c r="A833" s="9" t="str">
        <x:v>E0828</x:v>
      </x:c>
      <x:c r="B833" s="9" t="str">
        <x:v>T17.16</x:v>
      </x:c>
      <x:c r="C833" s="9" t="str">
        <x:v>Debt, leases, pension deficits, and minority interests</x:v>
      </x:c>
      <x:c r="D833" s="15" t="str">
        <x:v>PART_OF</x:v>
      </x:c>
      <x:c r="E833" s="9" t="str">
        <x:v>D17</x:v>
      </x:c>
      <x:c r="F833" s="9" t="str">
        <x:v>Valuation foundations and discounted cash flow</x:v>
      </x:c>
      <x:c r="G833" s="9" t="str">
        <x:v>Curriculum membership. Use this link to move between the topic and its finance area.</x:v>
      </x:c>
      <x:c r="H833" s="9" t="str">
        <x:v>Classification only; this edge is not a causal or calculation relationship.</x:v>
      </x:c>
      <x:c r="I833" s="9" t="str">
        <x:v>Curated curriculum relationship</x:v>
      </x:c>
    </x:row>
    <x:row r="834" ht="58" customHeight="1">
      <x:c r="A834" s="10" t="str">
        <x:v>E0829</x:v>
      </x:c>
      <x:c r="B834" s="10" t="str">
        <x:v>T17.16</x:v>
      </x:c>
      <x:c r="C834" s="10" t="str">
        <x:v>Debt, leases, pension deficits, and minority interests</x:v>
      </x:c>
      <x:c r="D834" s="14" t="str">
        <x:v>EXPLORE_WITH</x:v>
      </x:c>
      <x:c r="E834" s="10" t="str">
        <x:v>T17.04</x:v>
      </x:c>
      <x:c r="F834" s="10" t="str">
        <x:v>The enterprise-to-equity value bridge</x:v>
      </x:c>
      <x:c r="G834" s="10" t="str">
        <x:v>Study these together to match cash flows, reinvestment, discount rates and investor claims.</x:v>
      </x:c>
      <x:c r="H834" s="10" t="str">
        <x:v>A topical exploration link, not a claim that one determines the other.</x:v>
      </x:c>
      <x:c r="I834" s="10" t="str">
        <x:v>Curated curriculum relationship</x:v>
      </x:c>
    </x:row>
    <x:row r="835" ht="58" customHeight="1">
      <x:c r="A835" s="9" t="str">
        <x:v>E0830</x:v>
      </x:c>
      <x:c r="B835" s="9" t="str">
        <x:v>T03.01</x:v>
      </x:c>
      <x:c r="C835" s="9" t="str">
        <x:v>Present value and future value</x:v>
      </x:c>
      <x:c r="D835" s="15" t="str">
        <x:v>RECOMMENDED_BEFORE</x:v>
      </x:c>
      <x:c r="E835" s="9" t="str">
        <x:v>T17.16</x:v>
      </x:c>
      <x:c r="F835" s="9" t="str">
        <x:v>Debt, leases, pension deficits, and minority interests</x:v>
      </x:c>
      <x:c r="G835" s="9" t="str">
        <x:v>Suggested starting knowledge: Present value and future value. It helps you match cash flows, reinvestment, discount rates and investor claims.</x:v>
      </x:c>
      <x:c r="H835" s="9" t="str">
        <x:v>Suggested learning order; learners can still explore freely.</x:v>
      </x:c>
      <x:c r="I835" s="9" t="str">
        <x:v>Curated curriculum relationship</x:v>
      </x:c>
    </x:row>
    <x:row r="836" ht="58" customHeight="1">
      <x:c r="A836" s="10" t="str">
        <x:v>E0831</x:v>
      </x:c>
      <x:c r="B836" s="10" t="str">
        <x:v>T17.17</x:v>
      </x:c>
      <x:c r="C836" s="10" t="str">
        <x:v>Share dilution, options, and restricted stock</x:v>
      </x:c>
      <x:c r="D836" s="14" t="str">
        <x:v>PART_OF</x:v>
      </x:c>
      <x:c r="E836" s="10" t="str">
        <x:v>D17</x:v>
      </x:c>
      <x:c r="F836" s="10" t="str">
        <x:v>Valuation foundations and discounted cash flow</x:v>
      </x:c>
      <x:c r="G836" s="10" t="str">
        <x:v>Curriculum membership. Use this link to move between the topic and its finance area.</x:v>
      </x:c>
      <x:c r="H836" s="10" t="str">
        <x:v>Classification only; this edge is not a causal or calculation relationship.</x:v>
      </x:c>
      <x:c r="I836" s="10" t="str">
        <x:v>Curated curriculum relationship</x:v>
      </x:c>
    </x:row>
    <x:row r="837" ht="58" customHeight="1">
      <x:c r="A837" s="9" t="str">
        <x:v>E0832</x:v>
      </x:c>
      <x:c r="B837" s="9" t="str">
        <x:v>T17.17</x:v>
      </x:c>
      <x:c r="C837" s="9" t="str">
        <x:v>Share dilution, options, and restricted stock</x:v>
      </x:c>
      <x:c r="D837" s="15" t="str">
        <x:v>EXPLORE_WITH</x:v>
      </x:c>
      <x:c r="E837" s="9" t="str">
        <x:v>T17.04</x:v>
      </x:c>
      <x:c r="F837" s="9" t="str">
        <x:v>The enterprise-to-equity value bridge</x:v>
      </x:c>
      <x:c r="G837" s="9" t="str">
        <x:v>Study these together to match cash flows, reinvestment, discount rates and investor claims.</x:v>
      </x:c>
      <x:c r="H837" s="9" t="str">
        <x:v>A topical exploration link, not a claim that one determines the other.</x:v>
      </x:c>
      <x:c r="I837" s="9" t="str">
        <x:v>Curated curriculum relationship</x:v>
      </x:c>
    </x:row>
    <x:row r="838" ht="58" customHeight="1">
      <x:c r="A838" s="10" t="str">
        <x:v>E0833</x:v>
      </x:c>
      <x:c r="B838" s="10" t="str">
        <x:v>T03.01</x:v>
      </x:c>
      <x:c r="C838" s="10" t="str">
        <x:v>Present value and future value</x:v>
      </x:c>
      <x:c r="D838" s="14" t="str">
        <x:v>RECOMMENDED_BEFORE</x:v>
      </x:c>
      <x:c r="E838" s="10" t="str">
        <x:v>T17.17</x:v>
      </x:c>
      <x:c r="F838" s="10" t="str">
        <x:v>Share dilution, options, and restricted stock</x:v>
      </x:c>
      <x:c r="G838" s="10" t="str">
        <x:v>Suggested starting knowledge: Present value and future value. It helps you match cash flows, reinvestment, discount rates and investor claims.</x:v>
      </x:c>
      <x:c r="H838" s="10" t="str">
        <x:v>Suggested learning order; learners can still explore freely.</x:v>
      </x:c>
      <x:c r="I838" s="10" t="str">
        <x:v>Curated curriculum relationship</x:v>
      </x:c>
    </x:row>
    <x:row r="839" ht="58" customHeight="1">
      <x:c r="A839" s="9" t="str">
        <x:v>E0834</x:v>
      </x:c>
      <x:c r="B839" s="9" t="str">
        <x:v>T17.18</x:v>
      </x:c>
      <x:c r="C839" s="9" t="str">
        <x:v>Sensitivity analysis, scenarios, and reverse DCF</x:v>
      </x:c>
      <x:c r="D839" s="15" t="str">
        <x:v>PART_OF</x:v>
      </x:c>
      <x:c r="E839" s="9" t="str">
        <x:v>D17</x:v>
      </x:c>
      <x:c r="F839" s="9" t="str">
        <x:v>Valuation foundations and discounted cash flow</x:v>
      </x:c>
      <x:c r="G839" s="9" t="str">
        <x:v>Curriculum membership. Use this link to move between the topic and its finance area.</x:v>
      </x:c>
      <x:c r="H839" s="9" t="str">
        <x:v>Classification only; this edge is not a causal or calculation relationship.</x:v>
      </x:c>
      <x:c r="I839" s="9" t="str">
        <x:v>Curated curriculum relationship</x:v>
      </x:c>
    </x:row>
    <x:row r="840" ht="58" customHeight="1">
      <x:c r="A840" s="10" t="str">
        <x:v>E0835</x:v>
      </x:c>
      <x:c r="B840" s="10" t="str">
        <x:v>T17.18</x:v>
      </x:c>
      <x:c r="C840" s="10" t="str">
        <x:v>Sensitivity analysis, scenarios, and reverse DCF</x:v>
      </x:c>
      <x:c r="D840" s="14" t="str">
        <x:v>EXPLORE_WITH</x:v>
      </x:c>
      <x:c r="E840" s="10" t="str">
        <x:v>T17.19</x:v>
      </x:c>
      <x:c r="F840" s="10" t="str">
        <x:v>Valuation ranges and uncertainty</x:v>
      </x:c>
      <x:c r="G840" s="10" t="str">
        <x:v>Study these together to match cash flows, reinvestment, discount rates and investor claims.</x:v>
      </x:c>
      <x:c r="H840" s="10" t="str">
        <x:v>A topical exploration link, not a claim that one determines the other.</x:v>
      </x:c>
      <x:c r="I840" s="10" t="str">
        <x:v>Curated curriculum relationship</x:v>
      </x:c>
    </x:row>
    <x:row r="841" ht="58" customHeight="1">
      <x:c r="A841" s="9" t="str">
        <x:v>E0836</x:v>
      </x:c>
      <x:c r="B841" s="9" t="str">
        <x:v>T03.01</x:v>
      </x:c>
      <x:c r="C841" s="9" t="str">
        <x:v>Present value and future value</x:v>
      </x:c>
      <x:c r="D841" s="15" t="str">
        <x:v>RECOMMENDED_BEFORE</x:v>
      </x:c>
      <x:c r="E841" s="9" t="str">
        <x:v>T17.18</x:v>
      </x:c>
      <x:c r="F841" s="9" t="str">
        <x:v>Sensitivity analysis, scenarios, and reverse DCF</x:v>
      </x:c>
      <x:c r="G841" s="9" t="str">
        <x:v>Suggested starting knowledge: Present value and future value. It helps you match cash flows, reinvestment, discount rates and investor claims.</x:v>
      </x:c>
      <x:c r="H841" s="9" t="str">
        <x:v>Suggested learning order; learners can still explore freely.</x:v>
      </x:c>
      <x:c r="I841" s="9" t="str">
        <x:v>Curated curriculum relationship</x:v>
      </x:c>
    </x:row>
    <x:row r="842" ht="58" customHeight="1">
      <x:c r="A842" s="10" t="str">
        <x:v>E0837</x:v>
      </x:c>
      <x:c r="B842" s="10" t="str">
        <x:v>T17.19</x:v>
      </x:c>
      <x:c r="C842" s="10" t="str">
        <x:v>Valuation ranges and uncertainty</x:v>
      </x:c>
      <x:c r="D842" s="14" t="str">
        <x:v>PART_OF</x:v>
      </x:c>
      <x:c r="E842" s="10" t="str">
        <x:v>D17</x:v>
      </x:c>
      <x:c r="F842" s="10" t="str">
        <x:v>Valuation foundations and discounted cash flow</x:v>
      </x:c>
      <x:c r="G842" s="10" t="str">
        <x:v>Curriculum membership. Use this link to move between the topic and its finance area.</x:v>
      </x:c>
      <x:c r="H842" s="10" t="str">
        <x:v>Classification only; this edge is not a causal or calculation relationship.</x:v>
      </x:c>
      <x:c r="I842" s="10" t="str">
        <x:v>Curated curriculum relationship</x:v>
      </x:c>
    </x:row>
    <x:row r="843" ht="58" customHeight="1">
      <x:c r="A843" s="9" t="str">
        <x:v>E0838</x:v>
      </x:c>
      <x:c r="B843" s="9" t="str">
        <x:v>T17.19</x:v>
      </x:c>
      <x:c r="C843" s="9" t="str">
        <x:v>Valuation ranges and uncertainty</x:v>
      </x:c>
      <x:c r="D843" s="15" t="str">
        <x:v>EXPLORE_WITH</x:v>
      </x:c>
      <x:c r="E843" s="9" t="str">
        <x:v>T17.18</x:v>
      </x:c>
      <x:c r="F843" s="9" t="str">
        <x:v>Sensitivity analysis, scenarios, and reverse DCF</x:v>
      </x:c>
      <x:c r="G843" s="9" t="str">
        <x:v>Study these together to match cash flows, reinvestment, discount rates and investor claims.</x:v>
      </x:c>
      <x:c r="H843" s="9" t="str">
        <x:v>A topical exploration link, not a claim that one determines the other.</x:v>
      </x:c>
      <x:c r="I843" s="9" t="str">
        <x:v>Curated curriculum relationship</x:v>
      </x:c>
    </x:row>
    <x:row r="844" ht="58" customHeight="1">
      <x:c r="A844" s="10" t="str">
        <x:v>E0839</x:v>
      </x:c>
      <x:c r="B844" s="10" t="str">
        <x:v>T03.01</x:v>
      </x:c>
      <x:c r="C844" s="10" t="str">
        <x:v>Present value and future value</x:v>
      </x:c>
      <x:c r="D844" s="14" t="str">
        <x:v>RECOMMENDED_BEFORE</x:v>
      </x:c>
      <x:c r="E844" s="10" t="str">
        <x:v>T17.19</x:v>
      </x:c>
      <x:c r="F844" s="10" t="str">
        <x:v>Valuation ranges and uncertainty</x:v>
      </x:c>
      <x:c r="G844" s="10" t="str">
        <x:v>Suggested starting knowledge: Present value and future value. It helps you match cash flows, reinvestment, discount rates and investor claims.</x:v>
      </x:c>
      <x:c r="H844" s="10" t="str">
        <x:v>Suggested learning order; learners can still explore freely.</x:v>
      </x:c>
      <x:c r="I844" s="10" t="str">
        <x:v>Curated curriculum relationship</x:v>
      </x:c>
    </x:row>
    <x:row r="845" ht="58" customHeight="1">
      <x:c r="A845" s="9" t="str">
        <x:v>E0840</x:v>
      </x:c>
      <x:c r="B845" s="9" t="str">
        <x:v>T18.01</x:v>
      </x:c>
      <x:c r="C845" s="9" t="str">
        <x:v>Comparable-company selection</x:v>
      </x:c>
      <x:c r="D845" s="15" t="str">
        <x:v>PART_OF</x:v>
      </x:c>
      <x:c r="E845" s="9" t="str">
        <x:v>D18</x:v>
      </x:c>
      <x:c r="F845" s="9" t="str">
        <x:v>Relative valuation and specialist valuation</x:v>
      </x:c>
      <x:c r="G845" s="9" t="str">
        <x:v>Curriculum membership. Use this link to move between the topic and its finance area.</x:v>
      </x:c>
      <x:c r="H845" s="9" t="str">
        <x:v>Classification only; this edge is not a causal or calculation relationship.</x:v>
      </x:c>
      <x:c r="I845" s="9" t="str">
        <x:v>Curated curriculum relationship</x:v>
      </x:c>
    </x:row>
    <x:row r="846" ht="58" customHeight="1">
      <x:c r="A846" s="10" t="str">
        <x:v>E0841</x:v>
      </x:c>
      <x:c r="B846" s="10" t="str">
        <x:v>T18.01</x:v>
      </x:c>
      <x:c r="C846" s="10" t="str">
        <x:v>Comparable-company selection</x:v>
      </x:c>
      <x:c r="D846" s="14" t="str">
        <x:v>EXPLORE_WITH</x:v>
      </x:c>
      <x:c r="E846" s="10" t="str">
        <x:v>T18.07</x:v>
      </x:c>
      <x:c r="F846" s="10" t="str">
        <x:v>Normalising earnings and accounting differences</x:v>
      </x:c>
      <x:c r="G846" s="10" t="str">
        <x:v>Study these together to compare value using economically comparable businesses and consistent measures.</x:v>
      </x:c>
      <x:c r="H846" s="10" t="str">
        <x:v>A topical exploration link, not a claim that one determines the other.</x:v>
      </x:c>
      <x:c r="I846" s="10" t="str">
        <x:v>Curated curriculum relationship</x:v>
      </x:c>
    </x:row>
    <x:row r="847" ht="58" customHeight="1">
      <x:c r="A847" s="9" t="str">
        <x:v>E0842</x:v>
      </x:c>
      <x:c r="B847" s="9" t="str">
        <x:v>T17.03</x:v>
      </x:c>
      <x:c r="C847" s="9" t="str">
        <x:v>Enterprise value versus equity value</x:v>
      </x:c>
      <x:c r="D847" s="15" t="str">
        <x:v>RECOMMENDED_BEFORE</x:v>
      </x:c>
      <x:c r="E847" s="9" t="str">
        <x:v>T18.01</x:v>
      </x:c>
      <x:c r="F847" s="9" t="str">
        <x:v>Comparable-company selection</x:v>
      </x:c>
      <x:c r="G847" s="9" t="str">
        <x:v>Suggested starting knowledge: Enterprise value versus equity value. It helps you compare value using economically comparable businesses and consistent measures.</x:v>
      </x:c>
      <x:c r="H847" s="9" t="str">
        <x:v>Suggested learning order; learners can still explore freely.</x:v>
      </x:c>
      <x:c r="I847" s="9" t="str">
        <x:v>Curated curriculum relationship</x:v>
      </x:c>
    </x:row>
    <x:row r="848" ht="58" customHeight="1">
      <x:c r="A848" s="10" t="str">
        <x:v>E0843</x:v>
      </x:c>
      <x:c r="B848" s="10" t="str">
        <x:v>T18.02</x:v>
      </x:c>
      <x:c r="C848" s="10" t="str">
        <x:v>Comparable transaction analysis</x:v>
      </x:c>
      <x:c r="D848" s="14" t="str">
        <x:v>PART_OF</x:v>
      </x:c>
      <x:c r="E848" s="10" t="str">
        <x:v>D18</x:v>
      </x:c>
      <x:c r="F848" s="10" t="str">
        <x:v>Relative valuation and specialist valuation</x:v>
      </x:c>
      <x:c r="G848" s="10" t="str">
        <x:v>Curriculum membership. Use this link to move between the topic and its finance area.</x:v>
      </x:c>
      <x:c r="H848" s="10" t="str">
        <x:v>Classification only; this edge is not a causal or calculation relationship.</x:v>
      </x:c>
      <x:c r="I848" s="10" t="str">
        <x:v>Curated curriculum relationship</x:v>
      </x:c>
    </x:row>
    <x:row r="849" ht="58" customHeight="1">
      <x:c r="A849" s="9" t="str">
        <x:v>E0844</x:v>
      </x:c>
      <x:c r="B849" s="9" t="str">
        <x:v>T18.02</x:v>
      </x:c>
      <x:c r="C849" s="9" t="str">
        <x:v>Comparable transaction analysis</x:v>
      </x:c>
      <x:c r="D849" s="15" t="str">
        <x:v>EXPLORE_WITH</x:v>
      </x:c>
      <x:c r="E849" s="9" t="str">
        <x:v>T18.18</x:v>
      </x:c>
      <x:c r="F849" s="9" t="str">
        <x:v>Business valuation versus transaction pricing</x:v>
      </x:c>
      <x:c r="G849" s="9" t="str">
        <x:v>Study these together to compare value using economically comparable businesses and consistent measures.</x:v>
      </x:c>
      <x:c r="H849" s="9" t="str">
        <x:v>A topical exploration link, not a claim that one determines the other.</x:v>
      </x:c>
      <x:c r="I849" s="9" t="str">
        <x:v>Curated curriculum relationship</x:v>
      </x:c>
    </x:row>
    <x:row r="850" ht="58" customHeight="1">
      <x:c r="A850" s="10" t="str">
        <x:v>E0845</x:v>
      </x:c>
      <x:c r="B850" s="10" t="str">
        <x:v>T17.03</x:v>
      </x:c>
      <x:c r="C850" s="10" t="str">
        <x:v>Enterprise value versus equity value</x:v>
      </x:c>
      <x:c r="D850" s="14" t="str">
        <x:v>RECOMMENDED_BEFORE</x:v>
      </x:c>
      <x:c r="E850" s="10" t="str">
        <x:v>T18.02</x:v>
      </x:c>
      <x:c r="F850" s="10" t="str">
        <x:v>Comparable transaction analysis</x:v>
      </x:c>
      <x:c r="G850" s="10" t="str">
        <x:v>Suggested starting knowledge: Enterprise value versus equity value. It helps you compare value using economically comparable businesses and consistent measures.</x:v>
      </x:c>
      <x:c r="H850" s="10" t="str">
        <x:v>Suggested learning order; learners can still explore freely.</x:v>
      </x:c>
      <x:c r="I850" s="10" t="str">
        <x:v>Curated curriculum relationship</x:v>
      </x:c>
    </x:row>
    <x:row r="851" ht="58" customHeight="1">
      <x:c r="A851" s="9" t="str">
        <x:v>E0846</x:v>
      </x:c>
      <x:c r="B851" s="9" t="str">
        <x:v>T18.03</x:v>
      </x:c>
      <x:c r="C851" s="9" t="str">
        <x:v>Trailing versus forward multiples</x:v>
      </x:c>
      <x:c r="D851" s="15" t="str">
        <x:v>PART_OF</x:v>
      </x:c>
      <x:c r="E851" s="9" t="str">
        <x:v>D18</x:v>
      </x:c>
      <x:c r="F851" s="9" t="str">
        <x:v>Relative valuation and specialist valuation</x:v>
      </x:c>
      <x:c r="G851" s="9" t="str">
        <x:v>Curriculum membership. Use this link to move between the topic and its finance area.</x:v>
      </x:c>
      <x:c r="H851" s="9" t="str">
        <x:v>Classification only; this edge is not a causal or calculation relationship.</x:v>
      </x:c>
      <x:c r="I851" s="9" t="str">
        <x:v>Curated curriculum relationship</x:v>
      </x:c>
    </x:row>
    <x:row r="852" ht="58" customHeight="1">
      <x:c r="A852" s="10" t="str">
        <x:v>E0847</x:v>
      </x:c>
      <x:c r="B852" s="10" t="str">
        <x:v>T18.03</x:v>
      </x:c>
      <x:c r="C852" s="10" t="str">
        <x:v>Trailing versus forward multiples</x:v>
      </x:c>
      <x:c r="D852" s="14" t="str">
        <x:v>EXPLORE_WITH</x:v>
      </x:c>
      <x:c r="E852" s="10" t="str">
        <x:v>T18.07</x:v>
      </x:c>
      <x:c r="F852" s="10" t="str">
        <x:v>Normalising earnings and accounting differences</x:v>
      </x:c>
      <x:c r="G852" s="10" t="str">
        <x:v>Study these together to compare value using economically comparable businesses and consistent measures.</x:v>
      </x:c>
      <x:c r="H852" s="10" t="str">
        <x:v>A topical exploration link, not a claim that one determines the other.</x:v>
      </x:c>
      <x:c r="I852" s="10" t="str">
        <x:v>Curated curriculum relationship</x:v>
      </x:c>
    </x:row>
    <x:row r="853" ht="58" customHeight="1">
      <x:c r="A853" s="9" t="str">
        <x:v>E0848</x:v>
      </x:c>
      <x:c r="B853" s="9" t="str">
        <x:v>T17.03</x:v>
      </x:c>
      <x:c r="C853" s="9" t="str">
        <x:v>Enterprise value versus equity value</x:v>
      </x:c>
      <x:c r="D853" s="15" t="str">
        <x:v>RECOMMENDED_BEFORE</x:v>
      </x:c>
      <x:c r="E853" s="9" t="str">
        <x:v>T18.03</x:v>
      </x:c>
      <x:c r="F853" s="9" t="str">
        <x:v>Trailing versus forward multiples</x:v>
      </x:c>
      <x:c r="G853" s="9" t="str">
        <x:v>Suggested starting knowledge: Enterprise value versus equity value. It helps you compare value using economically comparable businesses and consistent measures.</x:v>
      </x:c>
      <x:c r="H853" s="9" t="str">
        <x:v>Suggested learning order; learners can still explore freely.</x:v>
      </x:c>
      <x:c r="I853" s="9" t="str">
        <x:v>Curated curriculum relationship</x:v>
      </x:c>
    </x:row>
    <x:row r="854" ht="58" customHeight="1">
      <x:c r="A854" s="10" t="str">
        <x:v>E0849</x:v>
      </x:c>
      <x:c r="B854" s="10" t="str">
        <x:v>T18.04</x:v>
      </x:c>
      <x:c r="C854" s="10" t="str">
        <x:v>P/E, PEG, P/B, and P/S</x:v>
      </x:c>
      <x:c r="D854" s="14" t="str">
        <x:v>PART_OF</x:v>
      </x:c>
      <x:c r="E854" s="10" t="str">
        <x:v>D18</x:v>
      </x:c>
      <x:c r="F854" s="10" t="str">
        <x:v>Relative valuation and specialist valuation</x:v>
      </x:c>
      <x:c r="G854" s="10" t="str">
        <x:v>Curriculum membership. Use this link to move between the topic and its finance area.</x:v>
      </x:c>
      <x:c r="H854" s="10" t="str">
        <x:v>Classification only; this edge is not a causal or calculation relationship.</x:v>
      </x:c>
      <x:c r="I854" s="10" t="str">
        <x:v>Curated curriculum relationship</x:v>
      </x:c>
    </x:row>
    <x:row r="855" ht="58" customHeight="1">
      <x:c r="A855" s="9" t="str">
        <x:v>E0850</x:v>
      </x:c>
      <x:c r="B855" s="9" t="str">
        <x:v>T18.04</x:v>
      </x:c>
      <x:c r="C855" s="9" t="str">
        <x:v>P/E, PEG, P/B, and P/S</x:v>
      </x:c>
      <x:c r="D855" s="15" t="str">
        <x:v>EXPLORE_WITH</x:v>
      </x:c>
      <x:c r="E855" s="9" t="str">
        <x:v>T18.08</x:v>
      </x:c>
      <x:c r="F855" s="9" t="str">
        <x:v>Growth, risk, margins, and returns as multiple drivers</x:v>
      </x:c>
      <x:c r="G855" s="9" t="str">
        <x:v>Study these together to compare value using economically comparable businesses and consistent measures.</x:v>
      </x:c>
      <x:c r="H855" s="9" t="str">
        <x:v>A topical exploration link, not a claim that one determines the other.</x:v>
      </x:c>
      <x:c r="I855" s="9" t="str">
        <x:v>Curated curriculum relationship</x:v>
      </x:c>
    </x:row>
    <x:row r="856" ht="58" customHeight="1">
      <x:c r="A856" s="10" t="str">
        <x:v>E0851</x:v>
      </x:c>
      <x:c r="B856" s="10" t="str">
        <x:v>T17.03</x:v>
      </x:c>
      <x:c r="C856" s="10" t="str">
        <x:v>Enterprise value versus equity value</x:v>
      </x:c>
      <x:c r="D856" s="14" t="str">
        <x:v>RECOMMENDED_BEFORE</x:v>
      </x:c>
      <x:c r="E856" s="10" t="str">
        <x:v>T18.04</x:v>
      </x:c>
      <x:c r="F856" s="10" t="str">
        <x:v>P/E, PEG, P/B, and P/S</x:v>
      </x:c>
      <x:c r="G856" s="10" t="str">
        <x:v>Suggested starting knowledge: Enterprise value versus equity value. It helps you compare value using economically comparable businesses and consistent measures.</x:v>
      </x:c>
      <x:c r="H856" s="10" t="str">
        <x:v>Suggested learning order; learners can still explore freely.</x:v>
      </x:c>
      <x:c r="I856" s="10" t="str">
        <x:v>Curated curriculum relationship</x:v>
      </x:c>
    </x:row>
    <x:row r="857" ht="58" customHeight="1">
      <x:c r="A857" s="9" t="str">
        <x:v>E0852</x:v>
      </x:c>
      <x:c r="B857" s="9" t="str">
        <x:v>T18.05</x:v>
      </x:c>
      <x:c r="C857" s="9" t="str">
        <x:v>EV/revenue, EV/EBITDA, and EV/EBIT</x:v>
      </x:c>
      <x:c r="D857" s="15" t="str">
        <x:v>PART_OF</x:v>
      </x:c>
      <x:c r="E857" s="9" t="str">
        <x:v>D18</x:v>
      </x:c>
      <x:c r="F857" s="9" t="str">
        <x:v>Relative valuation and specialist valuation</x:v>
      </x:c>
      <x:c r="G857" s="9" t="str">
        <x:v>Curriculum membership. Use this link to move between the topic and its finance area.</x:v>
      </x:c>
      <x:c r="H857" s="9" t="str">
        <x:v>Classification only; this edge is not a causal or calculation relationship.</x:v>
      </x:c>
      <x:c r="I857" s="9" t="str">
        <x:v>Curated curriculum relationship</x:v>
      </x:c>
    </x:row>
    <x:row r="858" ht="58" customHeight="1">
      <x:c r="A858" s="10" t="str">
        <x:v>E0853</x:v>
      </x:c>
      <x:c r="B858" s="10" t="str">
        <x:v>T18.05</x:v>
      </x:c>
      <x:c r="C858" s="10" t="str">
        <x:v>EV/revenue, EV/EBITDA, and EV/EBIT</x:v>
      </x:c>
      <x:c r="D858" s="14" t="str">
        <x:v>EXPLORE_WITH</x:v>
      </x:c>
      <x:c r="E858" s="10" t="str">
        <x:v>T18.08</x:v>
      </x:c>
      <x:c r="F858" s="10" t="str">
        <x:v>Growth, risk, margins, and returns as multiple drivers</x:v>
      </x:c>
      <x:c r="G858" s="10" t="str">
        <x:v>Study these together to compare value using economically comparable businesses and consistent measures.</x:v>
      </x:c>
      <x:c r="H858" s="10" t="str">
        <x:v>A topical exploration link, not a claim that one determines the other.</x:v>
      </x:c>
      <x:c r="I858" s="10" t="str">
        <x:v>Curated curriculum relationship</x:v>
      </x:c>
    </x:row>
    <x:row r="859" ht="58" customHeight="1">
      <x:c r="A859" s="9" t="str">
        <x:v>E0854</x:v>
      </x:c>
      <x:c r="B859" s="9" t="str">
        <x:v>T17.03</x:v>
      </x:c>
      <x:c r="C859" s="9" t="str">
        <x:v>Enterprise value versus equity value</x:v>
      </x:c>
      <x:c r="D859" s="15" t="str">
        <x:v>RECOMMENDED_BEFORE</x:v>
      </x:c>
      <x:c r="E859" s="9" t="str">
        <x:v>T18.05</x:v>
      </x:c>
      <x:c r="F859" s="9" t="str">
        <x:v>EV/revenue, EV/EBITDA, and EV/EBIT</x:v>
      </x:c>
      <x:c r="G859" s="9" t="str">
        <x:v>Suggested starting knowledge: Enterprise value versus equity value. It helps you compare value using economically comparable businesses and consistent measures.</x:v>
      </x:c>
      <x:c r="H859" s="9" t="str">
        <x:v>Suggested learning order; learners can still explore freely.</x:v>
      </x:c>
      <x:c r="I859" s="9" t="str">
        <x:v>Curated curriculum relationship</x:v>
      </x:c>
    </x:row>
    <x:row r="860" ht="58" customHeight="1">
      <x:c r="A860" s="10" t="str">
        <x:v>E0855</x:v>
      </x:c>
      <x:c r="B860" s="10" t="str">
        <x:v>T18.06</x:v>
      </x:c>
      <x:c r="C860" s="10" t="str">
        <x:v>Cash-flow and sector-specific multiples</x:v>
      </x:c>
      <x:c r="D860" s="14" t="str">
        <x:v>PART_OF</x:v>
      </x:c>
      <x:c r="E860" s="10" t="str">
        <x:v>D18</x:v>
      </x:c>
      <x:c r="F860" s="10" t="str">
        <x:v>Relative valuation and specialist valuation</x:v>
      </x:c>
      <x:c r="G860" s="10" t="str">
        <x:v>Curriculum membership. Use this link to move between the topic and its finance area.</x:v>
      </x:c>
      <x:c r="H860" s="10" t="str">
        <x:v>Classification only; this edge is not a causal or calculation relationship.</x:v>
      </x:c>
      <x:c r="I860" s="10" t="str">
        <x:v>Curated curriculum relationship</x:v>
      </x:c>
    </x:row>
    <x:row r="861" ht="58" customHeight="1">
      <x:c r="A861" s="9" t="str">
        <x:v>E0856</x:v>
      </x:c>
      <x:c r="B861" s="9" t="str">
        <x:v>T18.06</x:v>
      </x:c>
      <x:c r="C861" s="9" t="str">
        <x:v>Cash-flow and sector-specific multiples</x:v>
      </x:c>
      <x:c r="D861" s="15" t="str">
        <x:v>EXPLORE_WITH</x:v>
      </x:c>
      <x:c r="E861" s="9" t="str">
        <x:v>T18.08</x:v>
      </x:c>
      <x:c r="F861" s="9" t="str">
        <x:v>Growth, risk, margins, and returns as multiple drivers</x:v>
      </x:c>
      <x:c r="G861" s="9" t="str">
        <x:v>Study these together to compare value using economically comparable businesses and consistent measures.</x:v>
      </x:c>
      <x:c r="H861" s="9" t="str">
        <x:v>A topical exploration link, not a claim that one determines the other.</x:v>
      </x:c>
      <x:c r="I861" s="9" t="str">
        <x:v>Curated curriculum relationship</x:v>
      </x:c>
    </x:row>
    <x:row r="862" ht="58" customHeight="1">
      <x:c r="A862" s="10" t="str">
        <x:v>E0857</x:v>
      </x:c>
      <x:c r="B862" s="10" t="str">
        <x:v>T17.03</x:v>
      </x:c>
      <x:c r="C862" s="10" t="str">
        <x:v>Enterprise value versus equity value</x:v>
      </x:c>
      <x:c r="D862" s="14" t="str">
        <x:v>RECOMMENDED_BEFORE</x:v>
      </x:c>
      <x:c r="E862" s="10" t="str">
        <x:v>T18.06</x:v>
      </x:c>
      <x:c r="F862" s="10" t="str">
        <x:v>Cash-flow and sector-specific multiples</x:v>
      </x:c>
      <x:c r="G862" s="10" t="str">
        <x:v>Suggested starting knowledge: Enterprise value versus equity value. It helps you compare value using economically comparable businesses and consistent measures.</x:v>
      </x:c>
      <x:c r="H862" s="10" t="str">
        <x:v>Suggested learning order; learners can still explore freely.</x:v>
      </x:c>
      <x:c r="I862" s="10" t="str">
        <x:v>Curated curriculum relationship</x:v>
      </x:c>
    </x:row>
    <x:row r="863" ht="58" customHeight="1">
      <x:c r="A863" s="9" t="str">
        <x:v>E0858</x:v>
      </x:c>
      <x:c r="B863" s="9" t="str">
        <x:v>T18.07</x:v>
      </x:c>
      <x:c r="C863" s="9" t="str">
        <x:v>Normalising earnings and accounting differences</x:v>
      </x:c>
      <x:c r="D863" s="15" t="str">
        <x:v>PART_OF</x:v>
      </x:c>
      <x:c r="E863" s="9" t="str">
        <x:v>D18</x:v>
      </x:c>
      <x:c r="F863" s="9" t="str">
        <x:v>Relative valuation and specialist valuation</x:v>
      </x:c>
      <x:c r="G863" s="9" t="str">
        <x:v>Curriculum membership. Use this link to move between the topic and its finance area.</x:v>
      </x:c>
      <x:c r="H863" s="9" t="str">
        <x:v>Classification only; this edge is not a causal or calculation relationship.</x:v>
      </x:c>
      <x:c r="I863" s="9" t="str">
        <x:v>Curated curriculum relationship</x:v>
      </x:c>
    </x:row>
    <x:row r="864" ht="58" customHeight="1">
      <x:c r="A864" s="10" t="str">
        <x:v>E0859</x:v>
      </x:c>
      <x:c r="B864" s="10" t="str">
        <x:v>T18.07</x:v>
      </x:c>
      <x:c r="C864" s="10" t="str">
        <x:v>Normalising earnings and accounting differences</x:v>
      </x:c>
      <x:c r="D864" s="14" t="str">
        <x:v>EXPLORE_WITH</x:v>
      </x:c>
      <x:c r="E864" s="10" t="str">
        <x:v>T18.03</x:v>
      </x:c>
      <x:c r="F864" s="10" t="str">
        <x:v>Trailing versus forward multiples</x:v>
      </x:c>
      <x:c r="G864" s="10" t="str">
        <x:v>Study these together to compare value using economically comparable businesses and consistent measures.</x:v>
      </x:c>
      <x:c r="H864" s="10" t="str">
        <x:v>A topical exploration link, not a claim that one determines the other.</x:v>
      </x:c>
      <x:c r="I864" s="10" t="str">
        <x:v>Curated curriculum relationship</x:v>
      </x:c>
    </x:row>
    <x:row r="865" ht="58" customHeight="1">
      <x:c r="A865" s="9" t="str">
        <x:v>E0860</x:v>
      </x:c>
      <x:c r="B865" s="9" t="str">
        <x:v>T17.03</x:v>
      </x:c>
      <x:c r="C865" s="9" t="str">
        <x:v>Enterprise value versus equity value</x:v>
      </x:c>
      <x:c r="D865" s="15" t="str">
        <x:v>RECOMMENDED_BEFORE</x:v>
      </x:c>
      <x:c r="E865" s="9" t="str">
        <x:v>T18.07</x:v>
      </x:c>
      <x:c r="F865" s="9" t="str">
        <x:v>Normalising earnings and accounting differences</x:v>
      </x:c>
      <x:c r="G865" s="9" t="str">
        <x:v>Suggested starting knowledge: Enterprise value versus equity value. It helps you compare value using economically comparable businesses and consistent measures.</x:v>
      </x:c>
      <x:c r="H865" s="9" t="str">
        <x:v>Suggested learning order; learners can still explore freely.</x:v>
      </x:c>
      <x:c r="I865" s="9" t="str">
        <x:v>Curated curriculum relationship</x:v>
      </x:c>
    </x:row>
    <x:row r="866" ht="58" customHeight="1">
      <x:c r="A866" s="10" t="str">
        <x:v>E0861</x:v>
      </x:c>
      <x:c r="B866" s="10" t="str">
        <x:v>T18.08</x:v>
      </x:c>
      <x:c r="C866" s="10" t="str">
        <x:v>Growth, risk, margins, and returns as multiple drivers</x:v>
      </x:c>
      <x:c r="D866" s="14" t="str">
        <x:v>PART_OF</x:v>
      </x:c>
      <x:c r="E866" s="10" t="str">
        <x:v>D18</x:v>
      </x:c>
      <x:c r="F866" s="10" t="str">
        <x:v>Relative valuation and specialist valuation</x:v>
      </x:c>
      <x:c r="G866" s="10" t="str">
        <x:v>Curriculum membership. Use this link to move between the topic and its finance area.</x:v>
      </x:c>
      <x:c r="H866" s="10" t="str">
        <x:v>Classification only; this edge is not a causal or calculation relationship.</x:v>
      </x:c>
      <x:c r="I866" s="10" t="str">
        <x:v>Curated curriculum relationship</x:v>
      </x:c>
    </x:row>
    <x:row r="867" ht="58" customHeight="1">
      <x:c r="A867" s="9" t="str">
        <x:v>E0862</x:v>
      </x:c>
      <x:c r="B867" s="9" t="str">
        <x:v>T18.08</x:v>
      </x:c>
      <x:c r="C867" s="9" t="str">
        <x:v>Growth, risk, margins, and returns as multiple drivers</x:v>
      </x:c>
      <x:c r="D867" s="15" t="str">
        <x:v>EXPLORE_WITH</x:v>
      </x:c>
      <x:c r="E867" s="9" t="str">
        <x:v>T18.07</x:v>
      </x:c>
      <x:c r="F867" s="9" t="str">
        <x:v>Normalising earnings and accounting differences</x:v>
      </x:c>
      <x:c r="G867" s="9" t="str">
        <x:v>Study these together to compare value using economically comparable businesses and consistent measures.</x:v>
      </x:c>
      <x:c r="H867" s="9" t="str">
        <x:v>A topical exploration link, not a claim that one determines the other.</x:v>
      </x:c>
      <x:c r="I867" s="9" t="str">
        <x:v>Curated curriculum relationship</x:v>
      </x:c>
    </x:row>
    <x:row r="868" ht="58" customHeight="1">
      <x:c r="A868" s="10" t="str">
        <x:v>E0863</x:v>
      </x:c>
      <x:c r="B868" s="10" t="str">
        <x:v>T17.03</x:v>
      </x:c>
      <x:c r="C868" s="10" t="str">
        <x:v>Enterprise value versus equity value</x:v>
      </x:c>
      <x:c r="D868" s="14" t="str">
        <x:v>RECOMMENDED_BEFORE</x:v>
      </x:c>
      <x:c r="E868" s="10" t="str">
        <x:v>T18.08</x:v>
      </x:c>
      <x:c r="F868" s="10" t="str">
        <x:v>Growth, risk, margins, and returns as multiple drivers</x:v>
      </x:c>
      <x:c r="G868" s="10" t="str">
        <x:v>Suggested starting knowledge: Enterprise value versus equity value. It helps you compare value using economically comparable businesses and consistent measures.</x:v>
      </x:c>
      <x:c r="H868" s="10" t="str">
        <x:v>Suggested learning order; learners can still explore freely.</x:v>
      </x:c>
      <x:c r="I868" s="10" t="str">
        <x:v>Curated curriculum relationship</x:v>
      </x:c>
    </x:row>
    <x:row r="869" ht="58" customHeight="1">
      <x:c r="A869" s="9" t="str">
        <x:v>E0864</x:v>
      </x:c>
      <x:c r="B869" s="9" t="str">
        <x:v>T18.09</x:v>
      </x:c>
      <x:c r="C869" s="9" t="str">
        <x:v>Sum-of-the-parts valuation</x:v>
      </x:c>
      <x:c r="D869" s="15" t="str">
        <x:v>PART_OF</x:v>
      </x:c>
      <x:c r="E869" s="9" t="str">
        <x:v>D18</x:v>
      </x:c>
      <x:c r="F869" s="9" t="str">
        <x:v>Relative valuation and specialist valuation</x:v>
      </x:c>
      <x:c r="G869" s="9" t="str">
        <x:v>Curriculum membership. Use this link to move between the topic and its finance area.</x:v>
      </x:c>
      <x:c r="H869" s="9" t="str">
        <x:v>Classification only; this edge is not a causal or calculation relationship.</x:v>
      </x:c>
      <x:c r="I869" s="9" t="str">
        <x:v>Curated curriculum relationship</x:v>
      </x:c>
    </x:row>
    <x:row r="870" ht="58" customHeight="1">
      <x:c r="A870" s="10" t="str">
        <x:v>E0865</x:v>
      </x:c>
      <x:c r="B870" s="10" t="str">
        <x:v>T18.09</x:v>
      </x:c>
      <x:c r="C870" s="10" t="str">
        <x:v>Sum-of-the-parts valuation</x:v>
      </x:c>
      <x:c r="D870" s="14" t="str">
        <x:v>EXPLORE_WITH</x:v>
      </x:c>
      <x:c r="E870" s="10" t="str">
        <x:v>T18.15</x:v>
      </x:c>
      <x:c r="F870" s="10" t="str">
        <x:v>Bank, NBFC, and insurance valuation</x:v>
      </x:c>
      <x:c r="G870" s="10" t="str">
        <x:v>Study these together to compare value using economically comparable businesses and consistent measures.</x:v>
      </x:c>
      <x:c r="H870" s="10" t="str">
        <x:v>A topical exploration link, not a claim that one determines the other.</x:v>
      </x:c>
      <x:c r="I870" s="10" t="str">
        <x:v>Curated curriculum relationship</x:v>
      </x:c>
    </x:row>
    <x:row r="871" ht="58" customHeight="1">
      <x:c r="A871" s="9" t="str">
        <x:v>E0866</x:v>
      </x:c>
      <x:c r="B871" s="9" t="str">
        <x:v>T17.03</x:v>
      </x:c>
      <x:c r="C871" s="9" t="str">
        <x:v>Enterprise value versus equity value</x:v>
      </x:c>
      <x:c r="D871" s="15" t="str">
        <x:v>RECOMMENDED_BEFORE</x:v>
      </x:c>
      <x:c r="E871" s="9" t="str">
        <x:v>T18.09</x:v>
      </x:c>
      <x:c r="F871" s="9" t="str">
        <x:v>Sum-of-the-parts valuation</x:v>
      </x:c>
      <x:c r="G871" s="9" t="str">
        <x:v>Suggested starting knowledge: Enterprise value versus equity value. It helps you compare value using economically comparable businesses and consistent measures.</x:v>
      </x:c>
      <x:c r="H871" s="9" t="str">
        <x:v>Suggested learning order; learners can still explore freely.</x:v>
      </x:c>
      <x:c r="I871" s="9" t="str">
        <x:v>Curated curriculum relationship</x:v>
      </x:c>
    </x:row>
    <x:row r="872" ht="58" customHeight="1">
      <x:c r="A872" s="10" t="str">
        <x:v>E0867</x:v>
      </x:c>
      <x:c r="B872" s="10" t="str">
        <x:v>T18.10</x:v>
      </x:c>
      <x:c r="C872" s="10" t="str">
        <x:v>Net asset value and liquidation value</x:v>
      </x:c>
      <x:c r="D872" s="14" t="str">
        <x:v>PART_OF</x:v>
      </x:c>
      <x:c r="E872" s="10" t="str">
        <x:v>D18</x:v>
      </x:c>
      <x:c r="F872" s="10" t="str">
        <x:v>Relative valuation and specialist valuation</x:v>
      </x:c>
      <x:c r="G872" s="10" t="str">
        <x:v>Curriculum membership. Use this link to move between the topic and its finance area.</x:v>
      </x:c>
      <x:c r="H872" s="10" t="str">
        <x:v>Classification only; this edge is not a causal or calculation relationship.</x:v>
      </x:c>
      <x:c r="I872" s="10" t="str">
        <x:v>Curated curriculum relationship</x:v>
      </x:c>
    </x:row>
    <x:row r="873" ht="58" customHeight="1">
      <x:c r="A873" s="9" t="str">
        <x:v>E0868</x:v>
      </x:c>
      <x:c r="B873" s="9" t="str">
        <x:v>T18.10</x:v>
      </x:c>
      <x:c r="C873" s="9" t="str">
        <x:v>Net asset value and liquidation value</x:v>
      </x:c>
      <x:c r="D873" s="15" t="str">
        <x:v>EXPLORE_WITH</x:v>
      </x:c>
      <x:c r="E873" s="9" t="str">
        <x:v>T18.11</x:v>
      </x:c>
      <x:c r="F873" s="9" t="str">
        <x:v>Replacement cost</x:v>
      </x:c>
      <x:c r="G873" s="9" t="str">
        <x:v>Study these together to compare value using economically comparable businesses and consistent measures.</x:v>
      </x:c>
      <x:c r="H873" s="9" t="str">
        <x:v>A topical exploration link, not a claim that one determines the other.</x:v>
      </x:c>
      <x:c r="I873" s="9" t="str">
        <x:v>Curated curriculum relationship</x:v>
      </x:c>
    </x:row>
    <x:row r="874" ht="58" customHeight="1">
      <x:c r="A874" s="10" t="str">
        <x:v>E0869</x:v>
      </x:c>
      <x:c r="B874" s="10" t="str">
        <x:v>T17.03</x:v>
      </x:c>
      <x:c r="C874" s="10" t="str">
        <x:v>Enterprise value versus equity value</x:v>
      </x:c>
      <x:c r="D874" s="14" t="str">
        <x:v>RECOMMENDED_BEFORE</x:v>
      </x:c>
      <x:c r="E874" s="10" t="str">
        <x:v>T18.10</x:v>
      </x:c>
      <x:c r="F874" s="10" t="str">
        <x:v>Net asset value and liquidation value</x:v>
      </x:c>
      <x:c r="G874" s="10" t="str">
        <x:v>Suggested starting knowledge: Enterprise value versus equity value. It helps you compare value using economically comparable businesses and consistent measures.</x:v>
      </x:c>
      <x:c r="H874" s="10" t="str">
        <x:v>Suggested learning order; learners can still explore freely.</x:v>
      </x:c>
      <x:c r="I874" s="10" t="str">
        <x:v>Curated curriculum relationship</x:v>
      </x:c>
    </x:row>
    <x:row r="875" ht="58" customHeight="1">
      <x:c r="A875" s="9" t="str">
        <x:v>E0870</x:v>
      </x:c>
      <x:c r="B875" s="9" t="str">
        <x:v>T18.11</x:v>
      </x:c>
      <x:c r="C875" s="9" t="str">
        <x:v>Replacement cost</x:v>
      </x:c>
      <x:c r="D875" s="15" t="str">
        <x:v>PART_OF</x:v>
      </x:c>
      <x:c r="E875" s="9" t="str">
        <x:v>D18</x:v>
      </x:c>
      <x:c r="F875" s="9" t="str">
        <x:v>Relative valuation and specialist valuation</x:v>
      </x:c>
      <x:c r="G875" s="9" t="str">
        <x:v>Curriculum membership. Use this link to move between the topic and its finance area.</x:v>
      </x:c>
      <x:c r="H875" s="9" t="str">
        <x:v>Classification only; this edge is not a causal or calculation relationship.</x:v>
      </x:c>
      <x:c r="I875" s="9" t="str">
        <x:v>Curated curriculum relationship</x:v>
      </x:c>
    </x:row>
    <x:row r="876" ht="58" customHeight="1">
      <x:c r="A876" s="10" t="str">
        <x:v>E0871</x:v>
      </x:c>
      <x:c r="B876" s="10" t="str">
        <x:v>T18.11</x:v>
      </x:c>
      <x:c r="C876" s="10" t="str">
        <x:v>Replacement cost</x:v>
      </x:c>
      <x:c r="D876" s="14" t="str">
        <x:v>EXPLORE_WITH</x:v>
      </x:c>
      <x:c r="E876" s="10" t="str">
        <x:v>T18.10</x:v>
      </x:c>
      <x:c r="F876" s="10" t="str">
        <x:v>Net asset value and liquidation value</x:v>
      </x:c>
      <x:c r="G876" s="10" t="str">
        <x:v>Study these together to compare value using economically comparable businesses and consistent measures.</x:v>
      </x:c>
      <x:c r="H876" s="10" t="str">
        <x:v>A topical exploration link, not a claim that one determines the other.</x:v>
      </x:c>
      <x:c r="I876" s="10" t="str">
        <x:v>Curated curriculum relationship</x:v>
      </x:c>
    </x:row>
    <x:row r="877" ht="58" customHeight="1">
      <x:c r="A877" s="9" t="str">
        <x:v>E0872</x:v>
      </x:c>
      <x:c r="B877" s="9" t="str">
        <x:v>T17.03</x:v>
      </x:c>
      <x:c r="C877" s="9" t="str">
        <x:v>Enterprise value versus equity value</x:v>
      </x:c>
      <x:c r="D877" s="15" t="str">
        <x:v>RECOMMENDED_BEFORE</x:v>
      </x:c>
      <x:c r="E877" s="9" t="str">
        <x:v>T18.11</x:v>
      </x:c>
      <x:c r="F877" s="9" t="str">
        <x:v>Replacement cost</x:v>
      </x:c>
      <x:c r="G877" s="9" t="str">
        <x:v>Suggested starting knowledge: Enterprise value versus equity value. It helps you compare value using economically comparable businesses and consistent measures.</x:v>
      </x:c>
      <x:c r="H877" s="9" t="str">
        <x:v>Suggested learning order; learners can still explore freely.</x:v>
      </x:c>
      <x:c r="I877" s="9" t="str">
        <x:v>Curated curriculum relationship</x:v>
      </x:c>
    </x:row>
    <x:row r="878" ht="58" customHeight="1">
      <x:c r="A878" s="10" t="str">
        <x:v>E0873</x:v>
      </x:c>
      <x:c r="B878" s="10" t="str">
        <x:v>T18.12</x:v>
      </x:c>
      <x:c r="C878" s="10" t="str">
        <x:v>Private-company valuation</x:v>
      </x:c>
      <x:c r="D878" s="14" t="str">
        <x:v>PART_OF</x:v>
      </x:c>
      <x:c r="E878" s="10" t="str">
        <x:v>D18</x:v>
      </x:c>
      <x:c r="F878" s="10" t="str">
        <x:v>Relative valuation and specialist valuation</x:v>
      </x:c>
      <x:c r="G878" s="10" t="str">
        <x:v>Curriculum membership. Use this link to move between the topic and its finance area.</x:v>
      </x:c>
      <x:c r="H878" s="10" t="str">
        <x:v>Classification only; this edge is not a causal or calculation relationship.</x:v>
      </x:c>
      <x:c r="I878" s="10" t="str">
        <x:v>Curated curriculum relationship</x:v>
      </x:c>
    </x:row>
    <x:row r="879" ht="58" customHeight="1">
      <x:c r="A879" s="9" t="str">
        <x:v>E0874</x:v>
      </x:c>
      <x:c r="B879" s="9" t="str">
        <x:v>T18.12</x:v>
      </x:c>
      <x:c r="C879" s="9" t="str">
        <x:v>Private-company valuation</x:v>
      </x:c>
      <x:c r="D879" s="15" t="str">
        <x:v>EXPLORE_WITH</x:v>
      </x:c>
      <x:c r="E879" s="9" t="str">
        <x:v>T18.17</x:v>
      </x:c>
      <x:c r="F879" s="9" t="str">
        <x:v>Control premiums and marketability considerations</x:v>
      </x:c>
      <x:c r="G879" s="9" t="str">
        <x:v>Study these together to compare value using economically comparable businesses and consistent measures.</x:v>
      </x:c>
      <x:c r="H879" s="9" t="str">
        <x:v>A topical exploration link, not a claim that one determines the other.</x:v>
      </x:c>
      <x:c r="I879" s="9" t="str">
        <x:v>Curated curriculum relationship</x:v>
      </x:c>
    </x:row>
    <x:row r="880" ht="58" customHeight="1">
      <x:c r="A880" s="10" t="str">
        <x:v>E0875</x:v>
      </x:c>
      <x:c r="B880" s="10" t="str">
        <x:v>T17.03</x:v>
      </x:c>
      <x:c r="C880" s="10" t="str">
        <x:v>Enterprise value versus equity value</x:v>
      </x:c>
      <x:c r="D880" s="14" t="str">
        <x:v>RECOMMENDED_BEFORE</x:v>
      </x:c>
      <x:c r="E880" s="10" t="str">
        <x:v>T18.12</x:v>
      </x:c>
      <x:c r="F880" s="10" t="str">
        <x:v>Private-company valuation</x:v>
      </x:c>
      <x:c r="G880" s="10" t="str">
        <x:v>Suggested starting knowledge: Enterprise value versus equity value. It helps you compare value using economically comparable businesses and consistent measures.</x:v>
      </x:c>
      <x:c r="H880" s="10" t="str">
        <x:v>Suggested learning order; learners can still explore freely.</x:v>
      </x:c>
      <x:c r="I880" s="10" t="str">
        <x:v>Curated curriculum relationship</x:v>
      </x:c>
    </x:row>
    <x:row r="881" ht="58" customHeight="1">
      <x:c r="A881" s="9" t="str">
        <x:v>E0876</x:v>
      </x:c>
      <x:c r="B881" s="9" t="str">
        <x:v>T18.13</x:v>
      </x:c>
      <x:c r="C881" s="9" t="str">
        <x:v>Startup and pre-revenue valuation</x:v>
      </x:c>
      <x:c r="D881" s="15" t="str">
        <x:v>PART_OF</x:v>
      </x:c>
      <x:c r="E881" s="9" t="str">
        <x:v>D18</x:v>
      </x:c>
      <x:c r="F881" s="9" t="str">
        <x:v>Relative valuation and specialist valuation</x:v>
      </x:c>
      <x:c r="G881" s="9" t="str">
        <x:v>Curriculum membership. Use this link to move between the topic and its finance area.</x:v>
      </x:c>
      <x:c r="H881" s="9" t="str">
        <x:v>Classification only; this edge is not a causal or calculation relationship.</x:v>
      </x:c>
      <x:c r="I881" s="9" t="str">
        <x:v>Curated curriculum relationship</x:v>
      </x:c>
    </x:row>
    <x:row r="882" ht="58" customHeight="1">
      <x:c r="A882" s="10" t="str">
        <x:v>E0877</x:v>
      </x:c>
      <x:c r="B882" s="10" t="str">
        <x:v>T18.13</x:v>
      </x:c>
      <x:c r="C882" s="10" t="str">
        <x:v>Startup and pre-revenue valuation</x:v>
      </x:c>
      <x:c r="D882" s="14" t="str">
        <x:v>EXPLORE_WITH</x:v>
      </x:c>
      <x:c r="E882" s="10" t="str">
        <x:v>T18.12</x:v>
      </x:c>
      <x:c r="F882" s="10" t="str">
        <x:v>Private-company valuation</x:v>
      </x:c>
      <x:c r="G882" s="10" t="str">
        <x:v>Study these together to compare value using economically comparable businesses and consistent measures.</x:v>
      </x:c>
      <x:c r="H882" s="10" t="str">
        <x:v>A topical exploration link, not a claim that one determines the other.</x:v>
      </x:c>
      <x:c r="I882" s="10" t="str">
        <x:v>Curated curriculum relationship</x:v>
      </x:c>
    </x:row>
    <x:row r="883" ht="58" customHeight="1">
      <x:c r="A883" s="9" t="str">
        <x:v>E0878</x:v>
      </x:c>
      <x:c r="B883" s="9" t="str">
        <x:v>T17.03</x:v>
      </x:c>
      <x:c r="C883" s="9" t="str">
        <x:v>Enterprise value versus equity value</x:v>
      </x:c>
      <x:c r="D883" s="15" t="str">
        <x:v>RECOMMENDED_BEFORE</x:v>
      </x:c>
      <x:c r="E883" s="9" t="str">
        <x:v>T18.13</x:v>
      </x:c>
      <x:c r="F883" s="9" t="str">
        <x:v>Startup and pre-revenue valuation</x:v>
      </x:c>
      <x:c r="G883" s="9" t="str">
        <x:v>Suggested starting knowledge: Enterprise value versus equity value. It helps you compare value using economically comparable businesses and consistent measures.</x:v>
      </x:c>
      <x:c r="H883" s="9" t="str">
        <x:v>Suggested learning order; learners can still explore freely.</x:v>
      </x:c>
      <x:c r="I883" s="9" t="str">
        <x:v>Curated curriculum relationship</x:v>
      </x:c>
    </x:row>
    <x:row r="884" ht="58" customHeight="1">
      <x:c r="A884" s="10" t="str">
        <x:v>E0879</x:v>
      </x:c>
      <x:c r="B884" s="10" t="str">
        <x:v>T18.14</x:v>
      </x:c>
      <x:c r="C884" s="10" t="str">
        <x:v>Cyclical, commodity, and distressed-company valuation</x:v>
      </x:c>
      <x:c r="D884" s="14" t="str">
        <x:v>PART_OF</x:v>
      </x:c>
      <x:c r="E884" s="10" t="str">
        <x:v>D18</x:v>
      </x:c>
      <x:c r="F884" s="10" t="str">
        <x:v>Relative valuation and specialist valuation</x:v>
      </x:c>
      <x:c r="G884" s="10" t="str">
        <x:v>Curriculum membership. Use this link to move between the topic and its finance area.</x:v>
      </x:c>
      <x:c r="H884" s="10" t="str">
        <x:v>Classification only; this edge is not a causal or calculation relationship.</x:v>
      </x:c>
      <x:c r="I884" s="10" t="str">
        <x:v>Curated curriculum relationship</x:v>
      </x:c>
    </x:row>
    <x:row r="885" ht="58" customHeight="1">
      <x:c r="A885" s="9" t="str">
        <x:v>E0880</x:v>
      </x:c>
      <x:c r="B885" s="9" t="str">
        <x:v>T18.14</x:v>
      </x:c>
      <x:c r="C885" s="9" t="str">
        <x:v>Cyclical, commodity, and distressed-company valuation</x:v>
      </x:c>
      <x:c r="D885" s="15" t="str">
        <x:v>EXPLORE_WITH</x:v>
      </x:c>
      <x:c r="E885" s="9" t="str">
        <x:v>T18.07</x:v>
      </x:c>
      <x:c r="F885" s="9" t="str">
        <x:v>Normalising earnings and accounting differences</x:v>
      </x:c>
      <x:c r="G885" s="9" t="str">
        <x:v>Study these together to compare value using economically comparable businesses and consistent measures.</x:v>
      </x:c>
      <x:c r="H885" s="9" t="str">
        <x:v>A topical exploration link, not a claim that one determines the other.</x:v>
      </x:c>
      <x:c r="I885" s="9" t="str">
        <x:v>Curated curriculum relationship</x:v>
      </x:c>
    </x:row>
    <x:row r="886" ht="58" customHeight="1">
      <x:c r="A886" s="10" t="str">
        <x:v>E0881</x:v>
      </x:c>
      <x:c r="B886" s="10" t="str">
        <x:v>T17.03</x:v>
      </x:c>
      <x:c r="C886" s="10" t="str">
        <x:v>Enterprise value versus equity value</x:v>
      </x:c>
      <x:c r="D886" s="14" t="str">
        <x:v>RECOMMENDED_BEFORE</x:v>
      </x:c>
      <x:c r="E886" s="10" t="str">
        <x:v>T18.14</x:v>
      </x:c>
      <x:c r="F886" s="10" t="str">
        <x:v>Cyclical, commodity, and distressed-company valuation</x:v>
      </x:c>
      <x:c r="G886" s="10" t="str">
        <x:v>Suggested starting knowledge: Enterprise value versus equity value. It helps you compare value using economically comparable businesses and consistent measures.</x:v>
      </x:c>
      <x:c r="H886" s="10" t="str">
        <x:v>Suggested learning order; learners can still explore freely.</x:v>
      </x:c>
      <x:c r="I886" s="10" t="str">
        <x:v>Curated curriculum relationship</x:v>
      </x:c>
    </x:row>
    <x:row r="887" ht="58" customHeight="1">
      <x:c r="A887" s="9" t="str">
        <x:v>E0882</x:v>
      </x:c>
      <x:c r="B887" s="9" t="str">
        <x:v>T18.15</x:v>
      </x:c>
      <x:c r="C887" s="9" t="str">
        <x:v>Bank, NBFC, and insurance valuation</x:v>
      </x:c>
      <x:c r="D887" s="15" t="str">
        <x:v>PART_OF</x:v>
      </x:c>
      <x:c r="E887" s="9" t="str">
        <x:v>D18</x:v>
      </x:c>
      <x:c r="F887" s="9" t="str">
        <x:v>Relative valuation and specialist valuation</x:v>
      </x:c>
      <x:c r="G887" s="9" t="str">
        <x:v>Curriculum membership. Use this link to move between the topic and its finance area.</x:v>
      </x:c>
      <x:c r="H887" s="9" t="str">
        <x:v>Classification only; this edge is not a causal or calculation relationship.</x:v>
      </x:c>
      <x:c r="I887" s="9" t="str">
        <x:v>Curated curriculum relationship</x:v>
      </x:c>
    </x:row>
    <x:row r="888" ht="58" customHeight="1">
      <x:c r="A888" s="10" t="str">
        <x:v>E0883</x:v>
      </x:c>
      <x:c r="B888" s="10" t="str">
        <x:v>T18.15</x:v>
      </x:c>
      <x:c r="C888" s="10" t="str">
        <x:v>Bank, NBFC, and insurance valuation</x:v>
      </x:c>
      <x:c r="D888" s="14" t="str">
        <x:v>EXPLORE_WITH</x:v>
      </x:c>
      <x:c r="E888" s="10" t="str">
        <x:v>T18.09</x:v>
      </x:c>
      <x:c r="F888" s="10" t="str">
        <x:v>Sum-of-the-parts valuation</x:v>
      </x:c>
      <x:c r="G888" s="10" t="str">
        <x:v>Study these together to compare value using economically comparable businesses and consistent measures.</x:v>
      </x:c>
      <x:c r="H888" s="10" t="str">
        <x:v>A topical exploration link, not a claim that one determines the other.</x:v>
      </x:c>
      <x:c r="I888" s="10" t="str">
        <x:v>Curated curriculum relationship</x:v>
      </x:c>
    </x:row>
    <x:row r="889" ht="58" customHeight="1">
      <x:c r="A889" s="9" t="str">
        <x:v>E0884</x:v>
      </x:c>
      <x:c r="B889" s="9" t="str">
        <x:v>T17.03</x:v>
      </x:c>
      <x:c r="C889" s="9" t="str">
        <x:v>Enterprise value versus equity value</x:v>
      </x:c>
      <x:c r="D889" s="15" t="str">
        <x:v>RECOMMENDED_BEFORE</x:v>
      </x:c>
      <x:c r="E889" s="9" t="str">
        <x:v>T18.15</x:v>
      </x:c>
      <x:c r="F889" s="9" t="str">
        <x:v>Bank, NBFC, and insurance valuation</x:v>
      </x:c>
      <x:c r="G889" s="9" t="str">
        <x:v>Suggested starting knowledge: Enterprise value versus equity value. It helps you compare value using economically comparable businesses and consistent measures.</x:v>
      </x:c>
      <x:c r="H889" s="9" t="str">
        <x:v>Suggested learning order; learners can still explore freely.</x:v>
      </x:c>
      <x:c r="I889" s="9" t="str">
        <x:v>Curated curriculum relationship</x:v>
      </x:c>
    </x:row>
    <x:row r="890" ht="58" customHeight="1">
      <x:c r="A890" s="10" t="str">
        <x:v>E0885</x:v>
      </x:c>
      <x:c r="B890" s="10" t="str">
        <x:v>T18.16</x:v>
      </x:c>
      <x:c r="C890" s="10" t="str">
        <x:v>Intangible assets, brands, patents, and customer relationships</x:v>
      </x:c>
      <x:c r="D890" s="14" t="str">
        <x:v>PART_OF</x:v>
      </x:c>
      <x:c r="E890" s="10" t="str">
        <x:v>D18</x:v>
      </x:c>
      <x:c r="F890" s="10" t="str">
        <x:v>Relative valuation and specialist valuation</x:v>
      </x:c>
      <x:c r="G890" s="10" t="str">
        <x:v>Curriculum membership. Use this link to move between the topic and its finance area.</x:v>
      </x:c>
      <x:c r="H890" s="10" t="str">
        <x:v>Classification only; this edge is not a causal or calculation relationship.</x:v>
      </x:c>
      <x:c r="I890" s="10" t="str">
        <x:v>Curated curriculum relationship</x:v>
      </x:c>
    </x:row>
    <x:row r="891" ht="58" customHeight="1">
      <x:c r="A891" s="9" t="str">
        <x:v>E0886</x:v>
      </x:c>
      <x:c r="B891" s="9" t="str">
        <x:v>T18.16</x:v>
      </x:c>
      <x:c r="C891" s="9" t="str">
        <x:v>Intangible assets, brands, patents, and customer relationships</x:v>
      </x:c>
      <x:c r="D891" s="15" t="str">
        <x:v>EXPLORE_WITH</x:v>
      </x:c>
      <x:c r="E891" s="9" t="str">
        <x:v>T18.09</x:v>
      </x:c>
      <x:c r="F891" s="9" t="str">
        <x:v>Sum-of-the-parts valuation</x:v>
      </x:c>
      <x:c r="G891" s="9" t="str">
        <x:v>Study these together to compare value using economically comparable businesses and consistent measures.</x:v>
      </x:c>
      <x:c r="H891" s="9" t="str">
        <x:v>A topical exploration link, not a claim that one determines the other.</x:v>
      </x:c>
      <x:c r="I891" s="9" t="str">
        <x:v>Curated curriculum relationship</x:v>
      </x:c>
    </x:row>
    <x:row r="892" ht="58" customHeight="1">
      <x:c r="A892" s="10" t="str">
        <x:v>E0887</x:v>
      </x:c>
      <x:c r="B892" s="10" t="str">
        <x:v>T17.03</x:v>
      </x:c>
      <x:c r="C892" s="10" t="str">
        <x:v>Enterprise value versus equity value</x:v>
      </x:c>
      <x:c r="D892" s="14" t="str">
        <x:v>RECOMMENDED_BEFORE</x:v>
      </x:c>
      <x:c r="E892" s="10" t="str">
        <x:v>T18.16</x:v>
      </x:c>
      <x:c r="F892" s="10" t="str">
        <x:v>Intangible assets, brands, patents, and customer relationships</x:v>
      </x:c>
      <x:c r="G892" s="10" t="str">
        <x:v>Suggested starting knowledge: Enterprise value versus equity value. It helps you compare value using economically comparable businesses and consistent measures.</x:v>
      </x:c>
      <x:c r="H892" s="10" t="str">
        <x:v>Suggested learning order; learners can still explore freely.</x:v>
      </x:c>
      <x:c r="I892" s="10" t="str">
        <x:v>Curated curriculum relationship</x:v>
      </x:c>
    </x:row>
    <x:row r="893" ht="58" customHeight="1">
      <x:c r="A893" s="9" t="str">
        <x:v>E0888</x:v>
      </x:c>
      <x:c r="B893" s="9" t="str">
        <x:v>T18.17</x:v>
      </x:c>
      <x:c r="C893" s="9" t="str">
        <x:v>Control premiums and marketability considerations</x:v>
      </x:c>
      <x:c r="D893" s="15" t="str">
        <x:v>PART_OF</x:v>
      </x:c>
      <x:c r="E893" s="9" t="str">
        <x:v>D18</x:v>
      </x:c>
      <x:c r="F893" s="9" t="str">
        <x:v>Relative valuation and specialist valuation</x:v>
      </x:c>
      <x:c r="G893" s="9" t="str">
        <x:v>Curriculum membership. Use this link to move between the topic and its finance area.</x:v>
      </x:c>
      <x:c r="H893" s="9" t="str">
        <x:v>Classification only; this edge is not a causal or calculation relationship.</x:v>
      </x:c>
      <x:c r="I893" s="9" t="str">
        <x:v>Curated curriculum relationship</x:v>
      </x:c>
    </x:row>
    <x:row r="894" ht="58" customHeight="1">
      <x:c r="A894" s="10" t="str">
        <x:v>E0889</x:v>
      </x:c>
      <x:c r="B894" s="10" t="str">
        <x:v>T18.17</x:v>
      </x:c>
      <x:c r="C894" s="10" t="str">
        <x:v>Control premiums and marketability considerations</x:v>
      </x:c>
      <x:c r="D894" s="14" t="str">
        <x:v>EXPLORE_WITH</x:v>
      </x:c>
      <x:c r="E894" s="10" t="str">
        <x:v>T18.12</x:v>
      </x:c>
      <x:c r="F894" s="10" t="str">
        <x:v>Private-company valuation</x:v>
      </x:c>
      <x:c r="G894" s="10" t="str">
        <x:v>Study these together to compare value using economically comparable businesses and consistent measures.</x:v>
      </x:c>
      <x:c r="H894" s="10" t="str">
        <x:v>A topical exploration link, not a claim that one determines the other.</x:v>
      </x:c>
      <x:c r="I894" s="10" t="str">
        <x:v>Curated curriculum relationship</x:v>
      </x:c>
    </x:row>
    <x:row r="895" ht="58" customHeight="1">
      <x:c r="A895" s="9" t="str">
        <x:v>E0890</x:v>
      </x:c>
      <x:c r="B895" s="9" t="str">
        <x:v>T17.03</x:v>
      </x:c>
      <x:c r="C895" s="9" t="str">
        <x:v>Enterprise value versus equity value</x:v>
      </x:c>
      <x:c r="D895" s="15" t="str">
        <x:v>RECOMMENDED_BEFORE</x:v>
      </x:c>
      <x:c r="E895" s="9" t="str">
        <x:v>T18.17</x:v>
      </x:c>
      <x:c r="F895" s="9" t="str">
        <x:v>Control premiums and marketability considerations</x:v>
      </x:c>
      <x:c r="G895" s="9" t="str">
        <x:v>Suggested starting knowledge: Enterprise value versus equity value. It helps you compare value using economically comparable businesses and consistent measures.</x:v>
      </x:c>
      <x:c r="H895" s="9" t="str">
        <x:v>Suggested learning order; learners can still explore freely.</x:v>
      </x:c>
      <x:c r="I895" s="9" t="str">
        <x:v>Curated curriculum relationship</x:v>
      </x:c>
    </x:row>
    <x:row r="896" ht="58" customHeight="1">
      <x:c r="A896" s="10" t="str">
        <x:v>E0891</x:v>
      </x:c>
      <x:c r="B896" s="10" t="str">
        <x:v>T18.18</x:v>
      </x:c>
      <x:c r="C896" s="10" t="str">
        <x:v>Business valuation versus transaction pricing</x:v>
      </x:c>
      <x:c r="D896" s="14" t="str">
        <x:v>PART_OF</x:v>
      </x:c>
      <x:c r="E896" s="10" t="str">
        <x:v>D18</x:v>
      </x:c>
      <x:c r="F896" s="10" t="str">
        <x:v>Relative valuation and specialist valuation</x:v>
      </x:c>
      <x:c r="G896" s="10" t="str">
        <x:v>Curriculum membership. Use this link to move between the topic and its finance area.</x:v>
      </x:c>
      <x:c r="H896" s="10" t="str">
        <x:v>Classification only; this edge is not a causal or calculation relationship.</x:v>
      </x:c>
      <x:c r="I896" s="10" t="str">
        <x:v>Curated curriculum relationship</x:v>
      </x:c>
    </x:row>
    <x:row r="897" ht="58" customHeight="1">
      <x:c r="A897" s="9" t="str">
        <x:v>E0892</x:v>
      </x:c>
      <x:c r="B897" s="9" t="str">
        <x:v>T18.18</x:v>
      </x:c>
      <x:c r="C897" s="9" t="str">
        <x:v>Business valuation versus transaction pricing</x:v>
      </x:c>
      <x:c r="D897" s="15" t="str">
        <x:v>EXPLORE_WITH</x:v>
      </x:c>
      <x:c r="E897" s="9" t="str">
        <x:v>T18.02</x:v>
      </x:c>
      <x:c r="F897" s="9" t="str">
        <x:v>Comparable transaction analysis</x:v>
      </x:c>
      <x:c r="G897" s="9" t="str">
        <x:v>Study these together to compare value using economically comparable businesses and consistent measures.</x:v>
      </x:c>
      <x:c r="H897" s="9" t="str">
        <x:v>A topical exploration link, not a claim that one determines the other.</x:v>
      </x:c>
      <x:c r="I897" s="9" t="str">
        <x:v>Curated curriculum relationship</x:v>
      </x:c>
    </x:row>
    <x:row r="898" ht="58" customHeight="1">
      <x:c r="A898" s="10" t="str">
        <x:v>E0893</x:v>
      </x:c>
      <x:c r="B898" s="10" t="str">
        <x:v>T17.03</x:v>
      </x:c>
      <x:c r="C898" s="10" t="str">
        <x:v>Enterprise value versus equity value</x:v>
      </x:c>
      <x:c r="D898" s="14" t="str">
        <x:v>RECOMMENDED_BEFORE</x:v>
      </x:c>
      <x:c r="E898" s="10" t="str">
        <x:v>T18.18</x:v>
      </x:c>
      <x:c r="F898" s="10" t="str">
        <x:v>Business valuation versus transaction pricing</x:v>
      </x:c>
      <x:c r="G898" s="10" t="str">
        <x:v>Suggested starting knowledge: Enterprise value versus equity value. It helps you compare value using economically comparable businesses and consistent measures.</x:v>
      </x:c>
      <x:c r="H898" s="10" t="str">
        <x:v>Suggested learning order; learners can still explore freely.</x:v>
      </x:c>
      <x:c r="I898" s="10" t="str">
        <x:v>Curated curriculum relationship</x:v>
      </x:c>
    </x:row>
    <x:row r="899" ht="58" customHeight="1">
      <x:c r="A899" s="9" t="str">
        <x:v>E0894</x:v>
      </x:c>
      <x:c r="B899" s="9" t="str">
        <x:v>T19.01</x:v>
      </x:c>
      <x:c r="C899" s="9" t="str">
        <x:v>Common shares, preference shares, and depositary receipts</x:v>
      </x:c>
      <x:c r="D899" s="15" t="str">
        <x:v>PART_OF</x:v>
      </x:c>
      <x:c r="E899" s="9" t="str">
        <x:v>D19</x:v>
      </x:c>
      <x:c r="F899" s="9" t="str">
        <x:v>Equity markets and equity research</x:v>
      </x:c>
      <x:c r="G899" s="9" t="str">
        <x:v>Curriculum membership. Use this link to move between the topic and its finance area.</x:v>
      </x:c>
      <x:c r="H899" s="9" t="str">
        <x:v>Classification only; this edge is not a causal or calculation relationship.</x:v>
      </x:c>
      <x:c r="I899" s="9" t="str">
        <x:v>Curated curriculum relationship</x:v>
      </x:c>
    </x:row>
    <x:row r="900" ht="58" customHeight="1">
      <x:c r="A900" s="10" t="str">
        <x:v>E0895</x:v>
      </x:c>
      <x:c r="B900" s="10" t="str">
        <x:v>T19.01</x:v>
      </x:c>
      <x:c r="C900" s="10" t="str">
        <x:v>Common shares, preference shares, and depositary receipts</x:v>
      </x:c>
      <x:c r="D900" s="14" t="str">
        <x:v>EXPLORE_WITH</x:v>
      </x:c>
      <x:c r="E900" s="10" t="str">
        <x:v>T19.03</x:v>
      </x:c>
      <x:c r="F900" s="10" t="str">
        <x:v>IPOs, follow-on offerings, rights issues, and private placements</x:v>
      </x:c>
      <x:c r="G900" s="10" t="str">
        <x:v>Study these together to translate business analysis into an investment thesis and understand trading mechanics.</x:v>
      </x:c>
      <x:c r="H900" s="10" t="str">
        <x:v>A topical exploration link, not a claim that one determines the other.</x:v>
      </x:c>
      <x:c r="I900" s="10" t="str">
        <x:v>Curated curriculum relationship</x:v>
      </x:c>
    </x:row>
    <x:row r="901" ht="58" customHeight="1">
      <x:c r="A901" s="9" t="str">
        <x:v>E0896</x:v>
      </x:c>
      <x:c r="B901" s="9" t="str">
        <x:v>T01.04</x:v>
      </x:c>
      <x:c r="C901" s="9" t="str">
        <x:v>Real assets versus financial assets</x:v>
      </x:c>
      <x:c r="D901" s="15" t="str">
        <x:v>RECOMMENDED_BEFORE</x:v>
      </x:c>
      <x:c r="E901" s="9" t="str">
        <x:v>T19.01</x:v>
      </x:c>
      <x:c r="F901" s="9" t="str">
        <x:v>Common shares, preference shares, and depositary receipts</x:v>
      </x:c>
      <x:c r="G901" s="9" t="str">
        <x:v>Suggested starting knowledge: Real assets versus financial assets. It helps you translate business analysis into an investment thesis and understand trading mechanics.</x:v>
      </x:c>
      <x:c r="H901" s="9" t="str">
        <x:v>Suggested learning order; learners can still explore freely.</x:v>
      </x:c>
      <x:c r="I901" s="9" t="str">
        <x:v>Curated curriculum relationship</x:v>
      </x:c>
    </x:row>
    <x:row r="902" ht="58" customHeight="1">
      <x:c r="A902" s="10" t="str">
        <x:v>E0897</x:v>
      </x:c>
      <x:c r="B902" s="10" t="str">
        <x:v>T19.02</x:v>
      </x:c>
      <x:c r="C902" s="10" t="str">
        <x:v>Primary and secondary equity markets</x:v>
      </x:c>
      <x:c r="D902" s="14" t="str">
        <x:v>PART_OF</x:v>
      </x:c>
      <x:c r="E902" s="10" t="str">
        <x:v>D19</x:v>
      </x:c>
      <x:c r="F902" s="10" t="str">
        <x:v>Equity markets and equity research</x:v>
      </x:c>
      <x:c r="G902" s="10" t="str">
        <x:v>Curriculum membership. Use this link to move between the topic and its finance area.</x:v>
      </x:c>
      <x:c r="H902" s="10" t="str">
        <x:v>Classification only; this edge is not a causal or calculation relationship.</x:v>
      </x:c>
      <x:c r="I902" s="10" t="str">
        <x:v>Curated curriculum relationship</x:v>
      </x:c>
    </x:row>
    <x:row r="903" ht="58" customHeight="1">
      <x:c r="A903" s="9" t="str">
        <x:v>E0898</x:v>
      </x:c>
      <x:c r="B903" s="9" t="str">
        <x:v>T19.02</x:v>
      </x:c>
      <x:c r="C903" s="9" t="str">
        <x:v>Primary and secondary equity markets</x:v>
      </x:c>
      <x:c r="D903" s="15" t="str">
        <x:v>EXPLORE_WITH</x:v>
      </x:c>
      <x:c r="E903" s="9" t="str">
        <x:v>T19.03</x:v>
      </x:c>
      <x:c r="F903" s="9" t="str">
        <x:v>IPOs, follow-on offerings, rights issues, and private placements</x:v>
      </x:c>
      <x:c r="G903" s="9" t="str">
        <x:v>Study these together to translate business analysis into an investment thesis and understand trading mechanics.</x:v>
      </x:c>
      <x:c r="H903" s="9" t="str">
        <x:v>A topical exploration link, not a claim that one determines the other.</x:v>
      </x:c>
      <x:c r="I903" s="9" t="str">
        <x:v>Curated curriculum relationship</x:v>
      </x:c>
    </x:row>
    <x:row r="904" ht="58" customHeight="1">
      <x:c r="A904" s="10" t="str">
        <x:v>E0899</x:v>
      </x:c>
      <x:c r="B904" s="10" t="str">
        <x:v>T01.04</x:v>
      </x:c>
      <x:c r="C904" s="10" t="str">
        <x:v>Real assets versus financial assets</x:v>
      </x:c>
      <x:c r="D904" s="14" t="str">
        <x:v>RECOMMENDED_BEFORE</x:v>
      </x:c>
      <x:c r="E904" s="10" t="str">
        <x:v>T19.02</x:v>
      </x:c>
      <x:c r="F904" s="10" t="str">
        <x:v>Primary and secondary equity markets</x:v>
      </x:c>
      <x:c r="G904" s="10" t="str">
        <x:v>Suggested starting knowledge: Real assets versus financial assets. It helps you translate business analysis into an investment thesis and understand trading mechanics.</x:v>
      </x:c>
      <x:c r="H904" s="10" t="str">
        <x:v>Suggested learning order; learners can still explore freely.</x:v>
      </x:c>
      <x:c r="I904" s="10" t="str">
        <x:v>Curated curriculum relationship</x:v>
      </x:c>
    </x:row>
    <x:row r="905" ht="58" customHeight="1">
      <x:c r="A905" s="9" t="str">
        <x:v>E0900</x:v>
      </x:c>
      <x:c r="B905" s="9" t="str">
        <x:v>T19.03</x:v>
      </x:c>
      <x:c r="C905" s="9" t="str">
        <x:v>IPOs, follow-on offerings, rights issues, and private placements</x:v>
      </x:c>
      <x:c r="D905" s="15" t="str">
        <x:v>PART_OF</x:v>
      </x:c>
      <x:c r="E905" s="9" t="str">
        <x:v>D19</x:v>
      </x:c>
      <x:c r="F905" s="9" t="str">
        <x:v>Equity markets and equity research</x:v>
      </x:c>
      <x:c r="G905" s="9" t="str">
        <x:v>Curriculum membership. Use this link to move between the topic and its finance area.</x:v>
      </x:c>
      <x:c r="H905" s="9" t="str">
        <x:v>Classification only; this edge is not a causal or calculation relationship.</x:v>
      </x:c>
      <x:c r="I905" s="9" t="str">
        <x:v>Curated curriculum relationship</x:v>
      </x:c>
    </x:row>
    <x:row r="906" ht="58" customHeight="1">
      <x:c r="A906" s="10" t="str">
        <x:v>E0901</x:v>
      </x:c>
      <x:c r="B906" s="10" t="str">
        <x:v>T19.03</x:v>
      </x:c>
      <x:c r="C906" s="10" t="str">
        <x:v>IPOs, follow-on offerings, rights issues, and private placements</x:v>
      </x:c>
      <x:c r="D906" s="14" t="str">
        <x:v>EXPLORE_WITH</x:v>
      </x:c>
      <x:c r="E906" s="10" t="str">
        <x:v>T19.01</x:v>
      </x:c>
      <x:c r="F906" s="10" t="str">
        <x:v>Common shares, preference shares, and depositary receipts</x:v>
      </x:c>
      <x:c r="G906" s="10" t="str">
        <x:v>Study these together to translate business analysis into an investment thesis and understand trading mechanics.</x:v>
      </x:c>
      <x:c r="H906" s="10" t="str">
        <x:v>A topical exploration link, not a claim that one determines the other.</x:v>
      </x:c>
      <x:c r="I906" s="10" t="str">
        <x:v>Curated curriculum relationship</x:v>
      </x:c>
    </x:row>
    <x:row r="907" ht="58" customHeight="1">
      <x:c r="A907" s="9" t="str">
        <x:v>E0902</x:v>
      </x:c>
      <x:c r="B907" s="9" t="str">
        <x:v>T01.04</x:v>
      </x:c>
      <x:c r="C907" s="9" t="str">
        <x:v>Real assets versus financial assets</x:v>
      </x:c>
      <x:c r="D907" s="15" t="str">
        <x:v>RECOMMENDED_BEFORE</x:v>
      </x:c>
      <x:c r="E907" s="9" t="str">
        <x:v>T19.03</x:v>
      </x:c>
      <x:c r="F907" s="9" t="str">
        <x:v>IPOs, follow-on offerings, rights issues, and private placements</x:v>
      </x:c>
      <x:c r="G907" s="9" t="str">
        <x:v>Suggested starting knowledge: Real assets versus financial assets. It helps you translate business analysis into an investment thesis and understand trading mechanics.</x:v>
      </x:c>
      <x:c r="H907" s="9" t="str">
        <x:v>Suggested learning order; learners can still explore freely.</x:v>
      </x:c>
      <x:c r="I907" s="9" t="str">
        <x:v>Curated curriculum relationship</x:v>
      </x:c>
    </x:row>
    <x:row r="908" ht="58" customHeight="1">
      <x:c r="A908" s="10" t="str">
        <x:v>E0903</x:v>
      </x:c>
      <x:c r="B908" s="10" t="str">
        <x:v>T19.04</x:v>
      </x:c>
      <x:c r="C908" s="10" t="str">
        <x:v>Stock exchanges, indices, and market capitalisation</x:v>
      </x:c>
      <x:c r="D908" s="14" t="str">
        <x:v>PART_OF</x:v>
      </x:c>
      <x:c r="E908" s="10" t="str">
        <x:v>D19</x:v>
      </x:c>
      <x:c r="F908" s="10" t="str">
        <x:v>Equity markets and equity research</x:v>
      </x:c>
      <x:c r="G908" s="10" t="str">
        <x:v>Curriculum membership. Use this link to move between the topic and its finance area.</x:v>
      </x:c>
      <x:c r="H908" s="10" t="str">
        <x:v>Classification only; this edge is not a causal or calculation relationship.</x:v>
      </x:c>
      <x:c r="I908" s="10" t="str">
        <x:v>Curated curriculum relationship</x:v>
      </x:c>
    </x:row>
    <x:row r="909" ht="58" customHeight="1">
      <x:c r="A909" s="9" t="str">
        <x:v>E0904</x:v>
      </x:c>
      <x:c r="B909" s="9" t="str">
        <x:v>T19.04</x:v>
      </x:c>
      <x:c r="C909" s="9" t="str">
        <x:v>Stock exchanges, indices, and market capitalisation</x:v>
      </x:c>
      <x:c r="D909" s="15" t="str">
        <x:v>EXPLORE_WITH</x:v>
      </x:c>
      <x:c r="E909" s="9" t="str">
        <x:v>T19.05</x:v>
      </x:c>
      <x:c r="F909" s="9" t="str">
        <x:v>Free float and index construction</x:v>
      </x:c>
      <x:c r="G909" s="9" t="str">
        <x:v>Study these together to translate business analysis into an investment thesis and understand trading mechanics.</x:v>
      </x:c>
      <x:c r="H909" s="9" t="str">
        <x:v>A topical exploration link, not a claim that one determines the other.</x:v>
      </x:c>
      <x:c r="I909" s="9" t="str">
        <x:v>Curated curriculum relationship</x:v>
      </x:c>
    </x:row>
    <x:row r="910" ht="58" customHeight="1">
      <x:c r="A910" s="10" t="str">
        <x:v>E0905</x:v>
      </x:c>
      <x:c r="B910" s="10" t="str">
        <x:v>T01.04</x:v>
      </x:c>
      <x:c r="C910" s="10" t="str">
        <x:v>Real assets versus financial assets</x:v>
      </x:c>
      <x:c r="D910" s="14" t="str">
        <x:v>RECOMMENDED_BEFORE</x:v>
      </x:c>
      <x:c r="E910" s="10" t="str">
        <x:v>T19.04</x:v>
      </x:c>
      <x:c r="F910" s="10" t="str">
        <x:v>Stock exchanges, indices, and market capitalisation</x:v>
      </x:c>
      <x:c r="G910" s="10" t="str">
        <x:v>Suggested starting knowledge: Real assets versus financial assets. It helps you translate business analysis into an investment thesis and understand trading mechanics.</x:v>
      </x:c>
      <x:c r="H910" s="10" t="str">
        <x:v>Suggested learning order; learners can still explore freely.</x:v>
      </x:c>
      <x:c r="I910" s="10" t="str">
        <x:v>Curated curriculum relationship</x:v>
      </x:c>
    </x:row>
    <x:row r="911" ht="58" customHeight="1">
      <x:c r="A911" s="9" t="str">
        <x:v>E0906</x:v>
      </x:c>
      <x:c r="B911" s="9" t="str">
        <x:v>T19.05</x:v>
      </x:c>
      <x:c r="C911" s="9" t="str">
        <x:v>Free float and index construction</x:v>
      </x:c>
      <x:c r="D911" s="15" t="str">
        <x:v>PART_OF</x:v>
      </x:c>
      <x:c r="E911" s="9" t="str">
        <x:v>D19</x:v>
      </x:c>
      <x:c r="F911" s="9" t="str">
        <x:v>Equity markets and equity research</x:v>
      </x:c>
      <x:c r="G911" s="9" t="str">
        <x:v>Curriculum membership. Use this link to move between the topic and its finance area.</x:v>
      </x:c>
      <x:c r="H911" s="9" t="str">
        <x:v>Classification only; this edge is not a causal or calculation relationship.</x:v>
      </x:c>
      <x:c r="I911" s="9" t="str">
        <x:v>Curated curriculum relationship</x:v>
      </x:c>
    </x:row>
    <x:row r="912" ht="58" customHeight="1">
      <x:c r="A912" s="10" t="str">
        <x:v>E0907</x:v>
      </x:c>
      <x:c r="B912" s="10" t="str">
        <x:v>T19.05</x:v>
      </x:c>
      <x:c r="C912" s="10" t="str">
        <x:v>Free float and index construction</x:v>
      </x:c>
      <x:c r="D912" s="14" t="str">
        <x:v>EXPLORE_WITH</x:v>
      </x:c>
      <x:c r="E912" s="10" t="str">
        <x:v>T19.04</x:v>
      </x:c>
      <x:c r="F912" s="10" t="str">
        <x:v>Stock exchanges, indices, and market capitalisation</x:v>
      </x:c>
      <x:c r="G912" s="10" t="str">
        <x:v>Study these together to translate business analysis into an investment thesis and understand trading mechanics.</x:v>
      </x:c>
      <x:c r="H912" s="10" t="str">
        <x:v>A topical exploration link, not a claim that one determines the other.</x:v>
      </x:c>
      <x:c r="I912" s="10" t="str">
        <x:v>Curated curriculum relationship</x:v>
      </x:c>
    </x:row>
    <x:row r="913" ht="58" customHeight="1">
      <x:c r="A913" s="9" t="str">
        <x:v>E0908</x:v>
      </x:c>
      <x:c r="B913" s="9" t="str">
        <x:v>T01.04</x:v>
      </x:c>
      <x:c r="C913" s="9" t="str">
        <x:v>Real assets versus financial assets</x:v>
      </x:c>
      <x:c r="D913" s="15" t="str">
        <x:v>RECOMMENDED_BEFORE</x:v>
      </x:c>
      <x:c r="E913" s="9" t="str">
        <x:v>T19.05</x:v>
      </x:c>
      <x:c r="F913" s="9" t="str">
        <x:v>Free float and index construction</x:v>
      </x:c>
      <x:c r="G913" s="9" t="str">
        <x:v>Suggested starting knowledge: Real assets versus financial assets. It helps you translate business analysis into an investment thesis and understand trading mechanics.</x:v>
      </x:c>
      <x:c r="H913" s="9" t="str">
        <x:v>Suggested learning order; learners can still explore freely.</x:v>
      </x:c>
      <x:c r="I913" s="9" t="str">
        <x:v>Curated curriculum relationship</x:v>
      </x:c>
    </x:row>
    <x:row r="914" ht="58" customHeight="1">
      <x:c r="A914" s="10" t="str">
        <x:v>E0909</x:v>
      </x:c>
      <x:c r="B914" s="10" t="str">
        <x:v>T19.06</x:v>
      </x:c>
      <x:c r="C914" s="10" t="str">
        <x:v>Dividends, splits, bonus issues, and buybacks</x:v>
      </x:c>
      <x:c r="D914" s="14" t="str">
        <x:v>PART_OF</x:v>
      </x:c>
      <x:c r="E914" s="10" t="str">
        <x:v>D19</x:v>
      </x:c>
      <x:c r="F914" s="10" t="str">
        <x:v>Equity markets and equity research</x:v>
      </x:c>
      <x:c r="G914" s="10" t="str">
        <x:v>Curriculum membership. Use this link to move between the topic and its finance area.</x:v>
      </x:c>
      <x:c r="H914" s="10" t="str">
        <x:v>Classification only; this edge is not a causal or calculation relationship.</x:v>
      </x:c>
      <x:c r="I914" s="10" t="str">
        <x:v>Curated curriculum relationship</x:v>
      </x:c>
    </x:row>
    <x:row r="915" ht="58" customHeight="1">
      <x:c r="A915" s="9" t="str">
        <x:v>E0910</x:v>
      </x:c>
      <x:c r="B915" s="9" t="str">
        <x:v>T19.06</x:v>
      </x:c>
      <x:c r="C915" s="9" t="str">
        <x:v>Dividends, splits, bonus issues, and buybacks</x:v>
      </x:c>
      <x:c r="D915" s="15" t="str">
        <x:v>EXPLORE_WITH</x:v>
      </x:c>
      <x:c r="E915" s="9" t="str">
        <x:v>T19.01</x:v>
      </x:c>
      <x:c r="F915" s="9" t="str">
        <x:v>Common shares, preference shares, and depositary receipts</x:v>
      </x:c>
      <x:c r="G915" s="9" t="str">
        <x:v>Study these together to translate business analysis into an investment thesis and understand trading mechanics.</x:v>
      </x:c>
      <x:c r="H915" s="9" t="str">
        <x:v>A topical exploration link, not a claim that one determines the other.</x:v>
      </x:c>
      <x:c r="I915" s="9" t="str">
        <x:v>Curated curriculum relationship</x:v>
      </x:c>
    </x:row>
    <x:row r="916" ht="58" customHeight="1">
      <x:c r="A916" s="10" t="str">
        <x:v>E0911</x:v>
      </x:c>
      <x:c r="B916" s="10" t="str">
        <x:v>T01.04</x:v>
      </x:c>
      <x:c r="C916" s="10" t="str">
        <x:v>Real assets versus financial assets</x:v>
      </x:c>
      <x:c r="D916" s="14" t="str">
        <x:v>RECOMMENDED_BEFORE</x:v>
      </x:c>
      <x:c r="E916" s="10" t="str">
        <x:v>T19.06</x:v>
      </x:c>
      <x:c r="F916" s="10" t="str">
        <x:v>Dividends, splits, bonus issues, and buybacks</x:v>
      </x:c>
      <x:c r="G916" s="10" t="str">
        <x:v>Suggested starting knowledge: Real assets versus financial assets. It helps you translate business analysis into an investment thesis and understand trading mechanics.</x:v>
      </x:c>
      <x:c r="H916" s="10" t="str">
        <x:v>Suggested learning order; learners can still explore freely.</x:v>
      </x:c>
      <x:c r="I916" s="10" t="str">
        <x:v>Curated curriculum relationship</x:v>
      </x:c>
    </x:row>
    <x:row r="917" ht="58" customHeight="1">
      <x:c r="A917" s="9" t="str">
        <x:v>E0912</x:v>
      </x:c>
      <x:c r="B917" s="9" t="str">
        <x:v>T19.07</x:v>
      </x:c>
      <x:c r="C917" s="9" t="str">
        <x:v>Order types and execution basics</x:v>
      </x:c>
      <x:c r="D917" s="15" t="str">
        <x:v>PART_OF</x:v>
      </x:c>
      <x:c r="E917" s="9" t="str">
        <x:v>D19</x:v>
      </x:c>
      <x:c r="F917" s="9" t="str">
        <x:v>Equity markets and equity research</x:v>
      </x:c>
      <x:c r="G917" s="9" t="str">
        <x:v>Curriculum membership. Use this link to move between the topic and its finance area.</x:v>
      </x:c>
      <x:c r="H917" s="9" t="str">
        <x:v>Classification only; this edge is not a causal or calculation relationship.</x:v>
      </x:c>
      <x:c r="I917" s="9" t="str">
        <x:v>Curated curriculum relationship</x:v>
      </x:c>
    </x:row>
    <x:row r="918" ht="58" customHeight="1">
      <x:c r="A918" s="10" t="str">
        <x:v>E0913</x:v>
      </x:c>
      <x:c r="B918" s="10" t="str">
        <x:v>T19.07</x:v>
      </x:c>
      <x:c r="C918" s="10" t="str">
        <x:v>Order types and execution basics</x:v>
      </x:c>
      <x:c r="D918" s="14" t="str">
        <x:v>EXPLORE_WITH</x:v>
      </x:c>
      <x:c r="E918" s="10" t="str">
        <x:v>T19.08</x:v>
      </x:c>
      <x:c r="F918" s="10" t="str">
        <x:v>Margin trading and short selling</x:v>
      </x:c>
      <x:c r="G918" s="10" t="str">
        <x:v>Study these together to translate business analysis into an investment thesis and understand trading mechanics.</x:v>
      </x:c>
      <x:c r="H918" s="10" t="str">
        <x:v>A topical exploration link, not a claim that one determines the other.</x:v>
      </x:c>
      <x:c r="I918" s="10" t="str">
        <x:v>Curated curriculum relationship</x:v>
      </x:c>
    </x:row>
    <x:row r="919" ht="58" customHeight="1">
      <x:c r="A919" s="9" t="str">
        <x:v>E0914</x:v>
      </x:c>
      <x:c r="B919" s="9" t="str">
        <x:v>T01.04</x:v>
      </x:c>
      <x:c r="C919" s="9" t="str">
        <x:v>Real assets versus financial assets</x:v>
      </x:c>
      <x:c r="D919" s="15" t="str">
        <x:v>RECOMMENDED_BEFORE</x:v>
      </x:c>
      <x:c r="E919" s="9" t="str">
        <x:v>T19.07</x:v>
      </x:c>
      <x:c r="F919" s="9" t="str">
        <x:v>Order types and execution basics</x:v>
      </x:c>
      <x:c r="G919" s="9" t="str">
        <x:v>Suggested starting knowledge: Real assets versus financial assets. It helps you translate business analysis into an investment thesis and understand trading mechanics.</x:v>
      </x:c>
      <x:c r="H919" s="9" t="str">
        <x:v>Suggested learning order; learners can still explore freely.</x:v>
      </x:c>
      <x:c r="I919" s="9" t="str">
        <x:v>Curated curriculum relationship</x:v>
      </x:c>
    </x:row>
    <x:row r="920" ht="58" customHeight="1">
      <x:c r="A920" s="10" t="str">
        <x:v>E0915</x:v>
      </x:c>
      <x:c r="B920" s="10" t="str">
        <x:v>T19.08</x:v>
      </x:c>
      <x:c r="C920" s="10" t="str">
        <x:v>Margin trading and short selling</x:v>
      </x:c>
      <x:c r="D920" s="14" t="str">
        <x:v>PART_OF</x:v>
      </x:c>
      <x:c r="E920" s="10" t="str">
        <x:v>D19</x:v>
      </x:c>
      <x:c r="F920" s="10" t="str">
        <x:v>Equity markets and equity research</x:v>
      </x:c>
      <x:c r="G920" s="10" t="str">
        <x:v>Curriculum membership. Use this link to move between the topic and its finance area.</x:v>
      </x:c>
      <x:c r="H920" s="10" t="str">
        <x:v>Classification only; this edge is not a causal or calculation relationship.</x:v>
      </x:c>
      <x:c r="I920" s="10" t="str">
        <x:v>Curated curriculum relationship</x:v>
      </x:c>
    </x:row>
    <x:row r="921" ht="58" customHeight="1">
      <x:c r="A921" s="9" t="str">
        <x:v>E0916</x:v>
      </x:c>
      <x:c r="B921" s="9" t="str">
        <x:v>T19.08</x:v>
      </x:c>
      <x:c r="C921" s="9" t="str">
        <x:v>Margin trading and short selling</x:v>
      </x:c>
      <x:c r="D921" s="15" t="str">
        <x:v>EXPLORE_WITH</x:v>
      </x:c>
      <x:c r="E921" s="9" t="str">
        <x:v>T19.09</x:v>
      </x:c>
      <x:c r="F921" s="9" t="str">
        <x:v>Securities lending</x:v>
      </x:c>
      <x:c r="G921" s="9" t="str">
        <x:v>Study these together to translate business analysis into an investment thesis and understand trading mechanics.</x:v>
      </x:c>
      <x:c r="H921" s="9" t="str">
        <x:v>A topical exploration link, not a claim that one determines the other.</x:v>
      </x:c>
      <x:c r="I921" s="9" t="str">
        <x:v>Curated curriculum relationship</x:v>
      </x:c>
    </x:row>
    <x:row r="922" ht="58" customHeight="1">
      <x:c r="A922" s="10" t="str">
        <x:v>E0917</x:v>
      </x:c>
      <x:c r="B922" s="10" t="str">
        <x:v>T01.04</x:v>
      </x:c>
      <x:c r="C922" s="10" t="str">
        <x:v>Real assets versus financial assets</x:v>
      </x:c>
      <x:c r="D922" s="14" t="str">
        <x:v>RECOMMENDED_BEFORE</x:v>
      </x:c>
      <x:c r="E922" s="10" t="str">
        <x:v>T19.08</x:v>
      </x:c>
      <x:c r="F922" s="10" t="str">
        <x:v>Margin trading and short selling</x:v>
      </x:c>
      <x:c r="G922" s="10" t="str">
        <x:v>Suggested starting knowledge: Real assets versus financial assets. It helps you translate business analysis into an investment thesis and understand trading mechanics.</x:v>
      </x:c>
      <x:c r="H922" s="10" t="str">
        <x:v>Suggested learning order; learners can still explore freely.</x:v>
      </x:c>
      <x:c r="I922" s="10" t="str">
        <x:v>Curated curriculum relationship</x:v>
      </x:c>
    </x:row>
    <x:row r="923" ht="58" customHeight="1">
      <x:c r="A923" s="9" t="str">
        <x:v>E0918</x:v>
      </x:c>
      <x:c r="B923" s="9" t="str">
        <x:v>T19.09</x:v>
      </x:c>
      <x:c r="C923" s="9" t="str">
        <x:v>Securities lending</x:v>
      </x:c>
      <x:c r="D923" s="15" t="str">
        <x:v>PART_OF</x:v>
      </x:c>
      <x:c r="E923" s="9" t="str">
        <x:v>D19</x:v>
      </x:c>
      <x:c r="F923" s="9" t="str">
        <x:v>Equity markets and equity research</x:v>
      </x:c>
      <x:c r="G923" s="9" t="str">
        <x:v>Curriculum membership. Use this link to move between the topic and its finance area.</x:v>
      </x:c>
      <x:c r="H923" s="9" t="str">
        <x:v>Classification only; this edge is not a causal or calculation relationship.</x:v>
      </x:c>
      <x:c r="I923" s="9" t="str">
        <x:v>Curated curriculum relationship</x:v>
      </x:c>
    </x:row>
    <x:row r="924" ht="58" customHeight="1">
      <x:c r="A924" s="10" t="str">
        <x:v>E0919</x:v>
      </x:c>
      <x:c r="B924" s="10" t="str">
        <x:v>T19.09</x:v>
      </x:c>
      <x:c r="C924" s="10" t="str">
        <x:v>Securities lending</x:v>
      </x:c>
      <x:c r="D924" s="14" t="str">
        <x:v>EXPLORE_WITH</x:v>
      </x:c>
      <x:c r="E924" s="10" t="str">
        <x:v>T19.08</x:v>
      </x:c>
      <x:c r="F924" s="10" t="str">
        <x:v>Margin trading and short selling</x:v>
      </x:c>
      <x:c r="G924" s="10" t="str">
        <x:v>Study these together to translate business analysis into an investment thesis and understand trading mechanics.</x:v>
      </x:c>
      <x:c r="H924" s="10" t="str">
        <x:v>A topical exploration link, not a claim that one determines the other.</x:v>
      </x:c>
      <x:c r="I924" s="10" t="str">
        <x:v>Curated curriculum relationship</x:v>
      </x:c>
    </x:row>
    <x:row r="925" ht="58" customHeight="1">
      <x:c r="A925" s="9" t="str">
        <x:v>E0920</x:v>
      </x:c>
      <x:c r="B925" s="9" t="str">
        <x:v>T01.04</x:v>
      </x:c>
      <x:c r="C925" s="9" t="str">
        <x:v>Real assets versus financial assets</x:v>
      </x:c>
      <x:c r="D925" s="15" t="str">
        <x:v>RECOMMENDED_BEFORE</x:v>
      </x:c>
      <x:c r="E925" s="9" t="str">
        <x:v>T19.09</x:v>
      </x:c>
      <x:c r="F925" s="9" t="str">
        <x:v>Securities lending</x:v>
      </x:c>
      <x:c r="G925" s="9" t="str">
        <x:v>Suggested starting knowledge: Real assets versus financial assets. It helps you translate business analysis into an investment thesis and understand trading mechanics.</x:v>
      </x:c>
      <x:c r="H925" s="9" t="str">
        <x:v>Suggested learning order; learners can still explore freely.</x:v>
      </x:c>
      <x:c r="I925" s="9" t="str">
        <x:v>Curated curriculum relationship</x:v>
      </x:c>
    </x:row>
    <x:row r="926" ht="58" customHeight="1">
      <x:c r="A926" s="10" t="str">
        <x:v>E0921</x:v>
      </x:c>
      <x:c r="B926" s="10" t="str">
        <x:v>T19.10</x:v>
      </x:c>
      <x:c r="C926" s="10" t="str">
        <x:v>Fundamental analysis</x:v>
      </x:c>
      <x:c r="D926" s="14" t="str">
        <x:v>PART_OF</x:v>
      </x:c>
      <x:c r="E926" s="10" t="str">
        <x:v>D19</x:v>
      </x:c>
      <x:c r="F926" s="10" t="str">
        <x:v>Equity markets and equity research</x:v>
      </x:c>
      <x:c r="G926" s="10" t="str">
        <x:v>Curriculum membership. Use this link to move between the topic and its finance area.</x:v>
      </x:c>
      <x:c r="H926" s="10" t="str">
        <x:v>Classification only; this edge is not a causal or calculation relationship.</x:v>
      </x:c>
      <x:c r="I926" s="10" t="str">
        <x:v>Curated curriculum relationship</x:v>
      </x:c>
    </x:row>
    <x:row r="927" ht="58" customHeight="1">
      <x:c r="A927" s="9" t="str">
        <x:v>E0922</x:v>
      </x:c>
      <x:c r="B927" s="9" t="str">
        <x:v>T19.10</x:v>
      </x:c>
      <x:c r="C927" s="9" t="str">
        <x:v>Fundamental analysis</x:v>
      </x:c>
      <x:c r="D927" s="15" t="str">
        <x:v>EXPLORE_WITH</x:v>
      </x:c>
      <x:c r="E927" s="9" t="str">
        <x:v>T19.11</x:v>
      </x:c>
      <x:c r="F927" s="9" t="str">
        <x:v>Industry analysis and competitive advantage</x:v>
      </x:c>
      <x:c r="G927" s="9" t="str">
        <x:v>Study these together to translate business analysis into an investment thesis and understand trading mechanics.</x:v>
      </x:c>
      <x:c r="H927" s="9" t="str">
        <x:v>A topical exploration link, not a claim that one determines the other.</x:v>
      </x:c>
      <x:c r="I927" s="9" t="str">
        <x:v>Curated curriculum relationship</x:v>
      </x:c>
    </x:row>
    <x:row r="928" ht="58" customHeight="1">
      <x:c r="A928" s="10" t="str">
        <x:v>E0923</x:v>
      </x:c>
      <x:c r="B928" s="10" t="str">
        <x:v>T01.04</x:v>
      </x:c>
      <x:c r="C928" s="10" t="str">
        <x:v>Real assets versus financial assets</x:v>
      </x:c>
      <x:c r="D928" s="14" t="str">
        <x:v>RECOMMENDED_BEFORE</x:v>
      </x:c>
      <x:c r="E928" s="10" t="str">
        <x:v>T19.10</x:v>
      </x:c>
      <x:c r="F928" s="10" t="str">
        <x:v>Fundamental analysis</x:v>
      </x:c>
      <x:c r="G928" s="10" t="str">
        <x:v>Suggested starting knowledge: Real assets versus financial assets. It helps you translate business analysis into an investment thesis and understand trading mechanics.</x:v>
      </x:c>
      <x:c r="H928" s="10" t="str">
        <x:v>Suggested learning order; learners can still explore freely.</x:v>
      </x:c>
      <x:c r="I928" s="10" t="str">
        <x:v>Curated curriculum relationship</x:v>
      </x:c>
    </x:row>
    <x:row r="929" ht="58" customHeight="1">
      <x:c r="A929" s="9" t="str">
        <x:v>E0924</x:v>
      </x:c>
      <x:c r="B929" s="9" t="str">
        <x:v>T19.11</x:v>
      </x:c>
      <x:c r="C929" s="9" t="str">
        <x:v>Industry analysis and competitive advantage</x:v>
      </x:c>
      <x:c r="D929" s="15" t="str">
        <x:v>PART_OF</x:v>
      </x:c>
      <x:c r="E929" s="9" t="str">
        <x:v>D19</x:v>
      </x:c>
      <x:c r="F929" s="9" t="str">
        <x:v>Equity markets and equity research</x:v>
      </x:c>
      <x:c r="G929" s="9" t="str">
        <x:v>Curriculum membership. Use this link to move between the topic and its finance area.</x:v>
      </x:c>
      <x:c r="H929" s="9" t="str">
        <x:v>Classification only; this edge is not a causal or calculation relationship.</x:v>
      </x:c>
      <x:c r="I929" s="9" t="str">
        <x:v>Curated curriculum relationship</x:v>
      </x:c>
    </x:row>
    <x:row r="930" ht="58" customHeight="1">
      <x:c r="A930" s="10" t="str">
        <x:v>E0925</x:v>
      </x:c>
      <x:c r="B930" s="10" t="str">
        <x:v>T19.11</x:v>
      </x:c>
      <x:c r="C930" s="10" t="str">
        <x:v>Industry analysis and competitive advantage</x:v>
      </x:c>
      <x:c r="D930" s="14" t="str">
        <x:v>EXPLORE_WITH</x:v>
      </x:c>
      <x:c r="E930" s="10" t="str">
        <x:v>T19.10</x:v>
      </x:c>
      <x:c r="F930" s="10" t="str">
        <x:v>Fundamental analysis</x:v>
      </x:c>
      <x:c r="G930" s="10" t="str">
        <x:v>Study these together to translate business analysis into an investment thesis and understand trading mechanics.</x:v>
      </x:c>
      <x:c r="H930" s="10" t="str">
        <x:v>A topical exploration link, not a claim that one determines the other.</x:v>
      </x:c>
      <x:c r="I930" s="10" t="str">
        <x:v>Curated curriculum relationship</x:v>
      </x:c>
    </x:row>
    <x:row r="931" ht="58" customHeight="1">
      <x:c r="A931" s="9" t="str">
        <x:v>E0926</x:v>
      </x:c>
      <x:c r="B931" s="9" t="str">
        <x:v>T01.04</x:v>
      </x:c>
      <x:c r="C931" s="9" t="str">
        <x:v>Real assets versus financial assets</x:v>
      </x:c>
      <x:c r="D931" s="15" t="str">
        <x:v>RECOMMENDED_BEFORE</x:v>
      </x:c>
      <x:c r="E931" s="9" t="str">
        <x:v>T19.11</x:v>
      </x:c>
      <x:c r="F931" s="9" t="str">
        <x:v>Industry analysis and competitive advantage</x:v>
      </x:c>
      <x:c r="G931" s="9" t="str">
        <x:v>Suggested starting knowledge: Real assets versus financial assets. It helps you translate business analysis into an investment thesis and understand trading mechanics.</x:v>
      </x:c>
      <x:c r="H931" s="9" t="str">
        <x:v>Suggested learning order; learners can still explore freely.</x:v>
      </x:c>
      <x:c r="I931" s="9" t="str">
        <x:v>Curated curriculum relationship</x:v>
      </x:c>
    </x:row>
    <x:row r="932" ht="58" customHeight="1">
      <x:c r="A932" s="10" t="str">
        <x:v>E0927</x:v>
      </x:c>
      <x:c r="B932" s="10" t="str">
        <x:v>T19.12</x:v>
      </x:c>
      <x:c r="C932" s="10" t="str">
        <x:v>Investment theses, catalysts, and risk factors</x:v>
      </x:c>
      <x:c r="D932" s="14" t="str">
        <x:v>PART_OF</x:v>
      </x:c>
      <x:c r="E932" s="10" t="str">
        <x:v>D19</x:v>
      </x:c>
      <x:c r="F932" s="10" t="str">
        <x:v>Equity markets and equity research</x:v>
      </x:c>
      <x:c r="G932" s="10" t="str">
        <x:v>Curriculum membership. Use this link to move between the topic and its finance area.</x:v>
      </x:c>
      <x:c r="H932" s="10" t="str">
        <x:v>Classification only; this edge is not a causal or calculation relationship.</x:v>
      </x:c>
      <x:c r="I932" s="10" t="str">
        <x:v>Curated curriculum relationship</x:v>
      </x:c>
    </x:row>
    <x:row r="933" ht="58" customHeight="1">
      <x:c r="A933" s="9" t="str">
        <x:v>E0928</x:v>
      </x:c>
      <x:c r="B933" s="9" t="str">
        <x:v>T19.12</x:v>
      </x:c>
      <x:c r="C933" s="9" t="str">
        <x:v>Investment theses, catalysts, and risk factors</x:v>
      </x:c>
      <x:c r="D933" s="15" t="str">
        <x:v>EXPLORE_WITH</x:v>
      </x:c>
      <x:c r="E933" s="9" t="str">
        <x:v>T19.14</x:v>
      </x:c>
      <x:c r="F933" s="9" t="str">
        <x:v>Equity research reports</x:v>
      </x:c>
      <x:c r="G933" s="9" t="str">
        <x:v>Study these together to translate business analysis into an investment thesis and understand trading mechanics.</x:v>
      </x:c>
      <x:c r="H933" s="9" t="str">
        <x:v>A topical exploration link, not a claim that one determines the other.</x:v>
      </x:c>
      <x:c r="I933" s="9" t="str">
        <x:v>Curated curriculum relationship</x:v>
      </x:c>
    </x:row>
    <x:row r="934" ht="58" customHeight="1">
      <x:c r="A934" s="10" t="str">
        <x:v>E0929</x:v>
      </x:c>
      <x:c r="B934" s="10" t="str">
        <x:v>T01.04</x:v>
      </x:c>
      <x:c r="C934" s="10" t="str">
        <x:v>Real assets versus financial assets</x:v>
      </x:c>
      <x:c r="D934" s="14" t="str">
        <x:v>RECOMMENDED_BEFORE</x:v>
      </x:c>
      <x:c r="E934" s="10" t="str">
        <x:v>T19.12</x:v>
      </x:c>
      <x:c r="F934" s="10" t="str">
        <x:v>Investment theses, catalysts, and risk factors</x:v>
      </x:c>
      <x:c r="G934" s="10" t="str">
        <x:v>Suggested starting knowledge: Real assets versus financial assets. It helps you translate business analysis into an investment thesis and understand trading mechanics.</x:v>
      </x:c>
      <x:c r="H934" s="10" t="str">
        <x:v>Suggested learning order; learners can still explore freely.</x:v>
      </x:c>
      <x:c r="I934" s="10" t="str">
        <x:v>Curated curriculum relationship</x:v>
      </x:c>
    </x:row>
    <x:row r="935" ht="58" customHeight="1">
      <x:c r="A935" s="9" t="str">
        <x:v>E0930</x:v>
      </x:c>
      <x:c r="B935" s="9" t="str">
        <x:v>T19.13</x:v>
      </x:c>
      <x:c r="C935" s="9" t="str">
        <x:v>Earnings estimates and earnings surprises</x:v>
      </x:c>
      <x:c r="D935" s="15" t="str">
        <x:v>PART_OF</x:v>
      </x:c>
      <x:c r="E935" s="9" t="str">
        <x:v>D19</x:v>
      </x:c>
      <x:c r="F935" s="9" t="str">
        <x:v>Equity markets and equity research</x:v>
      </x:c>
      <x:c r="G935" s="9" t="str">
        <x:v>Curriculum membership. Use this link to move between the topic and its finance area.</x:v>
      </x:c>
      <x:c r="H935" s="9" t="str">
        <x:v>Classification only; this edge is not a causal or calculation relationship.</x:v>
      </x:c>
      <x:c r="I935" s="9" t="str">
        <x:v>Curated curriculum relationship</x:v>
      </x:c>
    </x:row>
    <x:row r="936" ht="58" customHeight="1">
      <x:c r="A936" s="10" t="str">
        <x:v>E0931</x:v>
      </x:c>
      <x:c r="B936" s="10" t="str">
        <x:v>T19.13</x:v>
      </x:c>
      <x:c r="C936" s="10" t="str">
        <x:v>Earnings estimates and earnings surprises</x:v>
      </x:c>
      <x:c r="D936" s="14" t="str">
        <x:v>EXPLORE_WITH</x:v>
      </x:c>
      <x:c r="E936" s="10" t="str">
        <x:v>T19.12</x:v>
      </x:c>
      <x:c r="F936" s="10" t="str">
        <x:v>Investment theses, catalysts, and risk factors</x:v>
      </x:c>
      <x:c r="G936" s="10" t="str">
        <x:v>Study these together to translate business analysis into an investment thesis and understand trading mechanics.</x:v>
      </x:c>
      <x:c r="H936" s="10" t="str">
        <x:v>A topical exploration link, not a claim that one determines the other.</x:v>
      </x:c>
      <x:c r="I936" s="10" t="str">
        <x:v>Curated curriculum relationship</x:v>
      </x:c>
    </x:row>
    <x:row r="937" ht="58" customHeight="1">
      <x:c r="A937" s="9" t="str">
        <x:v>E0932</x:v>
      </x:c>
      <x:c r="B937" s="9" t="str">
        <x:v>T01.04</x:v>
      </x:c>
      <x:c r="C937" s="9" t="str">
        <x:v>Real assets versus financial assets</x:v>
      </x:c>
      <x:c r="D937" s="15" t="str">
        <x:v>RECOMMENDED_BEFORE</x:v>
      </x:c>
      <x:c r="E937" s="9" t="str">
        <x:v>T19.13</x:v>
      </x:c>
      <x:c r="F937" s="9" t="str">
        <x:v>Earnings estimates and earnings surprises</x:v>
      </x:c>
      <x:c r="G937" s="9" t="str">
        <x:v>Suggested starting knowledge: Real assets versus financial assets. It helps you translate business analysis into an investment thesis and understand trading mechanics.</x:v>
      </x:c>
      <x:c r="H937" s="9" t="str">
        <x:v>Suggested learning order; learners can still explore freely.</x:v>
      </x:c>
      <x:c r="I937" s="9" t="str">
        <x:v>Curated curriculum relationship</x:v>
      </x:c>
    </x:row>
    <x:row r="938" ht="58" customHeight="1">
      <x:c r="A938" s="10" t="str">
        <x:v>E0933</x:v>
      </x:c>
      <x:c r="B938" s="10" t="str">
        <x:v>T19.14</x:v>
      </x:c>
      <x:c r="C938" s="10" t="str">
        <x:v>Equity research reports</x:v>
      </x:c>
      <x:c r="D938" s="14" t="str">
        <x:v>PART_OF</x:v>
      </x:c>
      <x:c r="E938" s="10" t="str">
        <x:v>D19</x:v>
      </x:c>
      <x:c r="F938" s="10" t="str">
        <x:v>Equity markets and equity research</x:v>
      </x:c>
      <x:c r="G938" s="10" t="str">
        <x:v>Curriculum membership. Use this link to move between the topic and its finance area.</x:v>
      </x:c>
      <x:c r="H938" s="10" t="str">
        <x:v>Classification only; this edge is not a causal or calculation relationship.</x:v>
      </x:c>
      <x:c r="I938" s="10" t="str">
        <x:v>Curated curriculum relationship</x:v>
      </x:c>
    </x:row>
    <x:row r="939" ht="58" customHeight="1">
      <x:c r="A939" s="9" t="str">
        <x:v>E0934</x:v>
      </x:c>
      <x:c r="B939" s="9" t="str">
        <x:v>T19.14</x:v>
      </x:c>
      <x:c r="C939" s="9" t="str">
        <x:v>Equity research reports</x:v>
      </x:c>
      <x:c r="D939" s="15" t="str">
        <x:v>EXPLORE_WITH</x:v>
      </x:c>
      <x:c r="E939" s="9" t="str">
        <x:v>T19.13</x:v>
      </x:c>
      <x:c r="F939" s="9" t="str">
        <x:v>Earnings estimates and earnings surprises</x:v>
      </x:c>
      <x:c r="G939" s="9" t="str">
        <x:v>Study these together to translate business analysis into an investment thesis and understand trading mechanics.</x:v>
      </x:c>
      <x:c r="H939" s="9" t="str">
        <x:v>A topical exploration link, not a claim that one determines the other.</x:v>
      </x:c>
      <x:c r="I939" s="9" t="str">
        <x:v>Curated curriculum relationship</x:v>
      </x:c>
    </x:row>
    <x:row r="940" ht="58" customHeight="1">
      <x:c r="A940" s="10" t="str">
        <x:v>E0935</x:v>
      </x:c>
      <x:c r="B940" s="10" t="str">
        <x:v>T01.04</x:v>
      </x:c>
      <x:c r="C940" s="10" t="str">
        <x:v>Real assets versus financial assets</x:v>
      </x:c>
      <x:c r="D940" s="14" t="str">
        <x:v>RECOMMENDED_BEFORE</x:v>
      </x:c>
      <x:c r="E940" s="10" t="str">
        <x:v>T19.14</x:v>
      </x:c>
      <x:c r="F940" s="10" t="str">
        <x:v>Equity research reports</x:v>
      </x:c>
      <x:c r="G940" s="10" t="str">
        <x:v>Suggested starting knowledge: Real assets versus financial assets. It helps you translate business analysis into an investment thesis and understand trading mechanics.</x:v>
      </x:c>
      <x:c r="H940" s="10" t="str">
        <x:v>Suggested learning order; learners can still explore freely.</x:v>
      </x:c>
      <x:c r="I940" s="10" t="str">
        <x:v>Curated curriculum relationship</x:v>
      </x:c>
    </x:row>
    <x:row r="941" ht="58" customHeight="1">
      <x:c r="A941" s="9" t="str">
        <x:v>E0936</x:v>
      </x:c>
      <x:c r="B941" s="9" t="str">
        <x:v>T19.15</x:v>
      </x:c>
      <x:c r="C941" s="9" t="str">
        <x:v>Growth, value, quality, momentum, and income investing</x:v>
      </x:c>
      <x:c r="D941" s="15" t="str">
        <x:v>PART_OF</x:v>
      </x:c>
      <x:c r="E941" s="9" t="str">
        <x:v>D19</x:v>
      </x:c>
      <x:c r="F941" s="9" t="str">
        <x:v>Equity markets and equity research</x:v>
      </x:c>
      <x:c r="G941" s="9" t="str">
        <x:v>Curriculum membership. Use this link to move between the topic and its finance area.</x:v>
      </x:c>
      <x:c r="H941" s="9" t="str">
        <x:v>Classification only; this edge is not a causal or calculation relationship.</x:v>
      </x:c>
      <x:c r="I941" s="9" t="str">
        <x:v>Curated curriculum relationship</x:v>
      </x:c>
    </x:row>
    <x:row r="942" ht="58" customHeight="1">
      <x:c r="A942" s="10" t="str">
        <x:v>E0937</x:v>
      </x:c>
      <x:c r="B942" s="10" t="str">
        <x:v>T19.15</x:v>
      </x:c>
      <x:c r="C942" s="10" t="str">
        <x:v>Growth, value, quality, momentum, and income investing</x:v>
      </x:c>
      <x:c r="D942" s="14" t="str">
        <x:v>EXPLORE_WITH</x:v>
      </x:c>
      <x:c r="E942" s="10" t="str">
        <x:v>T19.12</x:v>
      </x:c>
      <x:c r="F942" s="10" t="str">
        <x:v>Investment theses, catalysts, and risk factors</x:v>
      </x:c>
      <x:c r="G942" s="10" t="str">
        <x:v>Study these together to translate business analysis into an investment thesis and understand trading mechanics.</x:v>
      </x:c>
      <x:c r="H942" s="10" t="str">
        <x:v>A topical exploration link, not a claim that one determines the other.</x:v>
      </x:c>
      <x:c r="I942" s="10" t="str">
        <x:v>Curated curriculum relationship</x:v>
      </x:c>
    </x:row>
    <x:row r="943" ht="58" customHeight="1">
      <x:c r="A943" s="9" t="str">
        <x:v>E0938</x:v>
      </x:c>
      <x:c r="B943" s="9" t="str">
        <x:v>T01.04</x:v>
      </x:c>
      <x:c r="C943" s="9" t="str">
        <x:v>Real assets versus financial assets</x:v>
      </x:c>
      <x:c r="D943" s="15" t="str">
        <x:v>RECOMMENDED_BEFORE</x:v>
      </x:c>
      <x:c r="E943" s="9" t="str">
        <x:v>T19.15</x:v>
      </x:c>
      <x:c r="F943" s="9" t="str">
        <x:v>Growth, value, quality, momentum, and income investing</x:v>
      </x:c>
      <x:c r="G943" s="9" t="str">
        <x:v>Suggested starting knowledge: Real assets versus financial assets. It helps you translate business analysis into an investment thesis and understand trading mechanics.</x:v>
      </x:c>
      <x:c r="H943" s="9" t="str">
        <x:v>Suggested learning order; learners can still explore freely.</x:v>
      </x:c>
      <x:c r="I943" s="9" t="str">
        <x:v>Curated curriculum relationship</x:v>
      </x:c>
    </x:row>
    <x:row r="944" ht="58" customHeight="1">
      <x:c r="A944" s="10" t="str">
        <x:v>E0939</x:v>
      </x:c>
      <x:c r="B944" s="10" t="str">
        <x:v>T19.16</x:v>
      </x:c>
      <x:c r="C944" s="10" t="str">
        <x:v>Technical analysis and its limitations</x:v>
      </x:c>
      <x:c r="D944" s="14" t="str">
        <x:v>PART_OF</x:v>
      </x:c>
      <x:c r="E944" s="10" t="str">
        <x:v>D19</x:v>
      </x:c>
      <x:c r="F944" s="10" t="str">
        <x:v>Equity markets and equity research</x:v>
      </x:c>
      <x:c r="G944" s="10" t="str">
        <x:v>Curriculum membership. Use this link to move between the topic and its finance area.</x:v>
      </x:c>
      <x:c r="H944" s="10" t="str">
        <x:v>Classification only; this edge is not a causal or calculation relationship.</x:v>
      </x:c>
      <x:c r="I944" s="10" t="str">
        <x:v>Curated curriculum relationship</x:v>
      </x:c>
    </x:row>
    <x:row r="945" ht="58" customHeight="1">
      <x:c r="A945" s="9" t="str">
        <x:v>E0940</x:v>
      </x:c>
      <x:c r="B945" s="9" t="str">
        <x:v>T19.16</x:v>
      </x:c>
      <x:c r="C945" s="9" t="str">
        <x:v>Technical analysis and its limitations</x:v>
      </x:c>
      <x:c r="D945" s="15" t="str">
        <x:v>EXPLORE_WITH</x:v>
      </x:c>
      <x:c r="E945" s="9" t="str">
        <x:v>T19.10</x:v>
      </x:c>
      <x:c r="F945" s="9" t="str">
        <x:v>Fundamental analysis</x:v>
      </x:c>
      <x:c r="G945" s="9" t="str">
        <x:v>Study these together to translate business analysis into an investment thesis and understand trading mechanics.</x:v>
      </x:c>
      <x:c r="H945" s="9" t="str">
        <x:v>A topical exploration link, not a claim that one determines the other.</x:v>
      </x:c>
      <x:c r="I945" s="9" t="str">
        <x:v>Curated curriculum relationship</x:v>
      </x:c>
    </x:row>
    <x:row r="946" ht="58" customHeight="1">
      <x:c r="A946" s="10" t="str">
        <x:v>E0941</x:v>
      </x:c>
      <x:c r="B946" s="10" t="str">
        <x:v>T01.04</x:v>
      </x:c>
      <x:c r="C946" s="10" t="str">
        <x:v>Real assets versus financial assets</x:v>
      </x:c>
      <x:c r="D946" s="14" t="str">
        <x:v>RECOMMENDED_BEFORE</x:v>
      </x:c>
      <x:c r="E946" s="10" t="str">
        <x:v>T19.16</x:v>
      </x:c>
      <x:c r="F946" s="10" t="str">
        <x:v>Technical analysis and its limitations</x:v>
      </x:c>
      <x:c r="G946" s="10" t="str">
        <x:v>Suggested starting knowledge: Real assets versus financial assets. It helps you translate business analysis into an investment thesis and understand trading mechanics.</x:v>
      </x:c>
      <x:c r="H946" s="10" t="str">
        <x:v>Suggested learning order; learners can still explore freely.</x:v>
      </x:c>
      <x:c r="I946" s="10" t="str">
        <x:v>Curated curriculum relationship</x:v>
      </x:c>
    </x:row>
    <x:row r="947" ht="58" customHeight="1">
      <x:c r="A947" s="9" t="str">
        <x:v>E0942</x:v>
      </x:c>
      <x:c r="B947" s="9" t="str">
        <x:v>T19.17</x:v>
      </x:c>
      <x:c r="C947" s="9" t="str">
        <x:v>Shareholding patterns and promoter pledging</x:v>
      </x:c>
      <x:c r="D947" s="15" t="str">
        <x:v>PART_OF</x:v>
      </x:c>
      <x:c r="E947" s="9" t="str">
        <x:v>D19</x:v>
      </x:c>
      <x:c r="F947" s="9" t="str">
        <x:v>Equity markets and equity research</x:v>
      </x:c>
      <x:c r="G947" s="9" t="str">
        <x:v>Curriculum membership. Use this link to move between the topic and its finance area.</x:v>
      </x:c>
      <x:c r="H947" s="9" t="str">
        <x:v>Classification only; this edge is not a causal or calculation relationship.</x:v>
      </x:c>
      <x:c r="I947" s="9" t="str">
        <x:v>Curated curriculum relationship</x:v>
      </x:c>
    </x:row>
    <x:row r="948" ht="58" customHeight="1">
      <x:c r="A948" s="10" t="str">
        <x:v>E0943</x:v>
      </x:c>
      <x:c r="B948" s="10" t="str">
        <x:v>T19.17</x:v>
      </x:c>
      <x:c r="C948" s="10" t="str">
        <x:v>Shareholding patterns and promoter pledging</x:v>
      </x:c>
      <x:c r="D948" s="14" t="str">
        <x:v>EXPLORE_WITH</x:v>
      </x:c>
      <x:c r="E948" s="10" t="str">
        <x:v>T19.12</x:v>
      </x:c>
      <x:c r="F948" s="10" t="str">
        <x:v>Investment theses, catalysts, and risk factors</x:v>
      </x:c>
      <x:c r="G948" s="10" t="str">
        <x:v>Study these together to translate business analysis into an investment thesis and understand trading mechanics.</x:v>
      </x:c>
      <x:c r="H948" s="10" t="str">
        <x:v>A topical exploration link, not a claim that one determines the other.</x:v>
      </x:c>
      <x:c r="I948" s="10" t="str">
        <x:v>Curated curriculum relationship</x:v>
      </x:c>
    </x:row>
    <x:row r="949" ht="58" customHeight="1">
      <x:c r="A949" s="9" t="str">
        <x:v>E0944</x:v>
      </x:c>
      <x:c r="B949" s="9" t="str">
        <x:v>T01.04</x:v>
      </x:c>
      <x:c r="C949" s="9" t="str">
        <x:v>Real assets versus financial assets</x:v>
      </x:c>
      <x:c r="D949" s="15" t="str">
        <x:v>RECOMMENDED_BEFORE</x:v>
      </x:c>
      <x:c r="E949" s="9" t="str">
        <x:v>T19.17</x:v>
      </x:c>
      <x:c r="F949" s="9" t="str">
        <x:v>Shareholding patterns and promoter pledging</x:v>
      </x:c>
      <x:c r="G949" s="9" t="str">
        <x:v>Suggested starting knowledge: Real assets versus financial assets. It helps you translate business analysis into an investment thesis and understand trading mechanics.</x:v>
      </x:c>
      <x:c r="H949" s="9" t="str">
        <x:v>Suggested learning order; learners can still explore freely.</x:v>
      </x:c>
      <x:c r="I949" s="9" t="str">
        <x:v>Curated curriculum relationship</x:v>
      </x:c>
    </x:row>
    <x:row r="950" ht="58" customHeight="1">
      <x:c r="A950" s="10" t="str">
        <x:v>E0945</x:v>
      </x:c>
      <x:c r="B950" s="10" t="str">
        <x:v>T20.01</x:v>
      </x:c>
      <x:c r="C950" s="10" t="str">
        <x:v>Government securities, treasury bills, and corporate bonds</x:v>
      </x:c>
      <x:c r="D950" s="14" t="str">
        <x:v>PART_OF</x:v>
      </x:c>
      <x:c r="E950" s="10" t="str">
        <x:v>D20</x:v>
      </x:c>
      <x:c r="F950" s="10" t="str">
        <x:v>Fixed income and debt markets</x:v>
      </x:c>
      <x:c r="G950" s="10" t="str">
        <x:v>Curriculum membership. Use this link to move between the topic and its finance area.</x:v>
      </x:c>
      <x:c r="H950" s="10" t="str">
        <x:v>Classification only; this edge is not a causal or calculation relationship.</x:v>
      </x:c>
      <x:c r="I950" s="10" t="str">
        <x:v>Curated curriculum relationship</x:v>
      </x:c>
    </x:row>
    <x:row r="951" ht="58" customHeight="1">
      <x:c r="A951" s="9" t="str">
        <x:v>E0946</x:v>
      </x:c>
      <x:c r="B951" s="9" t="str">
        <x:v>T20.01</x:v>
      </x:c>
      <x:c r="C951" s="9" t="str">
        <x:v>Government securities, treasury bills, and corporate bonds</x:v>
      </x:c>
      <x:c r="D951" s="15" t="str">
        <x:v>EXPLORE_WITH</x:v>
      </x:c>
      <x:c r="E951" s="9" t="str">
        <x:v>T20.03</x:v>
      </x:c>
      <x:c r="F951" s="9" t="str">
        <x:v>Coupon structures and payment conventions</x:v>
      </x:c>
      <x:c r="G951" s="9" t="str">
        <x:v>Study these together to relate debt cash flows, yields, interest-rate sensitivity and credit quality.</x:v>
      </x:c>
      <x:c r="H951" s="9" t="str">
        <x:v>A topical exploration link, not a claim that one determines the other.</x:v>
      </x:c>
      <x:c r="I951" s="9" t="str">
        <x:v>Curated curriculum relationship</x:v>
      </x:c>
    </x:row>
    <x:row r="952" ht="58" customHeight="1">
      <x:c r="A952" s="10" t="str">
        <x:v>E0947</x:v>
      </x:c>
      <x:c r="B952" s="10" t="str">
        <x:v>T03.01</x:v>
      </x:c>
      <x:c r="C952" s="10" t="str">
        <x:v>Present value and future value</x:v>
      </x:c>
      <x:c r="D952" s="14" t="str">
        <x:v>RECOMMENDED_BEFORE</x:v>
      </x:c>
      <x:c r="E952" s="10" t="str">
        <x:v>T20.01</x:v>
      </x:c>
      <x:c r="F952" s="10" t="str">
        <x:v>Government securities, treasury bills, and corporate bonds</x:v>
      </x:c>
      <x:c r="G952" s="10" t="str">
        <x:v>Suggested starting knowledge: Present value and future value. It helps you relate debt cash flows, yields, interest-rate sensitivity and credit quality.</x:v>
      </x:c>
      <x:c r="H952" s="10" t="str">
        <x:v>Suggested learning order; learners can still explore freely.</x:v>
      </x:c>
      <x:c r="I952" s="10" t="str">
        <x:v>Curated curriculum relationship</x:v>
      </x:c>
    </x:row>
    <x:row r="953" ht="58" customHeight="1">
      <x:c r="A953" s="9" t="str">
        <x:v>E0948</x:v>
      </x:c>
      <x:c r="B953" s="9" t="str">
        <x:v>T20.02</x:v>
      </x:c>
      <x:c r="C953" s="9" t="str">
        <x:v>Municipal, agency, covered, and inflation-linked bonds</x:v>
      </x:c>
      <x:c r="D953" s="15" t="str">
        <x:v>PART_OF</x:v>
      </x:c>
      <x:c r="E953" s="9" t="str">
        <x:v>D20</x:v>
      </x:c>
      <x:c r="F953" s="9" t="str">
        <x:v>Fixed income and debt markets</x:v>
      </x:c>
      <x:c r="G953" s="9" t="str">
        <x:v>Curriculum membership. Use this link to move between the topic and its finance area.</x:v>
      </x:c>
      <x:c r="H953" s="9" t="str">
        <x:v>Classification only; this edge is not a causal or calculation relationship.</x:v>
      </x:c>
      <x:c r="I953" s="9" t="str">
        <x:v>Curated curriculum relationship</x:v>
      </x:c>
    </x:row>
    <x:row r="954" ht="58" customHeight="1">
      <x:c r="A954" s="10" t="str">
        <x:v>E0949</x:v>
      </x:c>
      <x:c r="B954" s="10" t="str">
        <x:v>T20.02</x:v>
      </x:c>
      <x:c r="C954" s="10" t="str">
        <x:v>Municipal, agency, covered, and inflation-linked bonds</x:v>
      </x:c>
      <x:c r="D954" s="14" t="str">
        <x:v>EXPLORE_WITH</x:v>
      </x:c>
      <x:c r="E954" s="10" t="str">
        <x:v>T20.03</x:v>
      </x:c>
      <x:c r="F954" s="10" t="str">
        <x:v>Coupon structures and payment conventions</x:v>
      </x:c>
      <x:c r="G954" s="10" t="str">
        <x:v>Study these together to relate debt cash flows, yields, interest-rate sensitivity and credit quality.</x:v>
      </x:c>
      <x:c r="H954" s="10" t="str">
        <x:v>A topical exploration link, not a claim that one determines the other.</x:v>
      </x:c>
      <x:c r="I954" s="10" t="str">
        <x:v>Curated curriculum relationship</x:v>
      </x:c>
    </x:row>
    <x:row r="955" ht="58" customHeight="1">
      <x:c r="A955" s="9" t="str">
        <x:v>E0950</x:v>
      </x:c>
      <x:c r="B955" s="9" t="str">
        <x:v>T03.01</x:v>
      </x:c>
      <x:c r="C955" s="9" t="str">
        <x:v>Present value and future value</x:v>
      </x:c>
      <x:c r="D955" s="15" t="str">
        <x:v>RECOMMENDED_BEFORE</x:v>
      </x:c>
      <x:c r="E955" s="9" t="str">
        <x:v>T20.02</x:v>
      </x:c>
      <x:c r="F955" s="9" t="str">
        <x:v>Municipal, agency, covered, and inflation-linked bonds</x:v>
      </x:c>
      <x:c r="G955" s="9" t="str">
        <x:v>Suggested starting knowledge: Present value and future value. It helps you relate debt cash flows, yields, interest-rate sensitivity and credit quality.</x:v>
      </x:c>
      <x:c r="H955" s="9" t="str">
        <x:v>Suggested learning order; learners can still explore freely.</x:v>
      </x:c>
      <x:c r="I955" s="9" t="str">
        <x:v>Curated curriculum relationship</x:v>
      </x:c>
    </x:row>
    <x:row r="956" ht="58" customHeight="1">
      <x:c r="A956" s="10" t="str">
        <x:v>E0951</x:v>
      </x:c>
      <x:c r="B956" s="10" t="str">
        <x:v>T20.03</x:v>
      </x:c>
      <x:c r="C956" s="10" t="str">
        <x:v>Coupon structures and payment conventions</x:v>
      </x:c>
      <x:c r="D956" s="14" t="str">
        <x:v>PART_OF</x:v>
      </x:c>
      <x:c r="E956" s="10" t="str">
        <x:v>D20</x:v>
      </x:c>
      <x:c r="F956" s="10" t="str">
        <x:v>Fixed income and debt markets</x:v>
      </x:c>
      <x:c r="G956" s="10" t="str">
        <x:v>Curriculum membership. Use this link to move between the topic and its finance area.</x:v>
      </x:c>
      <x:c r="H956" s="10" t="str">
        <x:v>Classification only; this edge is not a causal or calculation relationship.</x:v>
      </x:c>
      <x:c r="I956" s="10" t="str">
        <x:v>Curated curriculum relationship</x:v>
      </x:c>
    </x:row>
    <x:row r="957" ht="58" customHeight="1">
      <x:c r="A957" s="9" t="str">
        <x:v>E0952</x:v>
      </x:c>
      <x:c r="B957" s="9" t="str">
        <x:v>T20.03</x:v>
      </x:c>
      <x:c r="C957" s="9" t="str">
        <x:v>Coupon structures and payment conventions</x:v>
      </x:c>
      <x:c r="D957" s="15" t="str">
        <x:v>EXPLORE_WITH</x:v>
      </x:c>
      <x:c r="E957" s="9" t="str">
        <x:v>T20.05</x:v>
      </x:c>
      <x:c r="F957" s="9" t="str">
        <x:v>Bond pricing</x:v>
      </x:c>
      <x:c r="G957" s="9" t="str">
        <x:v>Study these together to relate debt cash flows, yields, interest-rate sensitivity and credit quality.</x:v>
      </x:c>
      <x:c r="H957" s="9" t="str">
        <x:v>A topical exploration link, not a claim that one determines the other.</x:v>
      </x:c>
      <x:c r="I957" s="9" t="str">
        <x:v>Curated curriculum relationship</x:v>
      </x:c>
    </x:row>
    <x:row r="958" ht="58" customHeight="1">
      <x:c r="A958" s="10" t="str">
        <x:v>E0953</x:v>
      </x:c>
      <x:c r="B958" s="10" t="str">
        <x:v>T03.01</x:v>
      </x:c>
      <x:c r="C958" s="10" t="str">
        <x:v>Present value and future value</x:v>
      </x:c>
      <x:c r="D958" s="14" t="str">
        <x:v>RECOMMENDED_BEFORE</x:v>
      </x:c>
      <x:c r="E958" s="10" t="str">
        <x:v>T20.03</x:v>
      </x:c>
      <x:c r="F958" s="10" t="str">
        <x:v>Coupon structures and payment conventions</x:v>
      </x:c>
      <x:c r="G958" s="10" t="str">
        <x:v>Suggested starting knowledge: Present value and future value. It helps you relate debt cash flows, yields, interest-rate sensitivity and credit quality.</x:v>
      </x:c>
      <x:c r="H958" s="10" t="str">
        <x:v>Suggested learning order; learners can still explore freely.</x:v>
      </x:c>
      <x:c r="I958" s="10" t="str">
        <x:v>Curated curriculum relationship</x:v>
      </x:c>
    </x:row>
    <x:row r="959" ht="58" customHeight="1">
      <x:c r="A959" s="9" t="str">
        <x:v>E0954</x:v>
      </x:c>
      <x:c r="B959" s="9" t="str">
        <x:v>T20.04</x:v>
      </x:c>
      <x:c r="C959" s="9" t="str">
        <x:v>Clean price, dirty price, and accrued interest</x:v>
      </x:c>
      <x:c r="D959" s="15" t="str">
        <x:v>PART_OF</x:v>
      </x:c>
      <x:c r="E959" s="9" t="str">
        <x:v>D20</x:v>
      </x:c>
      <x:c r="F959" s="9" t="str">
        <x:v>Fixed income and debt markets</x:v>
      </x:c>
      <x:c r="G959" s="9" t="str">
        <x:v>Curriculum membership. Use this link to move between the topic and its finance area.</x:v>
      </x:c>
      <x:c r="H959" s="9" t="str">
        <x:v>Classification only; this edge is not a causal or calculation relationship.</x:v>
      </x:c>
      <x:c r="I959" s="9" t="str">
        <x:v>Curated curriculum relationship</x:v>
      </x:c>
    </x:row>
    <x:row r="960" ht="58" customHeight="1">
      <x:c r="A960" s="10" t="str">
        <x:v>E0955</x:v>
      </x:c>
      <x:c r="B960" s="10" t="str">
        <x:v>T20.04</x:v>
      </x:c>
      <x:c r="C960" s="10" t="str">
        <x:v>Clean price, dirty price, and accrued interest</x:v>
      </x:c>
      <x:c r="D960" s="14" t="str">
        <x:v>EXPLORE_WITH</x:v>
      </x:c>
      <x:c r="E960" s="10" t="str">
        <x:v>T20.06</x:v>
      </x:c>
      <x:c r="F960" s="10" t="str">
        <x:v>Current yield, yield to maturity, yield to call, and yield to worst</x:v>
      </x:c>
      <x:c r="G960" s="10" t="str">
        <x:v>Study these together to relate debt cash flows, yields, interest-rate sensitivity and credit quality.</x:v>
      </x:c>
      <x:c r="H960" s="10" t="str">
        <x:v>A topical exploration link, not a claim that one determines the other.</x:v>
      </x:c>
      <x:c r="I960" s="10" t="str">
        <x:v>Curated curriculum relationship</x:v>
      </x:c>
    </x:row>
    <x:row r="961" ht="58" customHeight="1">
      <x:c r="A961" s="9" t="str">
        <x:v>E0956</x:v>
      </x:c>
      <x:c r="B961" s="9" t="str">
        <x:v>T03.01</x:v>
      </x:c>
      <x:c r="C961" s="9" t="str">
        <x:v>Present value and future value</x:v>
      </x:c>
      <x:c r="D961" s="15" t="str">
        <x:v>RECOMMENDED_BEFORE</x:v>
      </x:c>
      <x:c r="E961" s="9" t="str">
        <x:v>T20.04</x:v>
      </x:c>
      <x:c r="F961" s="9" t="str">
        <x:v>Clean price, dirty price, and accrued interest</x:v>
      </x:c>
      <x:c r="G961" s="9" t="str">
        <x:v>Suggested starting knowledge: Present value and future value. It helps you relate debt cash flows, yields, interest-rate sensitivity and credit quality.</x:v>
      </x:c>
      <x:c r="H961" s="9" t="str">
        <x:v>Suggested learning order; learners can still explore freely.</x:v>
      </x:c>
      <x:c r="I961" s="9" t="str">
        <x:v>Curated curriculum relationship</x:v>
      </x:c>
    </x:row>
    <x:row r="962" ht="58" customHeight="1">
      <x:c r="A962" s="10" t="str">
        <x:v>E0957</x:v>
      </x:c>
      <x:c r="B962" s="10" t="str">
        <x:v>T20.05</x:v>
      </x:c>
      <x:c r="C962" s="10" t="str">
        <x:v>Bond pricing</x:v>
      </x:c>
      <x:c r="D962" s="14" t="str">
        <x:v>PART_OF</x:v>
      </x:c>
      <x:c r="E962" s="10" t="str">
        <x:v>D20</x:v>
      </x:c>
      <x:c r="F962" s="10" t="str">
        <x:v>Fixed income and debt markets</x:v>
      </x:c>
      <x:c r="G962" s="10" t="str">
        <x:v>Curriculum membership. Use this link to move between the topic and its finance area.</x:v>
      </x:c>
      <x:c r="H962" s="10" t="str">
        <x:v>Classification only; this edge is not a causal or calculation relationship.</x:v>
      </x:c>
      <x:c r="I962" s="10" t="str">
        <x:v>Curated curriculum relationship</x:v>
      </x:c>
    </x:row>
    <x:row r="963" ht="58" customHeight="1">
      <x:c r="A963" s="9" t="str">
        <x:v>E0958</x:v>
      </x:c>
      <x:c r="B963" s="9" t="str">
        <x:v>T20.05</x:v>
      </x:c>
      <x:c r="C963" s="9" t="str">
        <x:v>Bond pricing</x:v>
      </x:c>
      <x:c r="D963" s="15" t="str">
        <x:v>EXPLORE_WITH</x:v>
      </x:c>
      <x:c r="E963" s="9" t="str">
        <x:v>T20.06</x:v>
      </x:c>
      <x:c r="F963" s="9" t="str">
        <x:v>Current yield, yield to maturity, yield to call, and yield to worst</x:v>
      </x:c>
      <x:c r="G963" s="9" t="str">
        <x:v>Study these together to relate debt cash flows, yields, interest-rate sensitivity and credit quality.</x:v>
      </x:c>
      <x:c r="H963" s="9" t="str">
        <x:v>A topical exploration link, not a claim that one determines the other.</x:v>
      </x:c>
      <x:c r="I963" s="9" t="str">
        <x:v>Curated curriculum relationship</x:v>
      </x:c>
    </x:row>
    <x:row r="964" ht="58" customHeight="1">
      <x:c r="A964" s="10" t="str">
        <x:v>E0959</x:v>
      </x:c>
      <x:c r="B964" s="10" t="str">
        <x:v>T03.01</x:v>
      </x:c>
      <x:c r="C964" s="10" t="str">
        <x:v>Present value and future value</x:v>
      </x:c>
      <x:c r="D964" s="14" t="str">
        <x:v>RECOMMENDED_BEFORE</x:v>
      </x:c>
      <x:c r="E964" s="10" t="str">
        <x:v>T20.05</x:v>
      </x:c>
      <x:c r="F964" s="10" t="str">
        <x:v>Bond pricing</x:v>
      </x:c>
      <x:c r="G964" s="10" t="str">
        <x:v>Suggested starting knowledge: Present value and future value. It helps you relate debt cash flows, yields, interest-rate sensitivity and credit quality.</x:v>
      </x:c>
      <x:c r="H964" s="10" t="str">
        <x:v>Suggested learning order; learners can still explore freely.</x:v>
      </x:c>
      <x:c r="I964" s="10" t="str">
        <x:v>Curated curriculum relationship</x:v>
      </x:c>
    </x:row>
    <x:row r="965" ht="58" customHeight="1">
      <x:c r="A965" s="9" t="str">
        <x:v>E0960</x:v>
      </x:c>
      <x:c r="B965" s="9" t="str">
        <x:v>T20.06</x:v>
      </x:c>
      <x:c r="C965" s="9" t="str">
        <x:v>Current yield, yield to maturity, yield to call, and yield to worst</x:v>
      </x:c>
      <x:c r="D965" s="15" t="str">
        <x:v>PART_OF</x:v>
      </x:c>
      <x:c r="E965" s="9" t="str">
        <x:v>D20</x:v>
      </x:c>
      <x:c r="F965" s="9" t="str">
        <x:v>Fixed income and debt markets</x:v>
      </x:c>
      <x:c r="G965" s="9" t="str">
        <x:v>Curriculum membership. Use this link to move between the topic and its finance area.</x:v>
      </x:c>
      <x:c r="H965" s="9" t="str">
        <x:v>Classification only; this edge is not a causal or calculation relationship.</x:v>
      </x:c>
      <x:c r="I965" s="9" t="str">
        <x:v>Curated curriculum relationship</x:v>
      </x:c>
    </x:row>
    <x:row r="966" ht="58" customHeight="1">
      <x:c r="A966" s="10" t="str">
        <x:v>E0961</x:v>
      </x:c>
      <x:c r="B966" s="10" t="str">
        <x:v>T20.06</x:v>
      </x:c>
      <x:c r="C966" s="10" t="str">
        <x:v>Current yield, yield to maturity, yield to call, and yield to worst</x:v>
      </x:c>
      <x:c r="D966" s="14" t="str">
        <x:v>EXPLORE_WITH</x:v>
      </x:c>
      <x:c r="E966" s="10" t="str">
        <x:v>T20.05</x:v>
      </x:c>
      <x:c r="F966" s="10" t="str">
        <x:v>Bond pricing</x:v>
      </x:c>
      <x:c r="G966" s="10" t="str">
        <x:v>Study these together to relate debt cash flows, yields, interest-rate sensitivity and credit quality.</x:v>
      </x:c>
      <x:c r="H966" s="10" t="str">
        <x:v>A topical exploration link, not a claim that one determines the other.</x:v>
      </x:c>
      <x:c r="I966" s="10" t="str">
        <x:v>Curated curriculum relationship</x:v>
      </x:c>
    </x:row>
    <x:row r="967" ht="58" customHeight="1">
      <x:c r="A967" s="9" t="str">
        <x:v>E0962</x:v>
      </x:c>
      <x:c r="B967" s="9" t="str">
        <x:v>T03.01</x:v>
      </x:c>
      <x:c r="C967" s="9" t="str">
        <x:v>Present value and future value</x:v>
      </x:c>
      <x:c r="D967" s="15" t="str">
        <x:v>RECOMMENDED_BEFORE</x:v>
      </x:c>
      <x:c r="E967" s="9" t="str">
        <x:v>T20.06</x:v>
      </x:c>
      <x:c r="F967" s="9" t="str">
        <x:v>Current yield, yield to maturity, yield to call, and yield to worst</x:v>
      </x:c>
      <x:c r="G967" s="9" t="str">
        <x:v>Suggested starting knowledge: Present value and future value. It helps you relate debt cash flows, yields, interest-rate sensitivity and credit quality.</x:v>
      </x:c>
      <x:c r="H967" s="9" t="str">
        <x:v>Suggested learning order; learners can still explore freely.</x:v>
      </x:c>
      <x:c r="I967" s="9" t="str">
        <x:v>Curated curriculum relationship</x:v>
      </x:c>
    </x:row>
    <x:row r="968" ht="58" customHeight="1">
      <x:c r="A968" s="10" t="str">
        <x:v>E0963</x:v>
      </x:c>
      <x:c r="B968" s="10" t="str">
        <x:v>T20.07</x:v>
      </x:c>
      <x:c r="C968" s="10" t="str">
        <x:v>Spot rates, forward rates, and par yields</x:v>
      </x:c>
      <x:c r="D968" s="14" t="str">
        <x:v>PART_OF</x:v>
      </x:c>
      <x:c r="E968" s="10" t="str">
        <x:v>D20</x:v>
      </x:c>
      <x:c r="F968" s="10" t="str">
        <x:v>Fixed income and debt markets</x:v>
      </x:c>
      <x:c r="G968" s="10" t="str">
        <x:v>Curriculum membership. Use this link to move between the topic and its finance area.</x:v>
      </x:c>
      <x:c r="H968" s="10" t="str">
        <x:v>Classification only; this edge is not a causal or calculation relationship.</x:v>
      </x:c>
      <x:c r="I968" s="10" t="str">
        <x:v>Curated curriculum relationship</x:v>
      </x:c>
    </x:row>
    <x:row r="969" ht="58" customHeight="1">
      <x:c r="A969" s="9" t="str">
        <x:v>E0964</x:v>
      </x:c>
      <x:c r="B969" s="9" t="str">
        <x:v>T20.07</x:v>
      </x:c>
      <x:c r="C969" s="9" t="str">
        <x:v>Spot rates, forward rates, and par yields</x:v>
      </x:c>
      <x:c r="D969" s="15" t="str">
        <x:v>EXPLORE_WITH</x:v>
      </x:c>
      <x:c r="E969" s="9" t="str">
        <x:v>T20.08</x:v>
      </x:c>
      <x:c r="F969" s="9" t="str">
        <x:v>Yield curves and term-structure theories</x:v>
      </x:c>
      <x:c r="G969" s="9" t="str">
        <x:v>Study these together to relate debt cash flows, yields, interest-rate sensitivity and credit quality.</x:v>
      </x:c>
      <x:c r="H969" s="9" t="str">
        <x:v>A topical exploration link, not a claim that one determines the other.</x:v>
      </x:c>
      <x:c r="I969" s="9" t="str">
        <x:v>Curated curriculum relationship</x:v>
      </x:c>
    </x:row>
    <x:row r="970" ht="58" customHeight="1">
      <x:c r="A970" s="10" t="str">
        <x:v>E0965</x:v>
      </x:c>
      <x:c r="B970" s="10" t="str">
        <x:v>T03.01</x:v>
      </x:c>
      <x:c r="C970" s="10" t="str">
        <x:v>Present value and future value</x:v>
      </x:c>
      <x:c r="D970" s="14" t="str">
        <x:v>RECOMMENDED_BEFORE</x:v>
      </x:c>
      <x:c r="E970" s="10" t="str">
        <x:v>T20.07</x:v>
      </x:c>
      <x:c r="F970" s="10" t="str">
        <x:v>Spot rates, forward rates, and par yields</x:v>
      </x:c>
      <x:c r="G970" s="10" t="str">
        <x:v>Suggested starting knowledge: Present value and future value. It helps you relate debt cash flows, yields, interest-rate sensitivity and credit quality.</x:v>
      </x:c>
      <x:c r="H970" s="10" t="str">
        <x:v>Suggested learning order; learners can still explore freely.</x:v>
      </x:c>
      <x:c r="I970" s="10" t="str">
        <x:v>Curated curriculum relationship</x:v>
      </x:c>
    </x:row>
    <x:row r="971" ht="58" customHeight="1">
      <x:c r="A971" s="9" t="str">
        <x:v>E0966</x:v>
      </x:c>
      <x:c r="B971" s="9" t="str">
        <x:v>T20.08</x:v>
      </x:c>
      <x:c r="C971" s="9" t="str">
        <x:v>Yield curves and term-structure theories</x:v>
      </x:c>
      <x:c r="D971" s="15" t="str">
        <x:v>PART_OF</x:v>
      </x:c>
      <x:c r="E971" s="9" t="str">
        <x:v>D20</x:v>
      </x:c>
      <x:c r="F971" s="9" t="str">
        <x:v>Fixed income and debt markets</x:v>
      </x:c>
      <x:c r="G971" s="9" t="str">
        <x:v>Curriculum membership. Use this link to move between the topic and its finance area.</x:v>
      </x:c>
      <x:c r="H971" s="9" t="str">
        <x:v>Classification only; this edge is not a causal or calculation relationship.</x:v>
      </x:c>
      <x:c r="I971" s="9" t="str">
        <x:v>Curated curriculum relationship</x:v>
      </x:c>
    </x:row>
    <x:row r="972" ht="58" customHeight="1">
      <x:c r="A972" s="10" t="str">
        <x:v>E0967</x:v>
      </x:c>
      <x:c r="B972" s="10" t="str">
        <x:v>T20.08</x:v>
      </x:c>
      <x:c r="C972" s="10" t="str">
        <x:v>Yield curves and term-structure theories</x:v>
      </x:c>
      <x:c r="D972" s="14" t="str">
        <x:v>EXPLORE_WITH</x:v>
      </x:c>
      <x:c r="E972" s="10" t="str">
        <x:v>T20.09</x:v>
      </x:c>
      <x:c r="F972" s="10" t="str">
        <x:v>Bootstrapping discount curves</x:v>
      </x:c>
      <x:c r="G972" s="10" t="str">
        <x:v>Study these together to relate debt cash flows, yields, interest-rate sensitivity and credit quality.</x:v>
      </x:c>
      <x:c r="H972" s="10" t="str">
        <x:v>A topical exploration link, not a claim that one determines the other.</x:v>
      </x:c>
      <x:c r="I972" s="10" t="str">
        <x:v>Curated curriculum relationship</x:v>
      </x:c>
    </x:row>
    <x:row r="973" ht="58" customHeight="1">
      <x:c r="A973" s="9" t="str">
        <x:v>E0968</x:v>
      </x:c>
      <x:c r="B973" s="9" t="str">
        <x:v>T03.01</x:v>
      </x:c>
      <x:c r="C973" s="9" t="str">
        <x:v>Present value and future value</x:v>
      </x:c>
      <x:c r="D973" s="15" t="str">
        <x:v>RECOMMENDED_BEFORE</x:v>
      </x:c>
      <x:c r="E973" s="9" t="str">
        <x:v>T20.08</x:v>
      </x:c>
      <x:c r="F973" s="9" t="str">
        <x:v>Yield curves and term-structure theories</x:v>
      </x:c>
      <x:c r="G973" s="9" t="str">
        <x:v>Suggested starting knowledge: Present value and future value. It helps you relate debt cash flows, yields, interest-rate sensitivity and credit quality.</x:v>
      </x:c>
      <x:c r="H973" s="9" t="str">
        <x:v>Suggested learning order; learners can still explore freely.</x:v>
      </x:c>
      <x:c r="I973" s="9" t="str">
        <x:v>Curated curriculum relationship</x:v>
      </x:c>
    </x:row>
    <x:row r="974" ht="58" customHeight="1">
      <x:c r="A974" s="10" t="str">
        <x:v>E0969</x:v>
      </x:c>
      <x:c r="B974" s="10" t="str">
        <x:v>T20.09</x:v>
      </x:c>
      <x:c r="C974" s="10" t="str">
        <x:v>Bootstrapping discount curves</x:v>
      </x:c>
      <x:c r="D974" s="14" t="str">
        <x:v>PART_OF</x:v>
      </x:c>
      <x:c r="E974" s="10" t="str">
        <x:v>D20</x:v>
      </x:c>
      <x:c r="F974" s="10" t="str">
        <x:v>Fixed income and debt markets</x:v>
      </x:c>
      <x:c r="G974" s="10" t="str">
        <x:v>Curriculum membership. Use this link to move between the topic and its finance area.</x:v>
      </x:c>
      <x:c r="H974" s="10" t="str">
        <x:v>Classification only; this edge is not a causal or calculation relationship.</x:v>
      </x:c>
      <x:c r="I974" s="10" t="str">
        <x:v>Curated curriculum relationship</x:v>
      </x:c>
    </x:row>
    <x:row r="975" ht="58" customHeight="1">
      <x:c r="A975" s="9" t="str">
        <x:v>E0970</x:v>
      </x:c>
      <x:c r="B975" s="9" t="str">
        <x:v>T20.09</x:v>
      </x:c>
      <x:c r="C975" s="9" t="str">
        <x:v>Bootstrapping discount curves</x:v>
      </x:c>
      <x:c r="D975" s="15" t="str">
        <x:v>EXPLORE_WITH</x:v>
      </x:c>
      <x:c r="E975" s="9" t="str">
        <x:v>T20.07</x:v>
      </x:c>
      <x:c r="F975" s="9" t="str">
        <x:v>Spot rates, forward rates, and par yields</x:v>
      </x:c>
      <x:c r="G975" s="9" t="str">
        <x:v>Study these together to relate debt cash flows, yields, interest-rate sensitivity and credit quality.</x:v>
      </x:c>
      <x:c r="H975" s="9" t="str">
        <x:v>A topical exploration link, not a claim that one determines the other.</x:v>
      </x:c>
      <x:c r="I975" s="9" t="str">
        <x:v>Curated curriculum relationship</x:v>
      </x:c>
    </x:row>
    <x:row r="976" ht="58" customHeight="1">
      <x:c r="A976" s="10" t="str">
        <x:v>E0971</x:v>
      </x:c>
      <x:c r="B976" s="10" t="str">
        <x:v>T03.01</x:v>
      </x:c>
      <x:c r="C976" s="10" t="str">
        <x:v>Present value and future value</x:v>
      </x:c>
      <x:c r="D976" s="14" t="str">
        <x:v>RECOMMENDED_BEFORE</x:v>
      </x:c>
      <x:c r="E976" s="10" t="str">
        <x:v>T20.09</x:v>
      </x:c>
      <x:c r="F976" s="10" t="str">
        <x:v>Bootstrapping discount curves</x:v>
      </x:c>
      <x:c r="G976" s="10" t="str">
        <x:v>Suggested starting knowledge: Present value and future value. It helps you relate debt cash flows, yields, interest-rate sensitivity and credit quality.</x:v>
      </x:c>
      <x:c r="H976" s="10" t="str">
        <x:v>Suggested learning order; learners can still explore freely.</x:v>
      </x:c>
      <x:c r="I976" s="10" t="str">
        <x:v>Curated curriculum relationship</x:v>
      </x:c>
    </x:row>
    <x:row r="977" ht="58" customHeight="1">
      <x:c r="A977" s="9" t="str">
        <x:v>E0972</x:v>
      </x:c>
      <x:c r="B977" s="9" t="str">
        <x:v>T20.10</x:v>
      </x:c>
      <x:c r="C977" s="9" t="str">
        <x:v>Duration, modified duration, and effective duration</x:v>
      </x:c>
      <x:c r="D977" s="15" t="str">
        <x:v>PART_OF</x:v>
      </x:c>
      <x:c r="E977" s="9" t="str">
        <x:v>D20</x:v>
      </x:c>
      <x:c r="F977" s="9" t="str">
        <x:v>Fixed income and debt markets</x:v>
      </x:c>
      <x:c r="G977" s="9" t="str">
        <x:v>Curriculum membership. Use this link to move between the topic and its finance area.</x:v>
      </x:c>
      <x:c r="H977" s="9" t="str">
        <x:v>Classification only; this edge is not a causal or calculation relationship.</x:v>
      </x:c>
      <x:c r="I977" s="9" t="str">
        <x:v>Curated curriculum relationship</x:v>
      </x:c>
    </x:row>
    <x:row r="978" ht="58" customHeight="1">
      <x:c r="A978" s="10" t="str">
        <x:v>E0973</x:v>
      </x:c>
      <x:c r="B978" s="10" t="str">
        <x:v>T20.10</x:v>
      </x:c>
      <x:c r="C978" s="10" t="str">
        <x:v>Duration, modified duration, and effective duration</x:v>
      </x:c>
      <x:c r="D978" s="14" t="str">
        <x:v>EXPLORE_WITH</x:v>
      </x:c>
      <x:c r="E978" s="10" t="str">
        <x:v>T20.11</x:v>
      </x:c>
      <x:c r="F978" s="10" t="str">
        <x:v>Convexity and key-rate duration</x:v>
      </x:c>
      <x:c r="G978" s="10" t="str">
        <x:v>Study these together to relate debt cash flows, yields, interest-rate sensitivity and credit quality.</x:v>
      </x:c>
      <x:c r="H978" s="10" t="str">
        <x:v>A topical exploration link, not a claim that one determines the other.</x:v>
      </x:c>
      <x:c r="I978" s="10" t="str">
        <x:v>Curated curriculum relationship</x:v>
      </x:c>
    </x:row>
    <x:row r="979" ht="58" customHeight="1">
      <x:c r="A979" s="9" t="str">
        <x:v>E0974</x:v>
      </x:c>
      <x:c r="B979" s="9" t="str">
        <x:v>T03.01</x:v>
      </x:c>
      <x:c r="C979" s="9" t="str">
        <x:v>Present value and future value</x:v>
      </x:c>
      <x:c r="D979" s="15" t="str">
        <x:v>RECOMMENDED_BEFORE</x:v>
      </x:c>
      <x:c r="E979" s="9" t="str">
        <x:v>T20.10</x:v>
      </x:c>
      <x:c r="F979" s="9" t="str">
        <x:v>Duration, modified duration, and effective duration</x:v>
      </x:c>
      <x:c r="G979" s="9" t="str">
        <x:v>Suggested starting knowledge: Present value and future value. It helps you relate debt cash flows, yields, interest-rate sensitivity and credit quality.</x:v>
      </x:c>
      <x:c r="H979" s="9" t="str">
        <x:v>Suggested learning order; learners can still explore freely.</x:v>
      </x:c>
      <x:c r="I979" s="9" t="str">
        <x:v>Curated curriculum relationship</x:v>
      </x:c>
    </x:row>
    <x:row r="980" ht="58" customHeight="1">
      <x:c r="A980" s="10" t="str">
        <x:v>E0975</x:v>
      </x:c>
      <x:c r="B980" s="10" t="str">
        <x:v>T20.11</x:v>
      </x:c>
      <x:c r="C980" s="10" t="str">
        <x:v>Convexity and key-rate duration</x:v>
      </x:c>
      <x:c r="D980" s="14" t="str">
        <x:v>PART_OF</x:v>
      </x:c>
      <x:c r="E980" s="10" t="str">
        <x:v>D20</x:v>
      </x:c>
      <x:c r="F980" s="10" t="str">
        <x:v>Fixed income and debt markets</x:v>
      </x:c>
      <x:c r="G980" s="10" t="str">
        <x:v>Curriculum membership. Use this link to move between the topic and its finance area.</x:v>
      </x:c>
      <x:c r="H980" s="10" t="str">
        <x:v>Classification only; this edge is not a causal or calculation relationship.</x:v>
      </x:c>
      <x:c r="I980" s="10" t="str">
        <x:v>Curated curriculum relationship</x:v>
      </x:c>
    </x:row>
    <x:row r="981" ht="58" customHeight="1">
      <x:c r="A981" s="9" t="str">
        <x:v>E0976</x:v>
      </x:c>
      <x:c r="B981" s="9" t="str">
        <x:v>T20.11</x:v>
      </x:c>
      <x:c r="C981" s="9" t="str">
        <x:v>Convexity and key-rate duration</x:v>
      </x:c>
      <x:c r="D981" s="15" t="str">
        <x:v>EXPLORE_WITH</x:v>
      </x:c>
      <x:c r="E981" s="9" t="str">
        <x:v>T20.10</x:v>
      </x:c>
      <x:c r="F981" s="9" t="str">
        <x:v>Duration, modified duration, and effective duration</x:v>
      </x:c>
      <x:c r="G981" s="9" t="str">
        <x:v>Study these together to relate debt cash flows, yields, interest-rate sensitivity and credit quality.</x:v>
      </x:c>
      <x:c r="H981" s="9" t="str">
        <x:v>A topical exploration link, not a claim that one determines the other.</x:v>
      </x:c>
      <x:c r="I981" s="9" t="str">
        <x:v>Curated curriculum relationship</x:v>
      </x:c>
    </x:row>
    <x:row r="982" ht="58" customHeight="1">
      <x:c r="A982" s="10" t="str">
        <x:v>E0977</x:v>
      </x:c>
      <x:c r="B982" s="10" t="str">
        <x:v>T03.01</x:v>
      </x:c>
      <x:c r="C982" s="10" t="str">
        <x:v>Present value and future value</x:v>
      </x:c>
      <x:c r="D982" s="14" t="str">
        <x:v>RECOMMENDED_BEFORE</x:v>
      </x:c>
      <x:c r="E982" s="10" t="str">
        <x:v>T20.11</x:v>
      </x:c>
      <x:c r="F982" s="10" t="str">
        <x:v>Convexity and key-rate duration</x:v>
      </x:c>
      <x:c r="G982" s="10" t="str">
        <x:v>Suggested starting knowledge: Present value and future value. It helps you relate debt cash flows, yields, interest-rate sensitivity and credit quality.</x:v>
      </x:c>
      <x:c r="H982" s="10" t="str">
        <x:v>Suggested learning order; learners can still explore freely.</x:v>
      </x:c>
      <x:c r="I982" s="10" t="str">
        <x:v>Curated curriculum relationship</x:v>
      </x:c>
    </x:row>
    <x:row r="983" ht="58" customHeight="1">
      <x:c r="A983" s="9" t="str">
        <x:v>E0978</x:v>
      </x:c>
      <x:c r="B983" s="9" t="str">
        <x:v>T20.12</x:v>
      </x:c>
      <x:c r="C983" s="9" t="str">
        <x:v>Credit spreads and spread duration</x:v>
      </x:c>
      <x:c r="D983" s="15" t="str">
        <x:v>PART_OF</x:v>
      </x:c>
      <x:c r="E983" s="9" t="str">
        <x:v>D20</x:v>
      </x:c>
      <x:c r="F983" s="9" t="str">
        <x:v>Fixed income and debt markets</x:v>
      </x:c>
      <x:c r="G983" s="9" t="str">
        <x:v>Curriculum membership. Use this link to move between the topic and its finance area.</x:v>
      </x:c>
      <x:c r="H983" s="9" t="str">
        <x:v>Classification only; this edge is not a causal or calculation relationship.</x:v>
      </x:c>
      <x:c r="I983" s="9" t="str">
        <x:v>Curated curriculum relationship</x:v>
      </x:c>
    </x:row>
    <x:row r="984" ht="58" customHeight="1">
      <x:c r="A984" s="10" t="str">
        <x:v>E0979</x:v>
      </x:c>
      <x:c r="B984" s="10" t="str">
        <x:v>T20.12</x:v>
      </x:c>
      <x:c r="C984" s="10" t="str">
        <x:v>Credit spreads and spread duration</x:v>
      </x:c>
      <x:c r="D984" s="14" t="str">
        <x:v>EXPLORE_WITH</x:v>
      </x:c>
      <x:c r="E984" s="10" t="str">
        <x:v>T20.15</x:v>
      </x:c>
      <x:c r="F984" s="10" t="str">
        <x:v>Default, recovery, and bond covenants</x:v>
      </x:c>
      <x:c r="G984" s="10" t="str">
        <x:v>Study these together to relate debt cash flows, yields, interest-rate sensitivity and credit quality.</x:v>
      </x:c>
      <x:c r="H984" s="10" t="str">
        <x:v>A topical exploration link, not a claim that one determines the other.</x:v>
      </x:c>
      <x:c r="I984" s="10" t="str">
        <x:v>Curated curriculum relationship</x:v>
      </x:c>
    </x:row>
    <x:row r="985" ht="58" customHeight="1">
      <x:c r="A985" s="9" t="str">
        <x:v>E0980</x:v>
      </x:c>
      <x:c r="B985" s="9" t="str">
        <x:v>T03.01</x:v>
      </x:c>
      <x:c r="C985" s="9" t="str">
        <x:v>Present value and future value</x:v>
      </x:c>
      <x:c r="D985" s="15" t="str">
        <x:v>RECOMMENDED_BEFORE</x:v>
      </x:c>
      <x:c r="E985" s="9" t="str">
        <x:v>T20.12</x:v>
      </x:c>
      <x:c r="F985" s="9" t="str">
        <x:v>Credit spreads and spread duration</x:v>
      </x:c>
      <x:c r="G985" s="9" t="str">
        <x:v>Suggested starting knowledge: Present value and future value. It helps you relate debt cash flows, yields, interest-rate sensitivity and credit quality.</x:v>
      </x:c>
      <x:c r="H985" s="9" t="str">
        <x:v>Suggested learning order; learners can still explore freely.</x:v>
      </x:c>
      <x:c r="I985" s="9" t="str">
        <x:v>Curated curriculum relationship</x:v>
      </x:c>
    </x:row>
    <x:row r="986" ht="58" customHeight="1">
      <x:c r="A986" s="10" t="str">
        <x:v>E0981</x:v>
      </x:c>
      <x:c r="B986" s="10" t="str">
        <x:v>T20.13</x:v>
      </x:c>
      <x:c r="C986" s="10" t="str">
        <x:v>Floating-rate notes</x:v>
      </x:c>
      <x:c r="D986" s="14" t="str">
        <x:v>PART_OF</x:v>
      </x:c>
      <x:c r="E986" s="10" t="str">
        <x:v>D20</x:v>
      </x:c>
      <x:c r="F986" s="10" t="str">
        <x:v>Fixed income and debt markets</x:v>
      </x:c>
      <x:c r="G986" s="10" t="str">
        <x:v>Curriculum membership. Use this link to move between the topic and its finance area.</x:v>
      </x:c>
      <x:c r="H986" s="10" t="str">
        <x:v>Classification only; this edge is not a causal or calculation relationship.</x:v>
      </x:c>
      <x:c r="I986" s="10" t="str">
        <x:v>Curated curriculum relationship</x:v>
      </x:c>
    </x:row>
    <x:row r="987" ht="58" customHeight="1">
      <x:c r="A987" s="9" t="str">
        <x:v>E0982</x:v>
      </x:c>
      <x:c r="B987" s="9" t="str">
        <x:v>T20.13</x:v>
      </x:c>
      <x:c r="C987" s="9" t="str">
        <x:v>Floating-rate notes</x:v>
      </x:c>
      <x:c r="D987" s="15" t="str">
        <x:v>EXPLORE_WITH</x:v>
      </x:c>
      <x:c r="E987" s="9" t="str">
        <x:v>T20.03</x:v>
      </x:c>
      <x:c r="F987" s="9" t="str">
        <x:v>Coupon structures and payment conventions</x:v>
      </x:c>
      <x:c r="G987" s="9" t="str">
        <x:v>Study these together to relate debt cash flows, yields, interest-rate sensitivity and credit quality.</x:v>
      </x:c>
      <x:c r="H987" s="9" t="str">
        <x:v>A topical exploration link, not a claim that one determines the other.</x:v>
      </x:c>
      <x:c r="I987" s="9" t="str">
        <x:v>Curated curriculum relationship</x:v>
      </x:c>
    </x:row>
    <x:row r="988" ht="58" customHeight="1">
      <x:c r="A988" s="10" t="str">
        <x:v>E0983</x:v>
      </x:c>
      <x:c r="B988" s="10" t="str">
        <x:v>T03.01</x:v>
      </x:c>
      <x:c r="C988" s="10" t="str">
        <x:v>Present value and future value</x:v>
      </x:c>
      <x:c r="D988" s="14" t="str">
        <x:v>RECOMMENDED_BEFORE</x:v>
      </x:c>
      <x:c r="E988" s="10" t="str">
        <x:v>T20.13</x:v>
      </x:c>
      <x:c r="F988" s="10" t="str">
        <x:v>Floating-rate notes</x:v>
      </x:c>
      <x:c r="G988" s="10" t="str">
        <x:v>Suggested starting knowledge: Present value and future value. It helps you relate debt cash flows, yields, interest-rate sensitivity and credit quality.</x:v>
      </x:c>
      <x:c r="H988" s="10" t="str">
        <x:v>Suggested learning order; learners can still explore freely.</x:v>
      </x:c>
      <x:c r="I988" s="10" t="str">
        <x:v>Curated curriculum relationship</x:v>
      </x:c>
    </x:row>
    <x:row r="989" ht="58" customHeight="1">
      <x:c r="A989" s="9" t="str">
        <x:v>E0984</x:v>
      </x:c>
      <x:c r="B989" s="9" t="str">
        <x:v>T20.14</x:v>
      </x:c>
      <x:c r="C989" s="9" t="str">
        <x:v>Callable, puttable, and convertible bonds</x:v>
      </x:c>
      <x:c r="D989" s="15" t="str">
        <x:v>PART_OF</x:v>
      </x:c>
      <x:c r="E989" s="9" t="str">
        <x:v>D20</x:v>
      </x:c>
      <x:c r="F989" s="9" t="str">
        <x:v>Fixed income and debt markets</x:v>
      </x:c>
      <x:c r="G989" s="9" t="str">
        <x:v>Curriculum membership. Use this link to move between the topic and its finance area.</x:v>
      </x:c>
      <x:c r="H989" s="9" t="str">
        <x:v>Classification only; this edge is not a causal or calculation relationship.</x:v>
      </x:c>
      <x:c r="I989" s="9" t="str">
        <x:v>Curated curriculum relationship</x:v>
      </x:c>
    </x:row>
    <x:row r="990" ht="58" customHeight="1">
      <x:c r="A990" s="10" t="str">
        <x:v>E0985</x:v>
      </x:c>
      <x:c r="B990" s="10" t="str">
        <x:v>T20.14</x:v>
      </x:c>
      <x:c r="C990" s="10" t="str">
        <x:v>Callable, puttable, and convertible bonds</x:v>
      </x:c>
      <x:c r="D990" s="14" t="str">
        <x:v>EXPLORE_WITH</x:v>
      </x:c>
      <x:c r="E990" s="10" t="str">
        <x:v>T20.05</x:v>
      </x:c>
      <x:c r="F990" s="10" t="str">
        <x:v>Bond pricing</x:v>
      </x:c>
      <x:c r="G990" s="10" t="str">
        <x:v>Study these together to relate debt cash flows, yields, interest-rate sensitivity and credit quality.</x:v>
      </x:c>
      <x:c r="H990" s="10" t="str">
        <x:v>A topical exploration link, not a claim that one determines the other.</x:v>
      </x:c>
      <x:c r="I990" s="10" t="str">
        <x:v>Curated curriculum relationship</x:v>
      </x:c>
    </x:row>
    <x:row r="991" ht="58" customHeight="1">
      <x:c r="A991" s="9" t="str">
        <x:v>E0986</x:v>
      </x:c>
      <x:c r="B991" s="9" t="str">
        <x:v>T03.01</x:v>
      </x:c>
      <x:c r="C991" s="9" t="str">
        <x:v>Present value and future value</x:v>
      </x:c>
      <x:c r="D991" s="15" t="str">
        <x:v>RECOMMENDED_BEFORE</x:v>
      </x:c>
      <x:c r="E991" s="9" t="str">
        <x:v>T20.14</x:v>
      </x:c>
      <x:c r="F991" s="9" t="str">
        <x:v>Callable, puttable, and convertible bonds</x:v>
      </x:c>
      <x:c r="G991" s="9" t="str">
        <x:v>Suggested starting knowledge: Present value and future value. It helps you relate debt cash flows, yields, interest-rate sensitivity and credit quality.</x:v>
      </x:c>
      <x:c r="H991" s="9" t="str">
        <x:v>Suggested learning order; learners can still explore freely.</x:v>
      </x:c>
      <x:c r="I991" s="9" t="str">
        <x:v>Curated curriculum relationship</x:v>
      </x:c>
    </x:row>
    <x:row r="992" ht="58" customHeight="1">
      <x:c r="A992" s="10" t="str">
        <x:v>E0987</x:v>
      </x:c>
      <x:c r="B992" s="10" t="str">
        <x:v>T20.15</x:v>
      </x:c>
      <x:c r="C992" s="10" t="str">
        <x:v>Default, recovery, and bond covenants</x:v>
      </x:c>
      <x:c r="D992" s="14" t="str">
        <x:v>PART_OF</x:v>
      </x:c>
      <x:c r="E992" s="10" t="str">
        <x:v>D20</x:v>
      </x:c>
      <x:c r="F992" s="10" t="str">
        <x:v>Fixed income and debt markets</x:v>
      </x:c>
      <x:c r="G992" s="10" t="str">
        <x:v>Curriculum membership. Use this link to move between the topic and its finance area.</x:v>
      </x:c>
      <x:c r="H992" s="10" t="str">
        <x:v>Classification only; this edge is not a causal or calculation relationship.</x:v>
      </x:c>
      <x:c r="I992" s="10" t="str">
        <x:v>Curated curriculum relationship</x:v>
      </x:c>
    </x:row>
    <x:row r="993" ht="58" customHeight="1">
      <x:c r="A993" s="9" t="str">
        <x:v>E0988</x:v>
      </x:c>
      <x:c r="B993" s="9" t="str">
        <x:v>T20.15</x:v>
      </x:c>
      <x:c r="C993" s="9" t="str">
        <x:v>Default, recovery, and bond covenants</x:v>
      </x:c>
      <x:c r="D993" s="15" t="str">
        <x:v>EXPLORE_WITH</x:v>
      </x:c>
      <x:c r="E993" s="9" t="str">
        <x:v>T20.12</x:v>
      </x:c>
      <x:c r="F993" s="9" t="str">
        <x:v>Credit spreads and spread duration</x:v>
      </x:c>
      <x:c r="G993" s="9" t="str">
        <x:v>Study these together to relate debt cash flows, yields, interest-rate sensitivity and credit quality.</x:v>
      </x:c>
      <x:c r="H993" s="9" t="str">
        <x:v>A topical exploration link, not a claim that one determines the other.</x:v>
      </x:c>
      <x:c r="I993" s="9" t="str">
        <x:v>Curated curriculum relationship</x:v>
      </x:c>
    </x:row>
    <x:row r="994" ht="58" customHeight="1">
      <x:c r="A994" s="10" t="str">
        <x:v>E0989</x:v>
      </x:c>
      <x:c r="B994" s="10" t="str">
        <x:v>T03.01</x:v>
      </x:c>
      <x:c r="C994" s="10" t="str">
        <x:v>Present value and future value</x:v>
      </x:c>
      <x:c r="D994" s="14" t="str">
        <x:v>RECOMMENDED_BEFORE</x:v>
      </x:c>
      <x:c r="E994" s="10" t="str">
        <x:v>T20.15</x:v>
      </x:c>
      <x:c r="F994" s="10" t="str">
        <x:v>Default, recovery, and bond covenants</x:v>
      </x:c>
      <x:c r="G994" s="10" t="str">
        <x:v>Suggested starting knowledge: Present value and future value. It helps you relate debt cash flows, yields, interest-rate sensitivity and credit quality.</x:v>
      </x:c>
      <x:c r="H994" s="10" t="str">
        <x:v>Suggested learning order; learners can still explore freely.</x:v>
      </x:c>
      <x:c r="I994" s="10" t="str">
        <x:v>Curated curriculum relationship</x:v>
      </x:c>
    </x:row>
    <x:row r="995" ht="58" customHeight="1">
      <x:c r="A995" s="9" t="str">
        <x:v>E0990</x:v>
      </x:c>
      <x:c r="B995" s="9" t="str">
        <x:v>T20.16</x:v>
      </x:c>
      <x:c r="C995" s="9" t="str">
        <x:v>Bond portfolio strategies, ladders, and immunisation</x:v>
      </x:c>
      <x:c r="D995" s="15" t="str">
        <x:v>PART_OF</x:v>
      </x:c>
      <x:c r="E995" s="9" t="str">
        <x:v>D20</x:v>
      </x:c>
      <x:c r="F995" s="9" t="str">
        <x:v>Fixed income and debt markets</x:v>
      </x:c>
      <x:c r="G995" s="9" t="str">
        <x:v>Curriculum membership. Use this link to move between the topic and its finance area.</x:v>
      </x:c>
      <x:c r="H995" s="9" t="str">
        <x:v>Classification only; this edge is not a causal or calculation relationship.</x:v>
      </x:c>
      <x:c r="I995" s="9" t="str">
        <x:v>Curated curriculum relationship</x:v>
      </x:c>
    </x:row>
    <x:row r="996" ht="58" customHeight="1">
      <x:c r="A996" s="10" t="str">
        <x:v>E0991</x:v>
      </x:c>
      <x:c r="B996" s="10" t="str">
        <x:v>T20.16</x:v>
      </x:c>
      <x:c r="C996" s="10" t="str">
        <x:v>Bond portfolio strategies, ladders, and immunisation</x:v>
      </x:c>
      <x:c r="D996" s="14" t="str">
        <x:v>EXPLORE_WITH</x:v>
      </x:c>
      <x:c r="E996" s="10" t="str">
        <x:v>T20.10</x:v>
      </x:c>
      <x:c r="F996" s="10" t="str">
        <x:v>Duration, modified duration, and effective duration</x:v>
      </x:c>
      <x:c r="G996" s="10" t="str">
        <x:v>Study these together to relate debt cash flows, yields, interest-rate sensitivity and credit quality.</x:v>
      </x:c>
      <x:c r="H996" s="10" t="str">
        <x:v>A topical exploration link, not a claim that one determines the other.</x:v>
      </x:c>
      <x:c r="I996" s="10" t="str">
        <x:v>Curated curriculum relationship</x:v>
      </x:c>
    </x:row>
    <x:row r="997" ht="58" customHeight="1">
      <x:c r="A997" s="9" t="str">
        <x:v>E0992</x:v>
      </x:c>
      <x:c r="B997" s="9" t="str">
        <x:v>T03.01</x:v>
      </x:c>
      <x:c r="C997" s="9" t="str">
        <x:v>Present value and future value</x:v>
      </x:c>
      <x:c r="D997" s="15" t="str">
        <x:v>RECOMMENDED_BEFORE</x:v>
      </x:c>
      <x:c r="E997" s="9" t="str">
        <x:v>T20.16</x:v>
      </x:c>
      <x:c r="F997" s="9" t="str">
        <x:v>Bond portfolio strategies, ladders, and immunisation</x:v>
      </x:c>
      <x:c r="G997" s="9" t="str">
        <x:v>Suggested starting knowledge: Present value and future value. It helps you relate debt cash flows, yields, interest-rate sensitivity and credit quality.</x:v>
      </x:c>
      <x:c r="H997" s="9" t="str">
        <x:v>Suggested learning order; learners can still explore freely.</x:v>
      </x:c>
      <x:c r="I997" s="9" t="str">
        <x:v>Curated curriculum relationship</x:v>
      </x:c>
    </x:row>
    <x:row r="998" ht="58" customHeight="1">
      <x:c r="A998" s="10" t="str">
        <x:v>E0993</x:v>
      </x:c>
      <x:c r="B998" s="10" t="str">
        <x:v>T20.17</x:v>
      </x:c>
      <x:c r="C998" s="10" t="str">
        <x:v>Fixed-income attribution and relative value</x:v>
      </x:c>
      <x:c r="D998" s="14" t="str">
        <x:v>PART_OF</x:v>
      </x:c>
      <x:c r="E998" s="10" t="str">
        <x:v>D20</x:v>
      </x:c>
      <x:c r="F998" s="10" t="str">
        <x:v>Fixed income and debt markets</x:v>
      </x:c>
      <x:c r="G998" s="10" t="str">
        <x:v>Curriculum membership. Use this link to move between the topic and its finance area.</x:v>
      </x:c>
      <x:c r="H998" s="10" t="str">
        <x:v>Classification only; this edge is not a causal or calculation relationship.</x:v>
      </x:c>
      <x:c r="I998" s="10" t="str">
        <x:v>Curated curriculum relationship</x:v>
      </x:c>
    </x:row>
    <x:row r="999" ht="58" customHeight="1">
      <x:c r="A999" s="9" t="str">
        <x:v>E0994</x:v>
      </x:c>
      <x:c r="B999" s="9" t="str">
        <x:v>T20.17</x:v>
      </x:c>
      <x:c r="C999" s="9" t="str">
        <x:v>Fixed-income attribution and relative value</x:v>
      </x:c>
      <x:c r="D999" s="15" t="str">
        <x:v>EXPLORE_WITH</x:v>
      </x:c>
      <x:c r="E999" s="9" t="str">
        <x:v>T20.16</x:v>
      </x:c>
      <x:c r="F999" s="9" t="str">
        <x:v>Bond portfolio strategies, ladders, and immunisation</x:v>
      </x:c>
      <x:c r="G999" s="9" t="str">
        <x:v>Study these together to relate debt cash flows, yields, interest-rate sensitivity and credit quality.</x:v>
      </x:c>
      <x:c r="H999" s="9" t="str">
        <x:v>A topical exploration link, not a claim that one determines the other.</x:v>
      </x:c>
      <x:c r="I999" s="9" t="str">
        <x:v>Curated curriculum relationship</x:v>
      </x:c>
    </x:row>
    <x:row r="1000" ht="58" customHeight="1">
      <x:c r="A1000" s="10" t="str">
        <x:v>E0995</x:v>
      </x:c>
      <x:c r="B1000" s="10" t="str">
        <x:v>T03.01</x:v>
      </x:c>
      <x:c r="C1000" s="10" t="str">
        <x:v>Present value and future value</x:v>
      </x:c>
      <x:c r="D1000" s="14" t="str">
        <x:v>RECOMMENDED_BEFORE</x:v>
      </x:c>
      <x:c r="E1000" s="10" t="str">
        <x:v>T20.17</x:v>
      </x:c>
      <x:c r="F1000" s="10" t="str">
        <x:v>Fixed-income attribution and relative value</x:v>
      </x:c>
      <x:c r="G1000" s="10" t="str">
        <x:v>Suggested starting knowledge: Present value and future value. It helps you relate debt cash flows, yields, interest-rate sensitivity and credit quality.</x:v>
      </x:c>
      <x:c r="H1000" s="10" t="str">
        <x:v>Suggested learning order; learners can still explore freely.</x:v>
      </x:c>
      <x:c r="I1000" s="10" t="str">
        <x:v>Curated curriculum relationship</x:v>
      </x:c>
    </x:row>
    <x:row r="1001" ht="58" customHeight="1">
      <x:c r="A1001" s="9" t="str">
        <x:v>E0996</x:v>
      </x:c>
      <x:c r="B1001" s="9" t="str">
        <x:v>T21.01</x:v>
      </x:c>
      <x:c r="C1001" s="9" t="str">
        <x:v>Forwards and futures</x:v>
      </x:c>
      <x:c r="D1001" s="15" t="str">
        <x:v>PART_OF</x:v>
      </x:c>
      <x:c r="E1001" s="9" t="str">
        <x:v>D21</x:v>
      </x:c>
      <x:c r="F1001" s="9" t="str">
        <x:v>Derivatives and structured products</x:v>
      </x:c>
      <x:c r="G1001" s="9" t="str">
        <x:v>Curriculum membership. Use this link to move between the topic and its finance area.</x:v>
      </x:c>
      <x:c r="H1001" s="9" t="str">
        <x:v>Classification only; this edge is not a causal or calculation relationship.</x:v>
      </x:c>
      <x:c r="I1001" s="9" t="str">
        <x:v>Curated curriculum relationship</x:v>
      </x:c>
    </x:row>
    <x:row r="1002" ht="58" customHeight="1">
      <x:c r="A1002" s="10" t="str">
        <x:v>E0997</x:v>
      </x:c>
      <x:c r="B1002" s="10" t="str">
        <x:v>T21.01</x:v>
      </x:c>
      <x:c r="C1002" s="10" t="str">
        <x:v>Forwards and futures</x:v>
      </x:c>
      <x:c r="D1002" s="14" t="str">
        <x:v>EXPLORE_WITH</x:v>
      </x:c>
      <x:c r="E1002" s="10" t="str">
        <x:v>T21.17</x:v>
      </x:c>
      <x:c r="F1002" s="10" t="str">
        <x:v>Hedging, speculation, and arbitrage</x:v>
      </x:c>
      <x:c r="G1002" s="10" t="str">
        <x:v>Study these together to understand contingent payoffs, pricing inputs and hedge limitations.</x:v>
      </x:c>
      <x:c r="H1002" s="10" t="str">
        <x:v>A topical exploration link, not a claim that one determines the other.</x:v>
      </x:c>
      <x:c r="I1002" s="10" t="str">
        <x:v>Curated curriculum relationship</x:v>
      </x:c>
    </x:row>
    <x:row r="1003" ht="58" customHeight="1">
      <x:c r="A1003" s="9" t="str">
        <x:v>E0998</x:v>
      </x:c>
      <x:c r="B1003" s="9" t="str">
        <x:v>T01.15</x:v>
      </x:c>
      <x:c r="C1003" s="9" t="str">
        <x:v>Arbitrage, the law of one price, and market efficiency</x:v>
      </x:c>
      <x:c r="D1003" s="15" t="str">
        <x:v>RECOMMENDED_BEFORE</x:v>
      </x:c>
      <x:c r="E1003" s="9" t="str">
        <x:v>T21.01</x:v>
      </x:c>
      <x:c r="F1003" s="9" t="str">
        <x:v>Forwards and futures</x:v>
      </x:c>
      <x:c r="G1003" s="9" t="str">
        <x:v>Suggested starting knowledge: Arbitrage, the law of one price, and market efficiency. It helps you understand contingent payoffs, pricing inputs and hedge limitations.</x:v>
      </x:c>
      <x:c r="H1003" s="9" t="str">
        <x:v>Suggested learning order; learners can still explore freely.</x:v>
      </x:c>
      <x:c r="I1003" s="9" t="str">
        <x:v>Curated curriculum relationship</x:v>
      </x:c>
    </x:row>
    <x:row r="1004" ht="58" customHeight="1">
      <x:c r="A1004" s="10" t="str">
        <x:v>E0999</x:v>
      </x:c>
      <x:c r="B1004" s="10" t="str">
        <x:v>T21.02</x:v>
      </x:c>
      <x:c r="C1004" s="10" t="str">
        <x:v>Options: calls and puts</x:v>
      </x:c>
      <x:c r="D1004" s="14" t="str">
        <x:v>PART_OF</x:v>
      </x:c>
      <x:c r="E1004" s="10" t="str">
        <x:v>D21</x:v>
      </x:c>
      <x:c r="F1004" s="10" t="str">
        <x:v>Derivatives and structured products</x:v>
      </x:c>
      <x:c r="G1004" s="10" t="str">
        <x:v>Curriculum membership. Use this link to move between the topic and its finance area.</x:v>
      </x:c>
      <x:c r="H1004" s="10" t="str">
        <x:v>Classification only; this edge is not a causal or calculation relationship.</x:v>
      </x:c>
      <x:c r="I1004" s="10" t="str">
        <x:v>Curated curriculum relationship</x:v>
      </x:c>
    </x:row>
    <x:row r="1005" ht="58" customHeight="1">
      <x:c r="A1005" s="9" t="str">
        <x:v>E1000</x:v>
      </x:c>
      <x:c r="B1005" s="9" t="str">
        <x:v>T21.02</x:v>
      </x:c>
      <x:c r="C1005" s="9" t="str">
        <x:v>Options: calls and puts</x:v>
      </x:c>
      <x:c r="D1005" s="15" t="str">
        <x:v>EXPLORE_WITH</x:v>
      </x:c>
      <x:c r="E1005" s="9" t="str">
        <x:v>T21.04</x:v>
      </x:c>
      <x:c r="F1005" s="9" t="str">
        <x:v>Moneyness, intrinsic value, and time value</x:v>
      </x:c>
      <x:c r="G1005" s="9" t="str">
        <x:v>Study these together to understand contingent payoffs, pricing inputs and hedge limitations.</x:v>
      </x:c>
      <x:c r="H1005" s="9" t="str">
        <x:v>A topical exploration link, not a claim that one determines the other.</x:v>
      </x:c>
      <x:c r="I1005" s="9" t="str">
        <x:v>Curated curriculum relationship</x:v>
      </x:c>
    </x:row>
    <x:row r="1006" ht="58" customHeight="1">
      <x:c r="A1006" s="10" t="str">
        <x:v>E1001</x:v>
      </x:c>
      <x:c r="B1006" s="10" t="str">
        <x:v>T01.15</x:v>
      </x:c>
      <x:c r="C1006" s="10" t="str">
        <x:v>Arbitrage, the law of one price, and market efficiency</x:v>
      </x:c>
      <x:c r="D1006" s="14" t="str">
        <x:v>RECOMMENDED_BEFORE</x:v>
      </x:c>
      <x:c r="E1006" s="10" t="str">
        <x:v>T21.02</x:v>
      </x:c>
      <x:c r="F1006" s="10" t="str">
        <x:v>Options: calls and puts</x:v>
      </x:c>
      <x:c r="G1006" s="10" t="str">
        <x:v>Suggested starting knowledge: Arbitrage, the law of one price, and market efficiency. It helps you understand contingent payoffs, pricing inputs and hedge limitations.</x:v>
      </x:c>
      <x:c r="H1006" s="10" t="str">
        <x:v>Suggested learning order; learners can still explore freely.</x:v>
      </x:c>
      <x:c r="I1006" s="10" t="str">
        <x:v>Curated curriculum relationship</x:v>
      </x:c>
    </x:row>
    <x:row r="1007" ht="58" customHeight="1">
      <x:c r="A1007" s="9" t="str">
        <x:v>E1002</x:v>
      </x:c>
      <x:c r="B1007" s="9" t="str">
        <x:v>T21.03</x:v>
      </x:c>
      <x:c r="C1007" s="9" t="str">
        <x:v>Payoff versus profit diagrams</x:v>
      </x:c>
      <x:c r="D1007" s="15" t="str">
        <x:v>PART_OF</x:v>
      </x:c>
      <x:c r="E1007" s="9" t="str">
        <x:v>D21</x:v>
      </x:c>
      <x:c r="F1007" s="9" t="str">
        <x:v>Derivatives and structured products</x:v>
      </x:c>
      <x:c r="G1007" s="9" t="str">
        <x:v>Curriculum membership. Use this link to move between the topic and its finance area.</x:v>
      </x:c>
      <x:c r="H1007" s="9" t="str">
        <x:v>Classification only; this edge is not a causal or calculation relationship.</x:v>
      </x:c>
      <x:c r="I1007" s="9" t="str">
        <x:v>Curated curriculum relationship</x:v>
      </x:c>
    </x:row>
    <x:row r="1008" ht="58" customHeight="1">
      <x:c r="A1008" s="10" t="str">
        <x:v>E1003</x:v>
      </x:c>
      <x:c r="B1008" s="10" t="str">
        <x:v>T21.03</x:v>
      </x:c>
      <x:c r="C1008" s="10" t="str">
        <x:v>Payoff versus profit diagrams</x:v>
      </x:c>
      <x:c r="D1008" s="14" t="str">
        <x:v>EXPLORE_WITH</x:v>
      </x:c>
      <x:c r="E1008" s="10" t="str">
        <x:v>T21.02</x:v>
      </x:c>
      <x:c r="F1008" s="10" t="str">
        <x:v>Options: calls and puts</x:v>
      </x:c>
      <x:c r="G1008" s="10" t="str">
        <x:v>Study these together to understand contingent payoffs, pricing inputs and hedge limitations.</x:v>
      </x:c>
      <x:c r="H1008" s="10" t="str">
        <x:v>A topical exploration link, not a claim that one determines the other.</x:v>
      </x:c>
      <x:c r="I1008" s="10" t="str">
        <x:v>Curated curriculum relationship</x:v>
      </x:c>
    </x:row>
    <x:row r="1009" ht="58" customHeight="1">
      <x:c r="A1009" s="9" t="str">
        <x:v>E1004</x:v>
      </x:c>
      <x:c r="B1009" s="9" t="str">
        <x:v>T01.15</x:v>
      </x:c>
      <x:c r="C1009" s="9" t="str">
        <x:v>Arbitrage, the law of one price, and market efficiency</x:v>
      </x:c>
      <x:c r="D1009" s="15" t="str">
        <x:v>RECOMMENDED_BEFORE</x:v>
      </x:c>
      <x:c r="E1009" s="9" t="str">
        <x:v>T21.03</x:v>
      </x:c>
      <x:c r="F1009" s="9" t="str">
        <x:v>Payoff versus profit diagrams</x:v>
      </x:c>
      <x:c r="G1009" s="9" t="str">
        <x:v>Suggested starting knowledge: Arbitrage, the law of one price, and market efficiency. It helps you understand contingent payoffs, pricing inputs and hedge limitations.</x:v>
      </x:c>
      <x:c r="H1009" s="9" t="str">
        <x:v>Suggested learning order; learners can still explore freely.</x:v>
      </x:c>
      <x:c r="I1009" s="9" t="str">
        <x:v>Curated curriculum relationship</x:v>
      </x:c>
    </x:row>
    <x:row r="1010" ht="58" customHeight="1">
      <x:c r="A1010" s="10" t="str">
        <x:v>E1005</x:v>
      </x:c>
      <x:c r="B1010" s="10" t="str">
        <x:v>T21.04</x:v>
      </x:c>
      <x:c r="C1010" s="10" t="str">
        <x:v>Moneyness, intrinsic value, and time value</x:v>
      </x:c>
      <x:c r="D1010" s="14" t="str">
        <x:v>PART_OF</x:v>
      </x:c>
      <x:c r="E1010" s="10" t="str">
        <x:v>D21</x:v>
      </x:c>
      <x:c r="F1010" s="10" t="str">
        <x:v>Derivatives and structured products</x:v>
      </x:c>
      <x:c r="G1010" s="10" t="str">
        <x:v>Curriculum membership. Use this link to move between the topic and its finance area.</x:v>
      </x:c>
      <x:c r="H1010" s="10" t="str">
        <x:v>Classification only; this edge is not a causal or calculation relationship.</x:v>
      </x:c>
      <x:c r="I1010" s="10" t="str">
        <x:v>Curated curriculum relationship</x:v>
      </x:c>
    </x:row>
    <x:row r="1011" ht="58" customHeight="1">
      <x:c r="A1011" s="9" t="str">
        <x:v>E1006</x:v>
      </x:c>
      <x:c r="B1011" s="9" t="str">
        <x:v>T21.04</x:v>
      </x:c>
      <x:c r="C1011" s="9" t="str">
        <x:v>Moneyness, intrinsic value, and time value</x:v>
      </x:c>
      <x:c r="D1011" s="15" t="str">
        <x:v>EXPLORE_WITH</x:v>
      </x:c>
      <x:c r="E1011" s="9" t="str">
        <x:v>T21.03</x:v>
      </x:c>
      <x:c r="F1011" s="9" t="str">
        <x:v>Payoff versus profit diagrams</x:v>
      </x:c>
      <x:c r="G1011" s="9" t="str">
        <x:v>Study these together to understand contingent payoffs, pricing inputs and hedge limitations.</x:v>
      </x:c>
      <x:c r="H1011" s="9" t="str">
        <x:v>A topical exploration link, not a claim that one determines the other.</x:v>
      </x:c>
      <x:c r="I1011" s="9" t="str">
        <x:v>Curated curriculum relationship</x:v>
      </x:c>
    </x:row>
    <x:row r="1012" ht="58" customHeight="1">
      <x:c r="A1012" s="10" t="str">
        <x:v>E1007</x:v>
      </x:c>
      <x:c r="B1012" s="10" t="str">
        <x:v>T01.15</x:v>
      </x:c>
      <x:c r="C1012" s="10" t="str">
        <x:v>Arbitrage, the law of one price, and market efficiency</x:v>
      </x:c>
      <x:c r="D1012" s="14" t="str">
        <x:v>RECOMMENDED_BEFORE</x:v>
      </x:c>
      <x:c r="E1012" s="10" t="str">
        <x:v>T21.04</x:v>
      </x:c>
      <x:c r="F1012" s="10" t="str">
        <x:v>Moneyness, intrinsic value, and time value</x:v>
      </x:c>
      <x:c r="G1012" s="10" t="str">
        <x:v>Suggested starting knowledge: Arbitrage, the law of one price, and market efficiency. It helps you understand contingent payoffs, pricing inputs and hedge limitations.</x:v>
      </x:c>
      <x:c r="H1012" s="10" t="str">
        <x:v>Suggested learning order; learners can still explore freely.</x:v>
      </x:c>
      <x:c r="I1012" s="10" t="str">
        <x:v>Curated curriculum relationship</x:v>
      </x:c>
    </x:row>
    <x:row r="1013" ht="58" customHeight="1">
      <x:c r="A1013" s="9" t="str">
        <x:v>E1008</x:v>
      </x:c>
      <x:c r="B1013" s="9" t="str">
        <x:v>T21.05</x:v>
      </x:c>
      <x:c r="C1013" s="9" t="str">
        <x:v>Put-call parity</x:v>
      </x:c>
      <x:c r="D1013" s="15" t="str">
        <x:v>PART_OF</x:v>
      </x:c>
      <x:c r="E1013" s="9" t="str">
        <x:v>D21</x:v>
      </x:c>
      <x:c r="F1013" s="9" t="str">
        <x:v>Derivatives and structured products</x:v>
      </x:c>
      <x:c r="G1013" s="9" t="str">
        <x:v>Curriculum membership. Use this link to move between the topic and its finance area.</x:v>
      </x:c>
      <x:c r="H1013" s="9" t="str">
        <x:v>Classification only; this edge is not a causal or calculation relationship.</x:v>
      </x:c>
      <x:c r="I1013" s="9" t="str">
        <x:v>Curated curriculum relationship</x:v>
      </x:c>
    </x:row>
    <x:row r="1014" ht="58" customHeight="1">
      <x:c r="A1014" s="10" t="str">
        <x:v>E1009</x:v>
      </x:c>
      <x:c r="B1014" s="10" t="str">
        <x:v>T21.05</x:v>
      </x:c>
      <x:c r="C1014" s="10" t="str">
        <x:v>Put-call parity</x:v>
      </x:c>
      <x:c r="D1014" s="14" t="str">
        <x:v>EXPLORE_WITH</x:v>
      </x:c>
      <x:c r="E1014" s="10" t="str">
        <x:v>T21.17</x:v>
      </x:c>
      <x:c r="F1014" s="10" t="str">
        <x:v>Hedging, speculation, and arbitrage</x:v>
      </x:c>
      <x:c r="G1014" s="10" t="str">
        <x:v>Study these together to understand contingent payoffs, pricing inputs and hedge limitations.</x:v>
      </x:c>
      <x:c r="H1014" s="10" t="str">
        <x:v>A topical exploration link, not a claim that one determines the other.</x:v>
      </x:c>
      <x:c r="I1014" s="10" t="str">
        <x:v>Curated curriculum relationship</x:v>
      </x:c>
    </x:row>
    <x:row r="1015" ht="58" customHeight="1">
      <x:c r="A1015" s="9" t="str">
        <x:v>E1010</x:v>
      </x:c>
      <x:c r="B1015" s="9" t="str">
        <x:v>T01.15</x:v>
      </x:c>
      <x:c r="C1015" s="9" t="str">
        <x:v>Arbitrage, the law of one price, and market efficiency</x:v>
      </x:c>
      <x:c r="D1015" s="15" t="str">
        <x:v>RECOMMENDED_BEFORE</x:v>
      </x:c>
      <x:c r="E1015" s="9" t="str">
        <x:v>T21.05</x:v>
      </x:c>
      <x:c r="F1015" s="9" t="str">
        <x:v>Put-call parity</x:v>
      </x:c>
      <x:c r="G1015" s="9" t="str">
        <x:v>Suggested starting knowledge: Arbitrage, the law of one price, and market efficiency. It helps you understand contingent payoffs, pricing inputs and hedge limitations.</x:v>
      </x:c>
      <x:c r="H1015" s="9" t="str">
        <x:v>Suggested learning order; learners can still explore freely.</x:v>
      </x:c>
      <x:c r="I1015" s="9" t="str">
        <x:v>Curated curriculum relationship</x:v>
      </x:c>
    </x:row>
    <x:row r="1016" ht="58" customHeight="1">
      <x:c r="A1016" s="10" t="str">
        <x:v>E1011</x:v>
      </x:c>
      <x:c r="B1016" s="10" t="str">
        <x:v>T21.06</x:v>
      </x:c>
      <x:c r="C1016" s="10" t="str">
        <x:v>Binomial option pricing</x:v>
      </x:c>
      <x:c r="D1016" s="14" t="str">
        <x:v>PART_OF</x:v>
      </x:c>
      <x:c r="E1016" s="10" t="str">
        <x:v>D21</x:v>
      </x:c>
      <x:c r="F1016" s="10" t="str">
        <x:v>Derivatives and structured products</x:v>
      </x:c>
      <x:c r="G1016" s="10" t="str">
        <x:v>Curriculum membership. Use this link to move between the topic and its finance area.</x:v>
      </x:c>
      <x:c r="H1016" s="10" t="str">
        <x:v>Classification only; this edge is not a causal or calculation relationship.</x:v>
      </x:c>
      <x:c r="I1016" s="10" t="str">
        <x:v>Curated curriculum relationship</x:v>
      </x:c>
    </x:row>
    <x:row r="1017" ht="58" customHeight="1">
      <x:c r="A1017" s="9" t="str">
        <x:v>E1012</x:v>
      </x:c>
      <x:c r="B1017" s="9" t="str">
        <x:v>T21.06</x:v>
      </x:c>
      <x:c r="C1017" s="9" t="str">
        <x:v>Binomial option pricing</x:v>
      </x:c>
      <x:c r="D1017" s="15" t="str">
        <x:v>EXPLORE_WITH</x:v>
      </x:c>
      <x:c r="E1017" s="9" t="str">
        <x:v>T21.07</x:v>
      </x:c>
      <x:c r="F1017" s="9" t="str">
        <x:v>Black-Scholes foundations and assumptions</x:v>
      </x:c>
      <x:c r="G1017" s="9" t="str">
        <x:v>Study these together to understand contingent payoffs, pricing inputs and hedge limitations.</x:v>
      </x:c>
      <x:c r="H1017" s="9" t="str">
        <x:v>A topical exploration link, not a claim that one determines the other.</x:v>
      </x:c>
      <x:c r="I1017" s="9" t="str">
        <x:v>Curated curriculum relationship</x:v>
      </x:c>
    </x:row>
    <x:row r="1018" ht="58" customHeight="1">
      <x:c r="A1018" s="10" t="str">
        <x:v>E1013</x:v>
      </x:c>
      <x:c r="B1018" s="10" t="str">
        <x:v>T01.15</x:v>
      </x:c>
      <x:c r="C1018" s="10" t="str">
        <x:v>Arbitrage, the law of one price, and market efficiency</x:v>
      </x:c>
      <x:c r="D1018" s="14" t="str">
        <x:v>RECOMMENDED_BEFORE</x:v>
      </x:c>
      <x:c r="E1018" s="10" t="str">
        <x:v>T21.06</x:v>
      </x:c>
      <x:c r="F1018" s="10" t="str">
        <x:v>Binomial option pricing</x:v>
      </x:c>
      <x:c r="G1018" s="10" t="str">
        <x:v>Suggested starting knowledge: Arbitrage, the law of one price, and market efficiency. It helps you understand contingent payoffs, pricing inputs and hedge limitations.</x:v>
      </x:c>
      <x:c r="H1018" s="10" t="str">
        <x:v>Suggested learning order; learners can still explore freely.</x:v>
      </x:c>
      <x:c r="I1018" s="10" t="str">
        <x:v>Curated curriculum relationship</x:v>
      </x:c>
    </x:row>
    <x:row r="1019" ht="58" customHeight="1">
      <x:c r="A1019" s="9" t="str">
        <x:v>E1014</x:v>
      </x:c>
      <x:c r="B1019" s="9" t="str">
        <x:v>T21.07</x:v>
      </x:c>
      <x:c r="C1019" s="9" t="str">
        <x:v>Black-Scholes foundations and assumptions</x:v>
      </x:c>
      <x:c r="D1019" s="15" t="str">
        <x:v>PART_OF</x:v>
      </x:c>
      <x:c r="E1019" s="9" t="str">
        <x:v>D21</x:v>
      </x:c>
      <x:c r="F1019" s="9" t="str">
        <x:v>Derivatives and structured products</x:v>
      </x:c>
      <x:c r="G1019" s="9" t="str">
        <x:v>Curriculum membership. Use this link to move between the topic and its finance area.</x:v>
      </x:c>
      <x:c r="H1019" s="9" t="str">
        <x:v>Classification only; this edge is not a causal or calculation relationship.</x:v>
      </x:c>
      <x:c r="I1019" s="9" t="str">
        <x:v>Curated curriculum relationship</x:v>
      </x:c>
    </x:row>
    <x:row r="1020" ht="58" customHeight="1">
      <x:c r="A1020" s="10" t="str">
        <x:v>E1015</x:v>
      </x:c>
      <x:c r="B1020" s="10" t="str">
        <x:v>T21.07</x:v>
      </x:c>
      <x:c r="C1020" s="10" t="str">
        <x:v>Black-Scholes foundations and assumptions</x:v>
      </x:c>
      <x:c r="D1020" s="14" t="str">
        <x:v>EXPLORE_WITH</x:v>
      </x:c>
      <x:c r="E1020" s="10" t="str">
        <x:v>T21.06</x:v>
      </x:c>
      <x:c r="F1020" s="10" t="str">
        <x:v>Binomial option pricing</x:v>
      </x:c>
      <x:c r="G1020" s="10" t="str">
        <x:v>Study these together to understand contingent payoffs, pricing inputs and hedge limitations.</x:v>
      </x:c>
      <x:c r="H1020" s="10" t="str">
        <x:v>A topical exploration link, not a claim that one determines the other.</x:v>
      </x:c>
      <x:c r="I1020" s="10" t="str">
        <x:v>Curated curriculum relationship</x:v>
      </x:c>
    </x:row>
    <x:row r="1021" ht="58" customHeight="1">
      <x:c r="A1021" s="9" t="str">
        <x:v>E1016</x:v>
      </x:c>
      <x:c r="B1021" s="9" t="str">
        <x:v>T01.15</x:v>
      </x:c>
      <x:c r="C1021" s="9" t="str">
        <x:v>Arbitrage, the law of one price, and market efficiency</x:v>
      </x:c>
      <x:c r="D1021" s="15" t="str">
        <x:v>RECOMMENDED_BEFORE</x:v>
      </x:c>
      <x:c r="E1021" s="9" t="str">
        <x:v>T21.07</x:v>
      </x:c>
      <x:c r="F1021" s="9" t="str">
        <x:v>Black-Scholes foundations and assumptions</x:v>
      </x:c>
      <x:c r="G1021" s="9" t="str">
        <x:v>Suggested starting knowledge: Arbitrage, the law of one price, and market efficiency. It helps you understand contingent payoffs, pricing inputs and hedge limitations.</x:v>
      </x:c>
      <x:c r="H1021" s="9" t="str">
        <x:v>Suggested learning order; learners can still explore freely.</x:v>
      </x:c>
      <x:c r="I1021" s="9" t="str">
        <x:v>Curated curriculum relationship</x:v>
      </x:c>
    </x:row>
    <x:row r="1022" ht="58" customHeight="1">
      <x:c r="A1022" s="10" t="str">
        <x:v>E1017</x:v>
      </x:c>
      <x:c r="B1022" s="10" t="str">
        <x:v>T21.08</x:v>
      </x:c>
      <x:c r="C1022" s="10" t="str">
        <x:v>Option Greeks</x:v>
      </x:c>
      <x:c r="D1022" s="14" t="str">
        <x:v>PART_OF</x:v>
      </x:c>
      <x:c r="E1022" s="10" t="str">
        <x:v>D21</x:v>
      </x:c>
      <x:c r="F1022" s="10" t="str">
        <x:v>Derivatives and structured products</x:v>
      </x:c>
      <x:c r="G1022" s="10" t="str">
        <x:v>Curriculum membership. Use this link to move between the topic and its finance area.</x:v>
      </x:c>
      <x:c r="H1022" s="10" t="str">
        <x:v>Classification only; this edge is not a causal or calculation relationship.</x:v>
      </x:c>
      <x:c r="I1022" s="10" t="str">
        <x:v>Curated curriculum relationship</x:v>
      </x:c>
    </x:row>
    <x:row r="1023" ht="58" customHeight="1">
      <x:c r="A1023" s="9" t="str">
        <x:v>E1018</x:v>
      </x:c>
      <x:c r="B1023" s="9" t="str">
        <x:v>T21.08</x:v>
      </x:c>
      <x:c r="C1023" s="9" t="str">
        <x:v>Option Greeks</x:v>
      </x:c>
      <x:c r="D1023" s="15" t="str">
        <x:v>EXPLORE_WITH</x:v>
      </x:c>
      <x:c r="E1023" s="9" t="str">
        <x:v>T21.09</x:v>
      </x:c>
      <x:c r="F1023" s="9" t="str">
        <x:v>Implied versus realised volatility</x:v>
      </x:c>
      <x:c r="G1023" s="9" t="str">
        <x:v>Study these together to understand contingent payoffs, pricing inputs and hedge limitations.</x:v>
      </x:c>
      <x:c r="H1023" s="9" t="str">
        <x:v>A topical exploration link, not a claim that one determines the other.</x:v>
      </x:c>
      <x:c r="I1023" s="9" t="str">
        <x:v>Curated curriculum relationship</x:v>
      </x:c>
    </x:row>
    <x:row r="1024" ht="58" customHeight="1">
      <x:c r="A1024" s="10" t="str">
        <x:v>E1019</x:v>
      </x:c>
      <x:c r="B1024" s="10" t="str">
        <x:v>T01.15</x:v>
      </x:c>
      <x:c r="C1024" s="10" t="str">
        <x:v>Arbitrage, the law of one price, and market efficiency</x:v>
      </x:c>
      <x:c r="D1024" s="14" t="str">
        <x:v>RECOMMENDED_BEFORE</x:v>
      </x:c>
      <x:c r="E1024" s="10" t="str">
        <x:v>T21.08</x:v>
      </x:c>
      <x:c r="F1024" s="10" t="str">
        <x:v>Option Greeks</x:v>
      </x:c>
      <x:c r="G1024" s="10" t="str">
        <x:v>Suggested starting knowledge: Arbitrage, the law of one price, and market efficiency. It helps you understand contingent payoffs, pricing inputs and hedge limitations.</x:v>
      </x:c>
      <x:c r="H1024" s="10" t="str">
        <x:v>Suggested learning order; learners can still explore freely.</x:v>
      </x:c>
      <x:c r="I1024" s="10" t="str">
        <x:v>Curated curriculum relationship</x:v>
      </x:c>
    </x:row>
    <x:row r="1025" ht="58" customHeight="1">
      <x:c r="A1025" s="9" t="str">
        <x:v>E1020</x:v>
      </x:c>
      <x:c r="B1025" s="9" t="str">
        <x:v>T21.09</x:v>
      </x:c>
      <x:c r="C1025" s="9" t="str">
        <x:v>Implied versus realised volatility</x:v>
      </x:c>
      <x:c r="D1025" s="15" t="str">
        <x:v>PART_OF</x:v>
      </x:c>
      <x:c r="E1025" s="9" t="str">
        <x:v>D21</x:v>
      </x:c>
      <x:c r="F1025" s="9" t="str">
        <x:v>Derivatives and structured products</x:v>
      </x:c>
      <x:c r="G1025" s="9" t="str">
        <x:v>Curriculum membership. Use this link to move between the topic and its finance area.</x:v>
      </x:c>
      <x:c r="H1025" s="9" t="str">
        <x:v>Classification only; this edge is not a causal or calculation relationship.</x:v>
      </x:c>
      <x:c r="I1025" s="9" t="str">
        <x:v>Curated curriculum relationship</x:v>
      </x:c>
    </x:row>
    <x:row r="1026" ht="58" customHeight="1">
      <x:c r="A1026" s="10" t="str">
        <x:v>E1021</x:v>
      </x:c>
      <x:c r="B1026" s="10" t="str">
        <x:v>T21.09</x:v>
      </x:c>
      <x:c r="C1026" s="10" t="str">
        <x:v>Implied versus realised volatility</x:v>
      </x:c>
      <x:c r="D1026" s="14" t="str">
        <x:v>EXPLORE_WITH</x:v>
      </x:c>
      <x:c r="E1026" s="10" t="str">
        <x:v>T21.08</x:v>
      </x:c>
      <x:c r="F1026" s="10" t="str">
        <x:v>Option Greeks</x:v>
      </x:c>
      <x:c r="G1026" s="10" t="str">
        <x:v>Study these together to understand contingent payoffs, pricing inputs and hedge limitations.</x:v>
      </x:c>
      <x:c r="H1026" s="10" t="str">
        <x:v>A topical exploration link, not a claim that one determines the other.</x:v>
      </x:c>
      <x:c r="I1026" s="10" t="str">
        <x:v>Curated curriculum relationship</x:v>
      </x:c>
    </x:row>
    <x:row r="1027" ht="58" customHeight="1">
      <x:c r="A1027" s="9" t="str">
        <x:v>E1022</x:v>
      </x:c>
      <x:c r="B1027" s="9" t="str">
        <x:v>T01.15</x:v>
      </x:c>
      <x:c r="C1027" s="9" t="str">
        <x:v>Arbitrage, the law of one price, and market efficiency</x:v>
      </x:c>
      <x:c r="D1027" s="15" t="str">
        <x:v>RECOMMENDED_BEFORE</x:v>
      </x:c>
      <x:c r="E1027" s="9" t="str">
        <x:v>T21.09</x:v>
      </x:c>
      <x:c r="F1027" s="9" t="str">
        <x:v>Implied versus realised volatility</x:v>
      </x:c>
      <x:c r="G1027" s="9" t="str">
        <x:v>Suggested starting knowledge: Arbitrage, the law of one price, and market efficiency. It helps you understand contingent payoffs, pricing inputs and hedge limitations.</x:v>
      </x:c>
      <x:c r="H1027" s="9" t="str">
        <x:v>Suggested learning order; learners can still explore freely.</x:v>
      </x:c>
      <x:c r="I1027" s="9" t="str">
        <x:v>Curated curriculum relationship</x:v>
      </x:c>
    </x:row>
    <x:row r="1028" ht="58" customHeight="1">
      <x:c r="A1028" s="10" t="str">
        <x:v>E1023</x:v>
      </x:c>
      <x:c r="B1028" s="10" t="str">
        <x:v>T21.10</x:v>
      </x:c>
      <x:c r="C1028" s="10" t="str">
        <x:v>Volatility smiles, skews, and term structures</x:v>
      </x:c>
      <x:c r="D1028" s="14" t="str">
        <x:v>PART_OF</x:v>
      </x:c>
      <x:c r="E1028" s="10" t="str">
        <x:v>D21</x:v>
      </x:c>
      <x:c r="F1028" s="10" t="str">
        <x:v>Derivatives and structured products</x:v>
      </x:c>
      <x:c r="G1028" s="10" t="str">
        <x:v>Curriculum membership. Use this link to move between the topic and its finance area.</x:v>
      </x:c>
      <x:c r="H1028" s="10" t="str">
        <x:v>Classification only; this edge is not a causal or calculation relationship.</x:v>
      </x:c>
      <x:c r="I1028" s="10" t="str">
        <x:v>Curated curriculum relationship</x:v>
      </x:c>
    </x:row>
    <x:row r="1029" ht="58" customHeight="1">
      <x:c r="A1029" s="9" t="str">
        <x:v>E1024</x:v>
      </x:c>
      <x:c r="B1029" s="9" t="str">
        <x:v>T21.10</x:v>
      </x:c>
      <x:c r="C1029" s="9" t="str">
        <x:v>Volatility smiles, skews, and term structures</x:v>
      </x:c>
      <x:c r="D1029" s="15" t="str">
        <x:v>EXPLORE_WITH</x:v>
      </x:c>
      <x:c r="E1029" s="9" t="str">
        <x:v>T21.09</x:v>
      </x:c>
      <x:c r="F1029" s="9" t="str">
        <x:v>Implied versus realised volatility</x:v>
      </x:c>
      <x:c r="G1029" s="9" t="str">
        <x:v>Study these together to understand contingent payoffs, pricing inputs and hedge limitations.</x:v>
      </x:c>
      <x:c r="H1029" s="9" t="str">
        <x:v>A topical exploration link, not a claim that one determines the other.</x:v>
      </x:c>
      <x:c r="I1029" s="9" t="str">
        <x:v>Curated curriculum relationship</x:v>
      </x:c>
    </x:row>
    <x:row r="1030" ht="58" customHeight="1">
      <x:c r="A1030" s="10" t="str">
        <x:v>E1025</x:v>
      </x:c>
      <x:c r="B1030" s="10" t="str">
        <x:v>T01.15</x:v>
      </x:c>
      <x:c r="C1030" s="10" t="str">
        <x:v>Arbitrage, the law of one price, and market efficiency</x:v>
      </x:c>
      <x:c r="D1030" s="14" t="str">
        <x:v>RECOMMENDED_BEFORE</x:v>
      </x:c>
      <x:c r="E1030" s="10" t="str">
        <x:v>T21.10</x:v>
      </x:c>
      <x:c r="F1030" s="10" t="str">
        <x:v>Volatility smiles, skews, and term structures</x:v>
      </x:c>
      <x:c r="G1030" s="10" t="str">
        <x:v>Suggested starting knowledge: Arbitrage, the law of one price, and market efficiency. It helps you understand contingent payoffs, pricing inputs and hedge limitations.</x:v>
      </x:c>
      <x:c r="H1030" s="10" t="str">
        <x:v>Suggested learning order; learners can still explore freely.</x:v>
      </x:c>
      <x:c r="I1030" s="10" t="str">
        <x:v>Curated curriculum relationship</x:v>
      </x:c>
    </x:row>
    <x:row r="1031" ht="58" customHeight="1">
      <x:c r="A1031" s="9" t="str">
        <x:v>E1026</x:v>
      </x:c>
      <x:c r="B1031" s="9" t="str">
        <x:v>T21.11</x:v>
      </x:c>
      <x:c r="C1031" s="9" t="str">
        <x:v>Option strategies: spreads, straddles, strangles, and collars</x:v>
      </x:c>
      <x:c r="D1031" s="15" t="str">
        <x:v>PART_OF</x:v>
      </x:c>
      <x:c r="E1031" s="9" t="str">
        <x:v>D21</x:v>
      </x:c>
      <x:c r="F1031" s="9" t="str">
        <x:v>Derivatives and structured products</x:v>
      </x:c>
      <x:c r="G1031" s="9" t="str">
        <x:v>Curriculum membership. Use this link to move between the topic and its finance area.</x:v>
      </x:c>
      <x:c r="H1031" s="9" t="str">
        <x:v>Classification only; this edge is not a causal or calculation relationship.</x:v>
      </x:c>
      <x:c r="I1031" s="9" t="str">
        <x:v>Curated curriculum relationship</x:v>
      </x:c>
    </x:row>
    <x:row r="1032" ht="58" customHeight="1">
      <x:c r="A1032" s="10" t="str">
        <x:v>E1027</x:v>
      </x:c>
      <x:c r="B1032" s="10" t="str">
        <x:v>T21.11</x:v>
      </x:c>
      <x:c r="C1032" s="10" t="str">
        <x:v>Option strategies: spreads, straddles, strangles, and collars</x:v>
      </x:c>
      <x:c r="D1032" s="14" t="str">
        <x:v>EXPLORE_WITH</x:v>
      </x:c>
      <x:c r="E1032" s="10" t="str">
        <x:v>T21.03</x:v>
      </x:c>
      <x:c r="F1032" s="10" t="str">
        <x:v>Payoff versus profit diagrams</x:v>
      </x:c>
      <x:c r="G1032" s="10" t="str">
        <x:v>Study these together to understand contingent payoffs, pricing inputs and hedge limitations.</x:v>
      </x:c>
      <x:c r="H1032" s="10" t="str">
        <x:v>A topical exploration link, not a claim that one determines the other.</x:v>
      </x:c>
      <x:c r="I1032" s="10" t="str">
        <x:v>Curated curriculum relationship</x:v>
      </x:c>
    </x:row>
    <x:row r="1033" ht="58" customHeight="1">
      <x:c r="A1033" s="9" t="str">
        <x:v>E1028</x:v>
      </x:c>
      <x:c r="B1033" s="9" t="str">
        <x:v>T01.15</x:v>
      </x:c>
      <x:c r="C1033" s="9" t="str">
        <x:v>Arbitrage, the law of one price, and market efficiency</x:v>
      </x:c>
      <x:c r="D1033" s="15" t="str">
        <x:v>RECOMMENDED_BEFORE</x:v>
      </x:c>
      <x:c r="E1033" s="9" t="str">
        <x:v>T21.11</x:v>
      </x:c>
      <x:c r="F1033" s="9" t="str">
        <x:v>Option strategies: spreads, straddles, strangles, and collars</x:v>
      </x:c>
      <x:c r="G1033" s="9" t="str">
        <x:v>Suggested starting knowledge: Arbitrage, the law of one price, and market efficiency. It helps you understand contingent payoffs, pricing inputs and hedge limitations.</x:v>
      </x:c>
      <x:c r="H1033" s="9" t="str">
        <x:v>Suggested learning order; learners can still explore freely.</x:v>
      </x:c>
      <x:c r="I1033" s="9" t="str">
        <x:v>Curated curriculum relationship</x:v>
      </x:c>
    </x:row>
    <x:row r="1034" ht="58" customHeight="1">
      <x:c r="A1034" s="10" t="str">
        <x:v>E1029</x:v>
      </x:c>
      <x:c r="B1034" s="10" t="str">
        <x:v>T21.12</x:v>
      </x:c>
      <x:c r="C1034" s="10" t="str">
        <x:v>Interest-rate, currency, and commodity swaps</x:v>
      </x:c>
      <x:c r="D1034" s="14" t="str">
        <x:v>PART_OF</x:v>
      </x:c>
      <x:c r="E1034" s="10" t="str">
        <x:v>D21</x:v>
      </x:c>
      <x:c r="F1034" s="10" t="str">
        <x:v>Derivatives and structured products</x:v>
      </x:c>
      <x:c r="G1034" s="10" t="str">
        <x:v>Curriculum membership. Use this link to move between the topic and its finance area.</x:v>
      </x:c>
      <x:c r="H1034" s="10" t="str">
        <x:v>Classification only; this edge is not a causal or calculation relationship.</x:v>
      </x:c>
      <x:c r="I1034" s="10" t="str">
        <x:v>Curated curriculum relationship</x:v>
      </x:c>
    </x:row>
    <x:row r="1035" ht="58" customHeight="1">
      <x:c r="A1035" s="9" t="str">
        <x:v>E1030</x:v>
      </x:c>
      <x:c r="B1035" s="9" t="str">
        <x:v>T21.12</x:v>
      </x:c>
      <x:c r="C1035" s="9" t="str">
        <x:v>Interest-rate, currency, and commodity swaps</x:v>
      </x:c>
      <x:c r="D1035" s="15" t="str">
        <x:v>EXPLORE_WITH</x:v>
      </x:c>
      <x:c r="E1035" s="9" t="str">
        <x:v>T21.17</x:v>
      </x:c>
      <x:c r="F1035" s="9" t="str">
        <x:v>Hedging, speculation, and arbitrage</x:v>
      </x:c>
      <x:c r="G1035" s="9" t="str">
        <x:v>Study these together to understand contingent payoffs, pricing inputs and hedge limitations.</x:v>
      </x:c>
      <x:c r="H1035" s="9" t="str">
        <x:v>A topical exploration link, not a claim that one determines the other.</x:v>
      </x:c>
      <x:c r="I1035" s="9" t="str">
        <x:v>Curated curriculum relationship</x:v>
      </x:c>
    </x:row>
    <x:row r="1036" ht="58" customHeight="1">
      <x:c r="A1036" s="10" t="str">
        <x:v>E1031</x:v>
      </x:c>
      <x:c r="B1036" s="10" t="str">
        <x:v>T01.15</x:v>
      </x:c>
      <x:c r="C1036" s="10" t="str">
        <x:v>Arbitrage, the law of one price, and market efficiency</x:v>
      </x:c>
      <x:c r="D1036" s="14" t="str">
        <x:v>RECOMMENDED_BEFORE</x:v>
      </x:c>
      <x:c r="E1036" s="10" t="str">
        <x:v>T21.12</x:v>
      </x:c>
      <x:c r="F1036" s="10" t="str">
        <x:v>Interest-rate, currency, and commodity swaps</x:v>
      </x:c>
      <x:c r="G1036" s="10" t="str">
        <x:v>Suggested starting knowledge: Arbitrage, the law of one price, and market efficiency. It helps you understand contingent payoffs, pricing inputs and hedge limitations.</x:v>
      </x:c>
      <x:c r="H1036" s="10" t="str">
        <x:v>Suggested learning order; learners can still explore freely.</x:v>
      </x:c>
      <x:c r="I1036" s="10" t="str">
        <x:v>Curated curriculum relationship</x:v>
      </x:c>
    </x:row>
    <x:row r="1037" ht="58" customHeight="1">
      <x:c r="A1037" s="9" t="str">
        <x:v>E1032</x:v>
      </x:c>
      <x:c r="B1037" s="9" t="str">
        <x:v>T21.13</x:v>
      </x:c>
      <x:c r="C1037" s="9" t="str">
        <x:v>Credit default swaps</x:v>
      </x:c>
      <x:c r="D1037" s="15" t="str">
        <x:v>PART_OF</x:v>
      </x:c>
      <x:c r="E1037" s="9" t="str">
        <x:v>D21</x:v>
      </x:c>
      <x:c r="F1037" s="9" t="str">
        <x:v>Derivatives and structured products</x:v>
      </x:c>
      <x:c r="G1037" s="9" t="str">
        <x:v>Curriculum membership. Use this link to move between the topic and its finance area.</x:v>
      </x:c>
      <x:c r="H1037" s="9" t="str">
        <x:v>Classification only; this edge is not a causal or calculation relationship.</x:v>
      </x:c>
      <x:c r="I1037" s="9" t="str">
        <x:v>Curated curriculum relationship</x:v>
      </x:c>
    </x:row>
    <x:row r="1038" ht="58" customHeight="1">
      <x:c r="A1038" s="10" t="str">
        <x:v>E1033</x:v>
      </x:c>
      <x:c r="B1038" s="10" t="str">
        <x:v>T21.13</x:v>
      </x:c>
      <x:c r="C1038" s="10" t="str">
        <x:v>Credit default swaps</x:v>
      </x:c>
      <x:c r="D1038" s="14" t="str">
        <x:v>EXPLORE_WITH</x:v>
      </x:c>
      <x:c r="E1038" s="10" t="str">
        <x:v>T21.18</x:v>
      </x:c>
      <x:c r="F1038" s="10" t="str">
        <x:v>Margin, collateral, clearing, and counterparty risk</x:v>
      </x:c>
      <x:c r="G1038" s="10" t="str">
        <x:v>Study these together to understand contingent payoffs, pricing inputs and hedge limitations.</x:v>
      </x:c>
      <x:c r="H1038" s="10" t="str">
        <x:v>A topical exploration link, not a claim that one determines the other.</x:v>
      </x:c>
      <x:c r="I1038" s="10" t="str">
        <x:v>Curated curriculum relationship</x:v>
      </x:c>
    </x:row>
    <x:row r="1039" ht="58" customHeight="1">
      <x:c r="A1039" s="9" t="str">
        <x:v>E1034</x:v>
      </x:c>
      <x:c r="B1039" s="9" t="str">
        <x:v>T01.15</x:v>
      </x:c>
      <x:c r="C1039" s="9" t="str">
        <x:v>Arbitrage, the law of one price, and market efficiency</x:v>
      </x:c>
      <x:c r="D1039" s="15" t="str">
        <x:v>RECOMMENDED_BEFORE</x:v>
      </x:c>
      <x:c r="E1039" s="9" t="str">
        <x:v>T21.13</x:v>
      </x:c>
      <x:c r="F1039" s="9" t="str">
        <x:v>Credit default swaps</x:v>
      </x:c>
      <x:c r="G1039" s="9" t="str">
        <x:v>Suggested starting knowledge: Arbitrage, the law of one price, and market efficiency. It helps you understand contingent payoffs, pricing inputs and hedge limitations.</x:v>
      </x:c>
      <x:c r="H1039" s="9" t="str">
        <x:v>Suggested learning order; learners can still explore freely.</x:v>
      </x:c>
      <x:c r="I1039" s="9" t="str">
        <x:v>Curated curriculum relationship</x:v>
      </x:c>
    </x:row>
    <x:row r="1040" ht="58" customHeight="1">
      <x:c r="A1040" s="10" t="str">
        <x:v>E1035</x:v>
      </x:c>
      <x:c r="B1040" s="10" t="str">
        <x:v>T21.14</x:v>
      </x:c>
      <x:c r="C1040" s="10" t="str">
        <x:v>Caps, floors, and swaptions</x:v>
      </x:c>
      <x:c r="D1040" s="14" t="str">
        <x:v>PART_OF</x:v>
      </x:c>
      <x:c r="E1040" s="10" t="str">
        <x:v>D21</x:v>
      </x:c>
      <x:c r="F1040" s="10" t="str">
        <x:v>Derivatives and structured products</x:v>
      </x:c>
      <x:c r="G1040" s="10" t="str">
        <x:v>Curriculum membership. Use this link to move between the topic and its finance area.</x:v>
      </x:c>
      <x:c r="H1040" s="10" t="str">
        <x:v>Classification only; this edge is not a causal or calculation relationship.</x:v>
      </x:c>
      <x:c r="I1040" s="10" t="str">
        <x:v>Curated curriculum relationship</x:v>
      </x:c>
    </x:row>
    <x:row r="1041" ht="58" customHeight="1">
      <x:c r="A1041" s="9" t="str">
        <x:v>E1036</x:v>
      </x:c>
      <x:c r="B1041" s="9" t="str">
        <x:v>T21.14</x:v>
      </x:c>
      <x:c r="C1041" s="9" t="str">
        <x:v>Caps, floors, and swaptions</x:v>
      </x:c>
      <x:c r="D1041" s="15" t="str">
        <x:v>EXPLORE_WITH</x:v>
      </x:c>
      <x:c r="E1041" s="9" t="str">
        <x:v>T21.12</x:v>
      </x:c>
      <x:c r="F1041" s="9" t="str">
        <x:v>Interest-rate, currency, and commodity swaps</x:v>
      </x:c>
      <x:c r="G1041" s="9" t="str">
        <x:v>Study these together to understand contingent payoffs, pricing inputs and hedge limitations.</x:v>
      </x:c>
      <x:c r="H1041" s="9" t="str">
        <x:v>A topical exploration link, not a claim that one determines the other.</x:v>
      </x:c>
      <x:c r="I1041" s="9" t="str">
        <x:v>Curated curriculum relationship</x:v>
      </x:c>
    </x:row>
    <x:row r="1042" ht="58" customHeight="1">
      <x:c r="A1042" s="10" t="str">
        <x:v>E1037</x:v>
      </x:c>
      <x:c r="B1042" s="10" t="str">
        <x:v>T01.15</x:v>
      </x:c>
      <x:c r="C1042" s="10" t="str">
        <x:v>Arbitrage, the law of one price, and market efficiency</x:v>
      </x:c>
      <x:c r="D1042" s="14" t="str">
        <x:v>RECOMMENDED_BEFORE</x:v>
      </x:c>
      <x:c r="E1042" s="10" t="str">
        <x:v>T21.14</x:v>
      </x:c>
      <x:c r="F1042" s="10" t="str">
        <x:v>Caps, floors, and swaptions</x:v>
      </x:c>
      <x:c r="G1042" s="10" t="str">
        <x:v>Suggested starting knowledge: Arbitrage, the law of one price, and market efficiency. It helps you understand contingent payoffs, pricing inputs and hedge limitations.</x:v>
      </x:c>
      <x:c r="H1042" s="10" t="str">
        <x:v>Suggested learning order; learners can still explore freely.</x:v>
      </x:c>
      <x:c r="I1042" s="10" t="str">
        <x:v>Curated curriculum relationship</x:v>
      </x:c>
    </x:row>
    <x:row r="1043" ht="58" customHeight="1">
      <x:c r="A1043" s="9" t="str">
        <x:v>E1038</x:v>
      </x:c>
      <x:c r="B1043" s="9" t="str">
        <x:v>T21.15</x:v>
      </x:c>
      <x:c r="C1043" s="9" t="str">
        <x:v>Exotic options and path-dependent payoffs</x:v>
      </x:c>
      <x:c r="D1043" s="15" t="str">
        <x:v>PART_OF</x:v>
      </x:c>
      <x:c r="E1043" s="9" t="str">
        <x:v>D21</x:v>
      </x:c>
      <x:c r="F1043" s="9" t="str">
        <x:v>Derivatives and structured products</x:v>
      </x:c>
      <x:c r="G1043" s="9" t="str">
        <x:v>Curriculum membership. Use this link to move between the topic and its finance area.</x:v>
      </x:c>
      <x:c r="H1043" s="9" t="str">
        <x:v>Classification only; this edge is not a causal or calculation relationship.</x:v>
      </x:c>
      <x:c r="I1043" s="9" t="str">
        <x:v>Curated curriculum relationship</x:v>
      </x:c>
    </x:row>
    <x:row r="1044" ht="58" customHeight="1">
      <x:c r="A1044" s="10" t="str">
        <x:v>E1039</x:v>
      </x:c>
      <x:c r="B1044" s="10" t="str">
        <x:v>T21.15</x:v>
      </x:c>
      <x:c r="C1044" s="10" t="str">
        <x:v>Exotic options and path-dependent payoffs</x:v>
      </x:c>
      <x:c r="D1044" s="14" t="str">
        <x:v>EXPLORE_WITH</x:v>
      </x:c>
      <x:c r="E1044" s="10" t="str">
        <x:v>T21.07</x:v>
      </x:c>
      <x:c r="F1044" s="10" t="str">
        <x:v>Black-Scholes foundations and assumptions</x:v>
      </x:c>
      <x:c r="G1044" s="10" t="str">
        <x:v>Study these together to understand contingent payoffs, pricing inputs and hedge limitations.</x:v>
      </x:c>
      <x:c r="H1044" s="10" t="str">
        <x:v>A topical exploration link, not a claim that one determines the other.</x:v>
      </x:c>
      <x:c r="I1044" s="10" t="str">
        <x:v>Curated curriculum relationship</x:v>
      </x:c>
    </x:row>
    <x:row r="1045" ht="58" customHeight="1">
      <x:c r="A1045" s="9" t="str">
        <x:v>E1040</x:v>
      </x:c>
      <x:c r="B1045" s="9" t="str">
        <x:v>T01.15</x:v>
      </x:c>
      <x:c r="C1045" s="9" t="str">
        <x:v>Arbitrage, the law of one price, and market efficiency</x:v>
      </x:c>
      <x:c r="D1045" s="15" t="str">
        <x:v>RECOMMENDED_BEFORE</x:v>
      </x:c>
      <x:c r="E1045" s="9" t="str">
        <x:v>T21.15</x:v>
      </x:c>
      <x:c r="F1045" s="9" t="str">
        <x:v>Exotic options and path-dependent payoffs</x:v>
      </x:c>
      <x:c r="G1045" s="9" t="str">
        <x:v>Suggested starting knowledge: Arbitrage, the law of one price, and market efficiency. It helps you understand contingent payoffs, pricing inputs and hedge limitations.</x:v>
      </x:c>
      <x:c r="H1045" s="9" t="str">
        <x:v>Suggested learning order; learners can still explore freely.</x:v>
      </x:c>
      <x:c r="I1045" s="9" t="str">
        <x:v>Curated curriculum relationship</x:v>
      </x:c>
    </x:row>
    <x:row r="1046" ht="58" customHeight="1">
      <x:c r="A1046" s="10" t="str">
        <x:v>E1041</x:v>
      </x:c>
      <x:c r="B1046" s="10" t="str">
        <x:v>T21.16</x:v>
      </x:c>
      <x:c r="C1046" s="10" t="str">
        <x:v>Structured notes and embedded derivatives</x:v>
      </x:c>
      <x:c r="D1046" s="14" t="str">
        <x:v>PART_OF</x:v>
      </x:c>
      <x:c r="E1046" s="10" t="str">
        <x:v>D21</x:v>
      </x:c>
      <x:c r="F1046" s="10" t="str">
        <x:v>Derivatives and structured products</x:v>
      </x:c>
      <x:c r="G1046" s="10" t="str">
        <x:v>Curriculum membership. Use this link to move between the topic and its finance area.</x:v>
      </x:c>
      <x:c r="H1046" s="10" t="str">
        <x:v>Classification only; this edge is not a causal or calculation relationship.</x:v>
      </x:c>
      <x:c r="I1046" s="10" t="str">
        <x:v>Curated curriculum relationship</x:v>
      </x:c>
    </x:row>
    <x:row r="1047" ht="58" customHeight="1">
      <x:c r="A1047" s="9" t="str">
        <x:v>E1042</x:v>
      </x:c>
      <x:c r="B1047" s="9" t="str">
        <x:v>T21.16</x:v>
      </x:c>
      <x:c r="C1047" s="9" t="str">
        <x:v>Structured notes and embedded derivatives</x:v>
      </x:c>
      <x:c r="D1047" s="15" t="str">
        <x:v>EXPLORE_WITH</x:v>
      </x:c>
      <x:c r="E1047" s="9" t="str">
        <x:v>T21.02</x:v>
      </x:c>
      <x:c r="F1047" s="9" t="str">
        <x:v>Options: calls and puts</x:v>
      </x:c>
      <x:c r="G1047" s="9" t="str">
        <x:v>Study these together to understand contingent payoffs, pricing inputs and hedge limitations.</x:v>
      </x:c>
      <x:c r="H1047" s="9" t="str">
        <x:v>A topical exploration link, not a claim that one determines the other.</x:v>
      </x:c>
      <x:c r="I1047" s="9" t="str">
        <x:v>Curated curriculum relationship</x:v>
      </x:c>
    </x:row>
    <x:row r="1048" ht="58" customHeight="1">
      <x:c r="A1048" s="10" t="str">
        <x:v>E1043</x:v>
      </x:c>
      <x:c r="B1048" s="10" t="str">
        <x:v>T01.15</x:v>
      </x:c>
      <x:c r="C1048" s="10" t="str">
        <x:v>Arbitrage, the law of one price, and market efficiency</x:v>
      </x:c>
      <x:c r="D1048" s="14" t="str">
        <x:v>RECOMMENDED_BEFORE</x:v>
      </x:c>
      <x:c r="E1048" s="10" t="str">
        <x:v>T21.16</x:v>
      </x:c>
      <x:c r="F1048" s="10" t="str">
        <x:v>Structured notes and embedded derivatives</x:v>
      </x:c>
      <x:c r="G1048" s="10" t="str">
        <x:v>Suggested starting knowledge: Arbitrage, the law of one price, and market efficiency. It helps you understand contingent payoffs, pricing inputs and hedge limitations.</x:v>
      </x:c>
      <x:c r="H1048" s="10" t="str">
        <x:v>Suggested learning order; learners can still explore freely.</x:v>
      </x:c>
      <x:c r="I1048" s="10" t="str">
        <x:v>Curated curriculum relationship</x:v>
      </x:c>
    </x:row>
    <x:row r="1049" ht="58" customHeight="1">
      <x:c r="A1049" s="9" t="str">
        <x:v>E1044</x:v>
      </x:c>
      <x:c r="B1049" s="9" t="str">
        <x:v>T21.17</x:v>
      </x:c>
      <x:c r="C1049" s="9" t="str">
        <x:v>Hedging, speculation, and arbitrage</x:v>
      </x:c>
      <x:c r="D1049" s="15" t="str">
        <x:v>PART_OF</x:v>
      </x:c>
      <x:c r="E1049" s="9" t="str">
        <x:v>D21</x:v>
      </x:c>
      <x:c r="F1049" s="9" t="str">
        <x:v>Derivatives and structured products</x:v>
      </x:c>
      <x:c r="G1049" s="9" t="str">
        <x:v>Curriculum membership. Use this link to move between the topic and its finance area.</x:v>
      </x:c>
      <x:c r="H1049" s="9" t="str">
        <x:v>Classification only; this edge is not a causal or calculation relationship.</x:v>
      </x:c>
      <x:c r="I1049" s="9" t="str">
        <x:v>Curated curriculum relationship</x:v>
      </x:c>
    </x:row>
    <x:row r="1050" ht="58" customHeight="1">
      <x:c r="A1050" s="10" t="str">
        <x:v>E1045</x:v>
      </x:c>
      <x:c r="B1050" s="10" t="str">
        <x:v>T21.17</x:v>
      </x:c>
      <x:c r="C1050" s="10" t="str">
        <x:v>Hedging, speculation, and arbitrage</x:v>
      </x:c>
      <x:c r="D1050" s="14" t="str">
        <x:v>EXPLORE_WITH</x:v>
      </x:c>
      <x:c r="E1050" s="10" t="str">
        <x:v>T21.19</x:v>
      </x:c>
      <x:c r="F1050" s="10" t="str">
        <x:v>Basis risk and hedge effectiveness</x:v>
      </x:c>
      <x:c r="G1050" s="10" t="str">
        <x:v>Study these together to understand contingent payoffs, pricing inputs and hedge limitations.</x:v>
      </x:c>
      <x:c r="H1050" s="10" t="str">
        <x:v>A topical exploration link, not a claim that one determines the other.</x:v>
      </x:c>
      <x:c r="I1050" s="10" t="str">
        <x:v>Curated curriculum relationship</x:v>
      </x:c>
    </x:row>
    <x:row r="1051" ht="58" customHeight="1">
      <x:c r="A1051" s="9" t="str">
        <x:v>E1046</x:v>
      </x:c>
      <x:c r="B1051" s="9" t="str">
        <x:v>T01.15</x:v>
      </x:c>
      <x:c r="C1051" s="9" t="str">
        <x:v>Arbitrage, the law of one price, and market efficiency</x:v>
      </x:c>
      <x:c r="D1051" s="15" t="str">
        <x:v>RECOMMENDED_BEFORE</x:v>
      </x:c>
      <x:c r="E1051" s="9" t="str">
        <x:v>T21.17</x:v>
      </x:c>
      <x:c r="F1051" s="9" t="str">
        <x:v>Hedging, speculation, and arbitrage</x:v>
      </x:c>
      <x:c r="G1051" s="9" t="str">
        <x:v>Suggested starting knowledge: Arbitrage, the law of one price, and market efficiency. It helps you understand contingent payoffs, pricing inputs and hedge limitations.</x:v>
      </x:c>
      <x:c r="H1051" s="9" t="str">
        <x:v>Suggested learning order; learners can still explore freely.</x:v>
      </x:c>
      <x:c r="I1051" s="9" t="str">
        <x:v>Curated curriculum relationship</x:v>
      </x:c>
    </x:row>
    <x:row r="1052" ht="58" customHeight="1">
      <x:c r="A1052" s="10" t="str">
        <x:v>E1047</x:v>
      </x:c>
      <x:c r="B1052" s="10" t="str">
        <x:v>T21.18</x:v>
      </x:c>
      <x:c r="C1052" s="10" t="str">
        <x:v>Margin, collateral, clearing, and counterparty risk</x:v>
      </x:c>
      <x:c r="D1052" s="14" t="str">
        <x:v>PART_OF</x:v>
      </x:c>
      <x:c r="E1052" s="10" t="str">
        <x:v>D21</x:v>
      </x:c>
      <x:c r="F1052" s="10" t="str">
        <x:v>Derivatives and structured products</x:v>
      </x:c>
      <x:c r="G1052" s="10" t="str">
        <x:v>Curriculum membership. Use this link to move between the topic and its finance area.</x:v>
      </x:c>
      <x:c r="H1052" s="10" t="str">
        <x:v>Classification only; this edge is not a causal or calculation relationship.</x:v>
      </x:c>
      <x:c r="I1052" s="10" t="str">
        <x:v>Curated curriculum relationship</x:v>
      </x:c>
    </x:row>
    <x:row r="1053" ht="58" customHeight="1">
      <x:c r="A1053" s="9" t="str">
        <x:v>E1048</x:v>
      </x:c>
      <x:c r="B1053" s="9" t="str">
        <x:v>T21.18</x:v>
      </x:c>
      <x:c r="C1053" s="9" t="str">
        <x:v>Margin, collateral, clearing, and counterparty risk</x:v>
      </x:c>
      <x:c r="D1053" s="15" t="str">
        <x:v>EXPLORE_WITH</x:v>
      </x:c>
      <x:c r="E1053" s="9" t="str">
        <x:v>T21.13</x:v>
      </x:c>
      <x:c r="F1053" s="9" t="str">
        <x:v>Credit default swaps</x:v>
      </x:c>
      <x:c r="G1053" s="9" t="str">
        <x:v>Study these together to understand contingent payoffs, pricing inputs and hedge limitations.</x:v>
      </x:c>
      <x:c r="H1053" s="9" t="str">
        <x:v>A topical exploration link, not a claim that one determines the other.</x:v>
      </x:c>
      <x:c r="I1053" s="9" t="str">
        <x:v>Curated curriculum relationship</x:v>
      </x:c>
    </x:row>
    <x:row r="1054" ht="58" customHeight="1">
      <x:c r="A1054" s="10" t="str">
        <x:v>E1049</x:v>
      </x:c>
      <x:c r="B1054" s="10" t="str">
        <x:v>T01.15</x:v>
      </x:c>
      <x:c r="C1054" s="10" t="str">
        <x:v>Arbitrage, the law of one price, and market efficiency</x:v>
      </x:c>
      <x:c r="D1054" s="14" t="str">
        <x:v>RECOMMENDED_BEFORE</x:v>
      </x:c>
      <x:c r="E1054" s="10" t="str">
        <x:v>T21.18</x:v>
      </x:c>
      <x:c r="F1054" s="10" t="str">
        <x:v>Margin, collateral, clearing, and counterparty risk</x:v>
      </x:c>
      <x:c r="G1054" s="10" t="str">
        <x:v>Suggested starting knowledge: Arbitrage, the law of one price, and market efficiency. It helps you understand contingent payoffs, pricing inputs and hedge limitations.</x:v>
      </x:c>
      <x:c r="H1054" s="10" t="str">
        <x:v>Suggested learning order; learners can still explore freely.</x:v>
      </x:c>
      <x:c r="I1054" s="10" t="str">
        <x:v>Curated curriculum relationship</x:v>
      </x:c>
    </x:row>
    <x:row r="1055" ht="58" customHeight="1">
      <x:c r="A1055" s="9" t="str">
        <x:v>E1050</x:v>
      </x:c>
      <x:c r="B1055" s="9" t="str">
        <x:v>T21.19</x:v>
      </x:c>
      <x:c r="C1055" s="9" t="str">
        <x:v>Basis risk and hedge effectiveness</x:v>
      </x:c>
      <x:c r="D1055" s="15" t="str">
        <x:v>PART_OF</x:v>
      </x:c>
      <x:c r="E1055" s="9" t="str">
        <x:v>D21</x:v>
      </x:c>
      <x:c r="F1055" s="9" t="str">
        <x:v>Derivatives and structured products</x:v>
      </x:c>
      <x:c r="G1055" s="9" t="str">
        <x:v>Curriculum membership. Use this link to move between the topic and its finance area.</x:v>
      </x:c>
      <x:c r="H1055" s="9" t="str">
        <x:v>Classification only; this edge is not a causal or calculation relationship.</x:v>
      </x:c>
      <x:c r="I1055" s="9" t="str">
        <x:v>Curated curriculum relationship</x:v>
      </x:c>
    </x:row>
    <x:row r="1056" ht="58" customHeight="1">
      <x:c r="A1056" s="10" t="str">
        <x:v>E1051</x:v>
      </x:c>
      <x:c r="B1056" s="10" t="str">
        <x:v>T21.19</x:v>
      </x:c>
      <x:c r="C1056" s="10" t="str">
        <x:v>Basis risk and hedge effectiveness</x:v>
      </x:c>
      <x:c r="D1056" s="14" t="str">
        <x:v>EXPLORE_WITH</x:v>
      </x:c>
      <x:c r="E1056" s="10" t="str">
        <x:v>T21.17</x:v>
      </x:c>
      <x:c r="F1056" s="10" t="str">
        <x:v>Hedging, speculation, and arbitrage</x:v>
      </x:c>
      <x:c r="G1056" s="10" t="str">
        <x:v>Study these together to understand contingent payoffs, pricing inputs and hedge limitations.</x:v>
      </x:c>
      <x:c r="H1056" s="10" t="str">
        <x:v>A topical exploration link, not a claim that one determines the other.</x:v>
      </x:c>
      <x:c r="I1056" s="10" t="str">
        <x:v>Curated curriculum relationship</x:v>
      </x:c>
    </x:row>
    <x:row r="1057" ht="58" customHeight="1">
      <x:c r="A1057" s="9" t="str">
        <x:v>E1052</x:v>
      </x:c>
      <x:c r="B1057" s="9" t="str">
        <x:v>T01.15</x:v>
      </x:c>
      <x:c r="C1057" s="9" t="str">
        <x:v>Arbitrage, the law of one price, and market efficiency</x:v>
      </x:c>
      <x:c r="D1057" s="15" t="str">
        <x:v>RECOMMENDED_BEFORE</x:v>
      </x:c>
      <x:c r="E1057" s="9" t="str">
        <x:v>T21.19</x:v>
      </x:c>
      <x:c r="F1057" s="9" t="str">
        <x:v>Basis risk and hedge effectiveness</x:v>
      </x:c>
      <x:c r="G1057" s="9" t="str">
        <x:v>Suggested starting knowledge: Arbitrage, the law of one price, and market efficiency. It helps you understand contingent payoffs, pricing inputs and hedge limitations.</x:v>
      </x:c>
      <x:c r="H1057" s="9" t="str">
        <x:v>Suggested learning order; learners can still explore freely.</x:v>
      </x:c>
      <x:c r="I1057" s="9" t="str">
        <x:v>Curated curriculum relationship</x:v>
      </x:c>
    </x:row>
    <x:row r="1058" ht="58" customHeight="1">
      <x:c r="A1058" s="10" t="str">
        <x:v>E1053</x:v>
      </x:c>
      <x:c r="B1058" s="10" t="str">
        <x:v>T22.01</x:v>
      </x:c>
      <x:c r="C1058" s="10" t="str">
        <x:v>Investment objectives and constraints</x:v>
      </x:c>
      <x:c r="D1058" s="14" t="str">
        <x:v>PART_OF</x:v>
      </x:c>
      <x:c r="E1058" s="10" t="str">
        <x:v>D22</x:v>
      </x:c>
      <x:c r="F1058" s="10" t="str">
        <x:v>Portfolio management and asset allocation</x:v>
      </x:c>
      <x:c r="G1058" s="10" t="str">
        <x:v>Curriculum membership. Use this link to move between the topic and its finance area.</x:v>
      </x:c>
      <x:c r="H1058" s="10" t="str">
        <x:v>Classification only; this edge is not a causal or calculation relationship.</x:v>
      </x:c>
      <x:c r="I1058" s="10" t="str">
        <x:v>Curated curriculum relationship</x:v>
      </x:c>
    </x:row>
    <x:row r="1059" ht="58" customHeight="1">
      <x:c r="A1059" s="9" t="str">
        <x:v>E1054</x:v>
      </x:c>
      <x:c r="B1059" s="9" t="str">
        <x:v>T22.01</x:v>
      </x:c>
      <x:c r="C1059" s="9" t="str">
        <x:v>Investment objectives and constraints</x:v>
      </x:c>
      <x:c r="D1059" s="15" t="str">
        <x:v>EXPLORE_WITH</x:v>
      </x:c>
      <x:c r="E1059" s="9" t="str">
        <x:v>T22.02</x:v>
      </x:c>
      <x:c r="F1059" s="9" t="str">
        <x:v>Investment policy statements</x:v>
      </x:c>
      <x:c r="G1059" s="9" t="str">
        <x:v>Study these together to combine assets to meet goals and evaluate risk-adjusted performance.</x:v>
      </x:c>
      <x:c r="H1059" s="9" t="str">
        <x:v>A topical exploration link, not a claim that one determines the other.</x:v>
      </x:c>
      <x:c r="I1059" s="9" t="str">
        <x:v>Curated curriculum relationship</x:v>
      </x:c>
    </x:row>
    <x:row r="1060" ht="58" customHeight="1">
      <x:c r="A1060" s="10" t="str">
        <x:v>E1055</x:v>
      </x:c>
      <x:c r="B1060" s="10" t="str">
        <x:v>T02.09</x:v>
      </x:c>
      <x:c r="C1060" s="10" t="str">
        <x:v>Correlation and its limitations</x:v>
      </x:c>
      <x:c r="D1060" s="14" t="str">
        <x:v>RECOMMENDED_BEFORE</x:v>
      </x:c>
      <x:c r="E1060" s="10" t="str">
        <x:v>T22.01</x:v>
      </x:c>
      <x:c r="F1060" s="10" t="str">
        <x:v>Investment objectives and constraints</x:v>
      </x:c>
      <x:c r="G1060" s="10" t="str">
        <x:v>Suggested starting knowledge: Correlation and its limitations. It helps you combine assets to meet goals and evaluate risk-adjusted performance.</x:v>
      </x:c>
      <x:c r="H1060" s="10" t="str">
        <x:v>Suggested learning order; learners can still explore freely.</x:v>
      </x:c>
      <x:c r="I1060" s="10" t="str">
        <x:v>Curated curriculum relationship</x:v>
      </x:c>
    </x:row>
    <x:row r="1061" ht="58" customHeight="1">
      <x:c r="A1061" s="9" t="str">
        <x:v>E1056</x:v>
      </x:c>
      <x:c r="B1061" s="9" t="str">
        <x:v>T22.02</x:v>
      </x:c>
      <x:c r="C1061" s="9" t="str">
        <x:v>Investment policy statements</x:v>
      </x:c>
      <x:c r="D1061" s="15" t="str">
        <x:v>PART_OF</x:v>
      </x:c>
      <x:c r="E1061" s="9" t="str">
        <x:v>D22</x:v>
      </x:c>
      <x:c r="F1061" s="9" t="str">
        <x:v>Portfolio management and asset allocation</x:v>
      </x:c>
      <x:c r="G1061" s="9" t="str">
        <x:v>Curriculum membership. Use this link to move between the topic and its finance area.</x:v>
      </x:c>
      <x:c r="H1061" s="9" t="str">
        <x:v>Classification only; this edge is not a causal or calculation relationship.</x:v>
      </x:c>
      <x:c r="I1061" s="9" t="str">
        <x:v>Curated curriculum relationship</x:v>
      </x:c>
    </x:row>
    <x:row r="1062" ht="58" customHeight="1">
      <x:c r="A1062" s="10" t="str">
        <x:v>E1057</x:v>
      </x:c>
      <x:c r="B1062" s="10" t="str">
        <x:v>T22.02</x:v>
      </x:c>
      <x:c r="C1062" s="10" t="str">
        <x:v>Investment policy statements</x:v>
      </x:c>
      <x:c r="D1062" s="14" t="str">
        <x:v>EXPLORE_WITH</x:v>
      </x:c>
      <x:c r="E1062" s="10" t="str">
        <x:v>T22.01</x:v>
      </x:c>
      <x:c r="F1062" s="10" t="str">
        <x:v>Investment objectives and constraints</x:v>
      </x:c>
      <x:c r="G1062" s="10" t="str">
        <x:v>Study these together to combine assets to meet goals and evaluate risk-adjusted performance.</x:v>
      </x:c>
      <x:c r="H1062" s="10" t="str">
        <x:v>A topical exploration link, not a claim that one determines the other.</x:v>
      </x:c>
      <x:c r="I1062" s="10" t="str">
        <x:v>Curated curriculum relationship</x:v>
      </x:c>
    </x:row>
    <x:row r="1063" ht="58" customHeight="1">
      <x:c r="A1063" s="9" t="str">
        <x:v>E1058</x:v>
      </x:c>
      <x:c r="B1063" s="9" t="str">
        <x:v>T02.09</x:v>
      </x:c>
      <x:c r="C1063" s="9" t="str">
        <x:v>Correlation and its limitations</x:v>
      </x:c>
      <x:c r="D1063" s="15" t="str">
        <x:v>RECOMMENDED_BEFORE</x:v>
      </x:c>
      <x:c r="E1063" s="9" t="str">
        <x:v>T22.02</x:v>
      </x:c>
      <x:c r="F1063" s="9" t="str">
        <x:v>Investment policy statements</x:v>
      </x:c>
      <x:c r="G1063" s="9" t="str">
        <x:v>Suggested starting knowledge: Correlation and its limitations. It helps you combine assets to meet goals and evaluate risk-adjusted performance.</x:v>
      </x:c>
      <x:c r="H1063" s="9" t="str">
        <x:v>Suggested learning order; learners can still explore freely.</x:v>
      </x:c>
      <x:c r="I1063" s="9" t="str">
        <x:v>Curated curriculum relationship</x:v>
      </x:c>
    </x:row>
    <x:row r="1064" ht="58" customHeight="1">
      <x:c r="A1064" s="10" t="str">
        <x:v>E1059</x:v>
      </x:c>
      <x:c r="B1064" s="10" t="str">
        <x:v>T22.03</x:v>
      </x:c>
      <x:c r="C1064" s="10" t="str">
        <x:v>Risk tolerance, risk capacity, and investment horizon</x:v>
      </x:c>
      <x:c r="D1064" s="14" t="str">
        <x:v>PART_OF</x:v>
      </x:c>
      <x:c r="E1064" s="10" t="str">
        <x:v>D22</x:v>
      </x:c>
      <x:c r="F1064" s="10" t="str">
        <x:v>Portfolio management and asset allocation</x:v>
      </x:c>
      <x:c r="G1064" s="10" t="str">
        <x:v>Curriculum membership. Use this link to move between the topic and its finance area.</x:v>
      </x:c>
      <x:c r="H1064" s="10" t="str">
        <x:v>Classification only; this edge is not a causal or calculation relationship.</x:v>
      </x:c>
      <x:c r="I1064" s="10" t="str">
        <x:v>Curated curriculum relationship</x:v>
      </x:c>
    </x:row>
    <x:row r="1065" ht="58" customHeight="1">
      <x:c r="A1065" s="9" t="str">
        <x:v>E1060</x:v>
      </x:c>
      <x:c r="B1065" s="9" t="str">
        <x:v>T22.03</x:v>
      </x:c>
      <x:c r="C1065" s="9" t="str">
        <x:v>Risk tolerance, risk capacity, and investment horizon</x:v>
      </x:c>
      <x:c r="D1065" s="15" t="str">
        <x:v>EXPLORE_WITH</x:v>
      </x:c>
      <x:c r="E1065" s="9" t="str">
        <x:v>T22.02</x:v>
      </x:c>
      <x:c r="F1065" s="9" t="str">
        <x:v>Investment policy statements</x:v>
      </x:c>
      <x:c r="G1065" s="9" t="str">
        <x:v>Study these together to combine assets to meet goals and evaluate risk-adjusted performance.</x:v>
      </x:c>
      <x:c r="H1065" s="9" t="str">
        <x:v>A topical exploration link, not a claim that one determines the other.</x:v>
      </x:c>
      <x:c r="I1065" s="9" t="str">
        <x:v>Curated curriculum relationship</x:v>
      </x:c>
    </x:row>
    <x:row r="1066" ht="58" customHeight="1">
      <x:c r="A1066" s="10" t="str">
        <x:v>E1061</x:v>
      </x:c>
      <x:c r="B1066" s="10" t="str">
        <x:v>T02.09</x:v>
      </x:c>
      <x:c r="C1066" s="10" t="str">
        <x:v>Correlation and its limitations</x:v>
      </x:c>
      <x:c r="D1066" s="14" t="str">
        <x:v>RECOMMENDED_BEFORE</x:v>
      </x:c>
      <x:c r="E1066" s="10" t="str">
        <x:v>T22.03</x:v>
      </x:c>
      <x:c r="F1066" s="10" t="str">
        <x:v>Risk tolerance, risk capacity, and investment horizon</x:v>
      </x:c>
      <x:c r="G1066" s="10" t="str">
        <x:v>Suggested starting knowledge: Correlation and its limitations. It helps you combine assets to meet goals and evaluate risk-adjusted performance.</x:v>
      </x:c>
      <x:c r="H1066" s="10" t="str">
        <x:v>Suggested learning order; learners can still explore freely.</x:v>
      </x:c>
      <x:c r="I1066" s="10" t="str">
        <x:v>Curated curriculum relationship</x:v>
      </x:c>
    </x:row>
    <x:row r="1067" ht="58" customHeight="1">
      <x:c r="A1067" s="9" t="str">
        <x:v>E1062</x:v>
      </x:c>
      <x:c r="B1067" s="9" t="str">
        <x:v>T22.04</x:v>
      </x:c>
      <x:c r="C1067" s="9" t="str">
        <x:v>Diversification and correlation</x:v>
      </x:c>
      <x:c r="D1067" s="15" t="str">
        <x:v>PART_OF</x:v>
      </x:c>
      <x:c r="E1067" s="9" t="str">
        <x:v>D22</x:v>
      </x:c>
      <x:c r="F1067" s="9" t="str">
        <x:v>Portfolio management and asset allocation</x:v>
      </x:c>
      <x:c r="G1067" s="9" t="str">
        <x:v>Curriculum membership. Use this link to move between the topic and its finance area.</x:v>
      </x:c>
      <x:c r="H1067" s="9" t="str">
        <x:v>Classification only; this edge is not a causal or calculation relationship.</x:v>
      </x:c>
      <x:c r="I1067" s="9" t="str">
        <x:v>Curated curriculum relationship</x:v>
      </x:c>
    </x:row>
    <x:row r="1068" ht="58" customHeight="1">
      <x:c r="A1068" s="10" t="str">
        <x:v>E1063</x:v>
      </x:c>
      <x:c r="B1068" s="10" t="str">
        <x:v>T22.04</x:v>
      </x:c>
      <x:c r="C1068" s="10" t="str">
        <x:v>Diversification and correlation</x:v>
      </x:c>
      <x:c r="D1068" s="14" t="str">
        <x:v>EXPLORE_WITH</x:v>
      </x:c>
      <x:c r="E1068" s="10" t="str">
        <x:v>T22.05</x:v>
      </x:c>
      <x:c r="F1068" s="10" t="str">
        <x:v>Modern portfolio theory</x:v>
      </x:c>
      <x:c r="G1068" s="10" t="str">
        <x:v>Study these together to combine assets to meet goals and evaluate risk-adjusted performance.</x:v>
      </x:c>
      <x:c r="H1068" s="10" t="str">
        <x:v>A topical exploration link, not a claim that one determines the other.</x:v>
      </x:c>
      <x:c r="I1068" s="10" t="str">
        <x:v>Curated curriculum relationship</x:v>
      </x:c>
    </x:row>
    <x:row r="1069" ht="58" customHeight="1">
      <x:c r="A1069" s="9" t="str">
        <x:v>E1064</x:v>
      </x:c>
      <x:c r="B1069" s="9" t="str">
        <x:v>T02.09</x:v>
      </x:c>
      <x:c r="C1069" s="9" t="str">
        <x:v>Correlation and its limitations</x:v>
      </x:c>
      <x:c r="D1069" s="15" t="str">
        <x:v>RECOMMENDED_BEFORE</x:v>
      </x:c>
      <x:c r="E1069" s="9" t="str">
        <x:v>T22.04</x:v>
      </x:c>
      <x:c r="F1069" s="9" t="str">
        <x:v>Diversification and correlation</x:v>
      </x:c>
      <x:c r="G1069" s="9" t="str">
        <x:v>Suggested starting knowledge: Correlation and its limitations. It helps you combine assets to meet goals and evaluate risk-adjusted performance.</x:v>
      </x:c>
      <x:c r="H1069" s="9" t="str">
        <x:v>Suggested learning order; learners can still explore freely.</x:v>
      </x:c>
      <x:c r="I1069" s="9" t="str">
        <x:v>Curated curriculum relationship</x:v>
      </x:c>
    </x:row>
    <x:row r="1070" ht="58" customHeight="1">
      <x:c r="A1070" s="10" t="str">
        <x:v>E1065</x:v>
      </x:c>
      <x:c r="B1070" s="10" t="str">
        <x:v>T22.05</x:v>
      </x:c>
      <x:c r="C1070" s="10" t="str">
        <x:v>Modern portfolio theory</x:v>
      </x:c>
      <x:c r="D1070" s="14" t="str">
        <x:v>PART_OF</x:v>
      </x:c>
      <x:c r="E1070" s="10" t="str">
        <x:v>D22</x:v>
      </x:c>
      <x:c r="F1070" s="10" t="str">
        <x:v>Portfolio management and asset allocation</x:v>
      </x:c>
      <x:c r="G1070" s="10" t="str">
        <x:v>Curriculum membership. Use this link to move between the topic and its finance area.</x:v>
      </x:c>
      <x:c r="H1070" s="10" t="str">
        <x:v>Classification only; this edge is not a causal or calculation relationship.</x:v>
      </x:c>
      <x:c r="I1070" s="10" t="str">
        <x:v>Curated curriculum relationship</x:v>
      </x:c>
    </x:row>
    <x:row r="1071" ht="58" customHeight="1">
      <x:c r="A1071" s="9" t="str">
        <x:v>E1066</x:v>
      </x:c>
      <x:c r="B1071" s="9" t="str">
        <x:v>T22.05</x:v>
      </x:c>
      <x:c r="C1071" s="9" t="str">
        <x:v>Modern portfolio theory</x:v>
      </x:c>
      <x:c r="D1071" s="15" t="str">
        <x:v>EXPLORE_WITH</x:v>
      </x:c>
      <x:c r="E1071" s="9" t="str">
        <x:v>T22.06</x:v>
      </x:c>
      <x:c r="F1071" s="9" t="str">
        <x:v>Efficient frontier and minimum-variance portfolios</x:v>
      </x:c>
      <x:c r="G1071" s="9" t="str">
        <x:v>Study these together to combine assets to meet goals and evaluate risk-adjusted performance.</x:v>
      </x:c>
      <x:c r="H1071" s="9" t="str">
        <x:v>A topical exploration link, not a claim that one determines the other.</x:v>
      </x:c>
      <x:c r="I1071" s="9" t="str">
        <x:v>Curated curriculum relationship</x:v>
      </x:c>
    </x:row>
    <x:row r="1072" ht="58" customHeight="1">
      <x:c r="A1072" s="10" t="str">
        <x:v>E1067</x:v>
      </x:c>
      <x:c r="B1072" s="10" t="str">
        <x:v>T02.09</x:v>
      </x:c>
      <x:c r="C1072" s="10" t="str">
        <x:v>Correlation and its limitations</x:v>
      </x:c>
      <x:c r="D1072" s="14" t="str">
        <x:v>RECOMMENDED_BEFORE</x:v>
      </x:c>
      <x:c r="E1072" s="10" t="str">
        <x:v>T22.05</x:v>
      </x:c>
      <x:c r="F1072" s="10" t="str">
        <x:v>Modern portfolio theory</x:v>
      </x:c>
      <x:c r="G1072" s="10" t="str">
        <x:v>Suggested starting knowledge: Correlation and its limitations. It helps you combine assets to meet goals and evaluate risk-adjusted performance.</x:v>
      </x:c>
      <x:c r="H1072" s="10" t="str">
        <x:v>Suggested learning order; learners can still explore freely.</x:v>
      </x:c>
      <x:c r="I1072" s="10" t="str">
        <x:v>Curated curriculum relationship</x:v>
      </x:c>
    </x:row>
    <x:row r="1073" ht="58" customHeight="1">
      <x:c r="A1073" s="9" t="str">
        <x:v>E1068</x:v>
      </x:c>
      <x:c r="B1073" s="9" t="str">
        <x:v>T22.06</x:v>
      </x:c>
      <x:c r="C1073" s="9" t="str">
        <x:v>Efficient frontier and minimum-variance portfolios</x:v>
      </x:c>
      <x:c r="D1073" s="15" t="str">
        <x:v>PART_OF</x:v>
      </x:c>
      <x:c r="E1073" s="9" t="str">
        <x:v>D22</x:v>
      </x:c>
      <x:c r="F1073" s="9" t="str">
        <x:v>Portfolio management and asset allocation</x:v>
      </x:c>
      <x:c r="G1073" s="9" t="str">
        <x:v>Curriculum membership. Use this link to move between the topic and its finance area.</x:v>
      </x:c>
      <x:c r="H1073" s="9" t="str">
        <x:v>Classification only; this edge is not a causal or calculation relationship.</x:v>
      </x:c>
      <x:c r="I1073" s="9" t="str">
        <x:v>Curated curriculum relationship</x:v>
      </x:c>
    </x:row>
    <x:row r="1074" ht="58" customHeight="1">
      <x:c r="A1074" s="10" t="str">
        <x:v>E1069</x:v>
      </x:c>
      <x:c r="B1074" s="10" t="str">
        <x:v>T22.06</x:v>
      </x:c>
      <x:c r="C1074" s="10" t="str">
        <x:v>Efficient frontier and minimum-variance portfolios</x:v>
      </x:c>
      <x:c r="D1074" s="14" t="str">
        <x:v>EXPLORE_WITH</x:v>
      </x:c>
      <x:c r="E1074" s="10" t="str">
        <x:v>T22.05</x:v>
      </x:c>
      <x:c r="F1074" s="10" t="str">
        <x:v>Modern portfolio theory</x:v>
      </x:c>
      <x:c r="G1074" s="10" t="str">
        <x:v>Study these together to combine assets to meet goals and evaluate risk-adjusted performance.</x:v>
      </x:c>
      <x:c r="H1074" s="10" t="str">
        <x:v>A topical exploration link, not a claim that one determines the other.</x:v>
      </x:c>
      <x:c r="I1074" s="10" t="str">
        <x:v>Curated curriculum relationship</x:v>
      </x:c>
    </x:row>
    <x:row r="1075" ht="58" customHeight="1">
      <x:c r="A1075" s="9" t="str">
        <x:v>E1070</x:v>
      </x:c>
      <x:c r="B1075" s="9" t="str">
        <x:v>T02.09</x:v>
      </x:c>
      <x:c r="C1075" s="9" t="str">
        <x:v>Correlation and its limitations</x:v>
      </x:c>
      <x:c r="D1075" s="15" t="str">
        <x:v>RECOMMENDED_BEFORE</x:v>
      </x:c>
      <x:c r="E1075" s="9" t="str">
        <x:v>T22.06</x:v>
      </x:c>
      <x:c r="F1075" s="9" t="str">
        <x:v>Efficient frontier and minimum-variance portfolios</x:v>
      </x:c>
      <x:c r="G1075" s="9" t="str">
        <x:v>Suggested starting knowledge: Correlation and its limitations. It helps you combine assets to meet goals and evaluate risk-adjusted performance.</x:v>
      </x:c>
      <x:c r="H1075" s="9" t="str">
        <x:v>Suggested learning order; learners can still explore freely.</x:v>
      </x:c>
      <x:c r="I1075" s="9" t="str">
        <x:v>Curated curriculum relationship</x:v>
      </x:c>
    </x:row>
    <x:row r="1076" ht="58" customHeight="1">
      <x:c r="A1076" s="10" t="str">
        <x:v>E1071</x:v>
      </x:c>
      <x:c r="B1076" s="10" t="str">
        <x:v>T22.07</x:v>
      </x:c>
      <x:c r="C1076" s="10" t="str">
        <x:v>Capital allocation line and capital market line</x:v>
      </x:c>
      <x:c r="D1076" s="14" t="str">
        <x:v>PART_OF</x:v>
      </x:c>
      <x:c r="E1076" s="10" t="str">
        <x:v>D22</x:v>
      </x:c>
      <x:c r="F1076" s="10" t="str">
        <x:v>Portfolio management and asset allocation</x:v>
      </x:c>
      <x:c r="G1076" s="10" t="str">
        <x:v>Curriculum membership. Use this link to move between the topic and its finance area.</x:v>
      </x:c>
      <x:c r="H1076" s="10" t="str">
        <x:v>Classification only; this edge is not a causal or calculation relationship.</x:v>
      </x:c>
      <x:c r="I1076" s="10" t="str">
        <x:v>Curated curriculum relationship</x:v>
      </x:c>
    </x:row>
    <x:row r="1077" ht="58" customHeight="1">
      <x:c r="A1077" s="9" t="str">
        <x:v>E1072</x:v>
      </x:c>
      <x:c r="B1077" s="9" t="str">
        <x:v>T22.07</x:v>
      </x:c>
      <x:c r="C1077" s="9" t="str">
        <x:v>Capital allocation line and capital market line</x:v>
      </x:c>
      <x:c r="D1077" s="15" t="str">
        <x:v>EXPLORE_WITH</x:v>
      </x:c>
      <x:c r="E1077" s="9" t="str">
        <x:v>T22.05</x:v>
      </x:c>
      <x:c r="F1077" s="9" t="str">
        <x:v>Modern portfolio theory</x:v>
      </x:c>
      <x:c r="G1077" s="9" t="str">
        <x:v>Study these together to combine assets to meet goals and evaluate risk-adjusted performance.</x:v>
      </x:c>
      <x:c r="H1077" s="9" t="str">
        <x:v>A topical exploration link, not a claim that one determines the other.</x:v>
      </x:c>
      <x:c r="I1077" s="9" t="str">
        <x:v>Curated curriculum relationship</x:v>
      </x:c>
    </x:row>
    <x:row r="1078" ht="58" customHeight="1">
      <x:c r="A1078" s="10" t="str">
        <x:v>E1073</x:v>
      </x:c>
      <x:c r="B1078" s="10" t="str">
        <x:v>T02.09</x:v>
      </x:c>
      <x:c r="C1078" s="10" t="str">
        <x:v>Correlation and its limitations</x:v>
      </x:c>
      <x:c r="D1078" s="14" t="str">
        <x:v>RECOMMENDED_BEFORE</x:v>
      </x:c>
      <x:c r="E1078" s="10" t="str">
        <x:v>T22.07</x:v>
      </x:c>
      <x:c r="F1078" s="10" t="str">
        <x:v>Capital allocation line and capital market line</x:v>
      </x:c>
      <x:c r="G1078" s="10" t="str">
        <x:v>Suggested starting knowledge: Correlation and its limitations. It helps you combine assets to meet goals and evaluate risk-adjusted performance.</x:v>
      </x:c>
      <x:c r="H1078" s="10" t="str">
        <x:v>Suggested learning order; learners can still explore freely.</x:v>
      </x:c>
      <x:c r="I1078" s="10" t="str">
        <x:v>Curated curriculum relationship</x:v>
      </x:c>
    </x:row>
    <x:row r="1079" ht="58" customHeight="1">
      <x:c r="A1079" s="9" t="str">
        <x:v>E1074</x:v>
      </x:c>
      <x:c r="B1079" s="9" t="str">
        <x:v>T22.08</x:v>
      </x:c>
      <x:c r="C1079" s="9" t="str">
        <x:v>CAPM, arbitrage pricing theory, and factor models</x:v>
      </x:c>
      <x:c r="D1079" s="15" t="str">
        <x:v>PART_OF</x:v>
      </x:c>
      <x:c r="E1079" s="9" t="str">
        <x:v>D22</x:v>
      </x:c>
      <x:c r="F1079" s="9" t="str">
        <x:v>Portfolio management and asset allocation</x:v>
      </x:c>
      <x:c r="G1079" s="9" t="str">
        <x:v>Curriculum membership. Use this link to move between the topic and its finance area.</x:v>
      </x:c>
      <x:c r="H1079" s="9" t="str">
        <x:v>Classification only; this edge is not a causal or calculation relationship.</x:v>
      </x:c>
      <x:c r="I1079" s="9" t="str">
        <x:v>Curated curriculum relationship</x:v>
      </x:c>
    </x:row>
    <x:row r="1080" ht="58" customHeight="1">
      <x:c r="A1080" s="10" t="str">
        <x:v>E1075</x:v>
      </x:c>
      <x:c r="B1080" s="10" t="str">
        <x:v>T22.08</x:v>
      </x:c>
      <x:c r="C1080" s="10" t="str">
        <x:v>CAPM, arbitrage pricing theory, and factor models</x:v>
      </x:c>
      <x:c r="D1080" s="14" t="str">
        <x:v>EXPLORE_WITH</x:v>
      </x:c>
      <x:c r="E1080" s="10" t="str">
        <x:v>T22.05</x:v>
      </x:c>
      <x:c r="F1080" s="10" t="str">
        <x:v>Modern portfolio theory</x:v>
      </x:c>
      <x:c r="G1080" s="10" t="str">
        <x:v>Study these together to combine assets to meet goals and evaluate risk-adjusted performance.</x:v>
      </x:c>
      <x:c r="H1080" s="10" t="str">
        <x:v>A topical exploration link, not a claim that one determines the other.</x:v>
      </x:c>
      <x:c r="I1080" s="10" t="str">
        <x:v>Curated curriculum relationship</x:v>
      </x:c>
    </x:row>
    <x:row r="1081" ht="58" customHeight="1">
      <x:c r="A1081" s="9" t="str">
        <x:v>E1076</x:v>
      </x:c>
      <x:c r="B1081" s="9" t="str">
        <x:v>T02.09</x:v>
      </x:c>
      <x:c r="C1081" s="9" t="str">
        <x:v>Correlation and its limitations</x:v>
      </x:c>
      <x:c r="D1081" s="15" t="str">
        <x:v>RECOMMENDED_BEFORE</x:v>
      </x:c>
      <x:c r="E1081" s="9" t="str">
        <x:v>T22.08</x:v>
      </x:c>
      <x:c r="F1081" s="9" t="str">
        <x:v>CAPM, arbitrage pricing theory, and factor models</x:v>
      </x:c>
      <x:c r="G1081" s="9" t="str">
        <x:v>Suggested starting knowledge: Correlation and its limitations. It helps you combine assets to meet goals and evaluate risk-adjusted performance.</x:v>
      </x:c>
      <x:c r="H1081" s="9" t="str">
        <x:v>Suggested learning order; learners can still explore freely.</x:v>
      </x:c>
      <x:c r="I1081" s="9" t="str">
        <x:v>Curated curriculum relationship</x:v>
      </x:c>
    </x:row>
    <x:row r="1082" ht="58" customHeight="1">
      <x:c r="A1082" s="10" t="str">
        <x:v>E1077</x:v>
      </x:c>
      <x:c r="B1082" s="10" t="str">
        <x:v>T22.09</x:v>
      </x:c>
      <x:c r="C1082" s="10" t="str">
        <x:v>Strategic and tactical asset allocation</x:v>
      </x:c>
      <x:c r="D1082" s="14" t="str">
        <x:v>PART_OF</x:v>
      </x:c>
      <x:c r="E1082" s="10" t="str">
        <x:v>D22</x:v>
      </x:c>
      <x:c r="F1082" s="10" t="str">
        <x:v>Portfolio management and asset allocation</x:v>
      </x:c>
      <x:c r="G1082" s="10" t="str">
        <x:v>Curriculum membership. Use this link to move between the topic and its finance area.</x:v>
      </x:c>
      <x:c r="H1082" s="10" t="str">
        <x:v>Classification only; this edge is not a causal or calculation relationship.</x:v>
      </x:c>
      <x:c r="I1082" s="10" t="str">
        <x:v>Curated curriculum relationship</x:v>
      </x:c>
    </x:row>
    <x:row r="1083" ht="58" customHeight="1">
      <x:c r="A1083" s="9" t="str">
        <x:v>E1078</x:v>
      </x:c>
      <x:c r="B1083" s="9" t="str">
        <x:v>T22.09</x:v>
      </x:c>
      <x:c r="C1083" s="9" t="str">
        <x:v>Strategic and tactical asset allocation</x:v>
      </x:c>
      <x:c r="D1083" s="15" t="str">
        <x:v>EXPLORE_WITH</x:v>
      </x:c>
      <x:c r="E1083" s="9" t="str">
        <x:v>T22.12</x:v>
      </x:c>
      <x:c r="F1083" s="9" t="str">
        <x:v>Portfolio construction and position sizing</x:v>
      </x:c>
      <x:c r="G1083" s="9" t="str">
        <x:v>Study these together to combine assets to meet goals and evaluate risk-adjusted performance.</x:v>
      </x:c>
      <x:c r="H1083" s="9" t="str">
        <x:v>A topical exploration link, not a claim that one determines the other.</x:v>
      </x:c>
      <x:c r="I1083" s="9" t="str">
        <x:v>Curated curriculum relationship</x:v>
      </x:c>
    </x:row>
    <x:row r="1084" ht="58" customHeight="1">
      <x:c r="A1084" s="10" t="str">
        <x:v>E1079</x:v>
      </x:c>
      <x:c r="B1084" s="10" t="str">
        <x:v>T02.09</x:v>
      </x:c>
      <x:c r="C1084" s="10" t="str">
        <x:v>Correlation and its limitations</x:v>
      </x:c>
      <x:c r="D1084" s="14" t="str">
        <x:v>RECOMMENDED_BEFORE</x:v>
      </x:c>
      <x:c r="E1084" s="10" t="str">
        <x:v>T22.09</x:v>
      </x:c>
      <x:c r="F1084" s="10" t="str">
        <x:v>Strategic and tactical asset allocation</x:v>
      </x:c>
      <x:c r="G1084" s="10" t="str">
        <x:v>Suggested starting knowledge: Correlation and its limitations. It helps you combine assets to meet goals and evaluate risk-adjusted performance.</x:v>
      </x:c>
      <x:c r="H1084" s="10" t="str">
        <x:v>Suggested learning order; learners can still explore freely.</x:v>
      </x:c>
      <x:c r="I1084" s="10" t="str">
        <x:v>Curated curriculum relationship</x:v>
      </x:c>
    </x:row>
    <x:row r="1085" ht="58" customHeight="1">
      <x:c r="A1085" s="9" t="str">
        <x:v>E1080</x:v>
      </x:c>
      <x:c r="B1085" s="9" t="str">
        <x:v>T22.10</x:v>
      </x:c>
      <x:c r="C1085" s="9" t="str">
        <x:v>Active versus passive management</x:v>
      </x:c>
      <x:c r="D1085" s="15" t="str">
        <x:v>PART_OF</x:v>
      </x:c>
      <x:c r="E1085" s="9" t="str">
        <x:v>D22</x:v>
      </x:c>
      <x:c r="F1085" s="9" t="str">
        <x:v>Portfolio management and asset allocation</x:v>
      </x:c>
      <x:c r="G1085" s="9" t="str">
        <x:v>Curriculum membership. Use this link to move between the topic and its finance area.</x:v>
      </x:c>
      <x:c r="H1085" s="9" t="str">
        <x:v>Classification only; this edge is not a causal or calculation relationship.</x:v>
      </x:c>
      <x:c r="I1085" s="9" t="str">
        <x:v>Curated curriculum relationship</x:v>
      </x:c>
    </x:row>
    <x:row r="1086" ht="58" customHeight="1">
      <x:c r="A1086" s="10" t="str">
        <x:v>E1081</x:v>
      </x:c>
      <x:c r="B1086" s="10" t="str">
        <x:v>T22.10</x:v>
      </x:c>
      <x:c r="C1086" s="10" t="str">
        <x:v>Active versus passive management</x:v>
      </x:c>
      <x:c r="D1086" s="14" t="str">
        <x:v>EXPLORE_WITH</x:v>
      </x:c>
      <x:c r="E1086" s="10" t="str">
        <x:v>T22.11</x:v>
      </x:c>
      <x:c r="F1086" s="10" t="str">
        <x:v>Indexing, tracking error, and active share</x:v>
      </x:c>
      <x:c r="G1086" s="10" t="str">
        <x:v>Study these together to combine assets to meet goals and evaluate risk-adjusted performance.</x:v>
      </x:c>
      <x:c r="H1086" s="10" t="str">
        <x:v>A topical exploration link, not a claim that one determines the other.</x:v>
      </x:c>
      <x:c r="I1086" s="10" t="str">
        <x:v>Curated curriculum relationship</x:v>
      </x:c>
    </x:row>
    <x:row r="1087" ht="58" customHeight="1">
      <x:c r="A1087" s="9" t="str">
        <x:v>E1082</x:v>
      </x:c>
      <x:c r="B1087" s="9" t="str">
        <x:v>T02.09</x:v>
      </x:c>
      <x:c r="C1087" s="9" t="str">
        <x:v>Correlation and its limitations</x:v>
      </x:c>
      <x:c r="D1087" s="15" t="str">
        <x:v>RECOMMENDED_BEFORE</x:v>
      </x:c>
      <x:c r="E1087" s="9" t="str">
        <x:v>T22.10</x:v>
      </x:c>
      <x:c r="F1087" s="9" t="str">
        <x:v>Active versus passive management</x:v>
      </x:c>
      <x:c r="G1087" s="9" t="str">
        <x:v>Suggested starting knowledge: Correlation and its limitations. It helps you combine assets to meet goals and evaluate risk-adjusted performance.</x:v>
      </x:c>
      <x:c r="H1087" s="9" t="str">
        <x:v>Suggested learning order; learners can still explore freely.</x:v>
      </x:c>
      <x:c r="I1087" s="9" t="str">
        <x:v>Curated curriculum relationship</x:v>
      </x:c>
    </x:row>
    <x:row r="1088" ht="58" customHeight="1">
      <x:c r="A1088" s="10" t="str">
        <x:v>E1083</x:v>
      </x:c>
      <x:c r="B1088" s="10" t="str">
        <x:v>T22.11</x:v>
      </x:c>
      <x:c r="C1088" s="10" t="str">
        <x:v>Indexing, tracking error, and active share</x:v>
      </x:c>
      <x:c r="D1088" s="14" t="str">
        <x:v>PART_OF</x:v>
      </x:c>
      <x:c r="E1088" s="10" t="str">
        <x:v>D22</x:v>
      </x:c>
      <x:c r="F1088" s="10" t="str">
        <x:v>Portfolio management and asset allocation</x:v>
      </x:c>
      <x:c r="G1088" s="10" t="str">
        <x:v>Curriculum membership. Use this link to move between the topic and its finance area.</x:v>
      </x:c>
      <x:c r="H1088" s="10" t="str">
        <x:v>Classification only; this edge is not a causal or calculation relationship.</x:v>
      </x:c>
      <x:c r="I1088" s="10" t="str">
        <x:v>Curated curriculum relationship</x:v>
      </x:c>
    </x:row>
    <x:row r="1089" ht="58" customHeight="1">
      <x:c r="A1089" s="9" t="str">
        <x:v>E1084</x:v>
      </x:c>
      <x:c r="B1089" s="9" t="str">
        <x:v>T22.11</x:v>
      </x:c>
      <x:c r="C1089" s="9" t="str">
        <x:v>Indexing, tracking error, and active share</x:v>
      </x:c>
      <x:c r="D1089" s="15" t="str">
        <x:v>EXPLORE_WITH</x:v>
      </x:c>
      <x:c r="E1089" s="9" t="str">
        <x:v>T22.10</x:v>
      </x:c>
      <x:c r="F1089" s="9" t="str">
        <x:v>Active versus passive management</x:v>
      </x:c>
      <x:c r="G1089" s="9" t="str">
        <x:v>Study these together to combine assets to meet goals and evaluate risk-adjusted performance.</x:v>
      </x:c>
      <x:c r="H1089" s="9" t="str">
        <x:v>A topical exploration link, not a claim that one determines the other.</x:v>
      </x:c>
      <x:c r="I1089" s="9" t="str">
        <x:v>Curated curriculum relationship</x:v>
      </x:c>
    </x:row>
    <x:row r="1090" ht="58" customHeight="1">
      <x:c r="A1090" s="10" t="str">
        <x:v>E1085</x:v>
      </x:c>
      <x:c r="B1090" s="10" t="str">
        <x:v>T02.09</x:v>
      </x:c>
      <x:c r="C1090" s="10" t="str">
        <x:v>Correlation and its limitations</x:v>
      </x:c>
      <x:c r="D1090" s="14" t="str">
        <x:v>RECOMMENDED_BEFORE</x:v>
      </x:c>
      <x:c r="E1090" s="10" t="str">
        <x:v>T22.11</x:v>
      </x:c>
      <x:c r="F1090" s="10" t="str">
        <x:v>Indexing, tracking error, and active share</x:v>
      </x:c>
      <x:c r="G1090" s="10" t="str">
        <x:v>Suggested starting knowledge: Correlation and its limitations. It helps you combine assets to meet goals and evaluate risk-adjusted performance.</x:v>
      </x:c>
      <x:c r="H1090" s="10" t="str">
        <x:v>Suggested learning order; learners can still explore freely.</x:v>
      </x:c>
      <x:c r="I1090" s="10" t="str">
        <x:v>Curated curriculum relationship</x:v>
      </x:c>
    </x:row>
    <x:row r="1091" ht="58" customHeight="1">
      <x:c r="A1091" s="9" t="str">
        <x:v>E1086</x:v>
      </x:c>
      <x:c r="B1091" s="9" t="str">
        <x:v>T22.12</x:v>
      </x:c>
      <x:c r="C1091" s="9" t="str">
        <x:v>Portfolio construction and position sizing</x:v>
      </x:c>
      <x:c r="D1091" s="15" t="str">
        <x:v>PART_OF</x:v>
      </x:c>
      <x:c r="E1091" s="9" t="str">
        <x:v>D22</x:v>
      </x:c>
      <x:c r="F1091" s="9" t="str">
        <x:v>Portfolio management and asset allocation</x:v>
      </x:c>
      <x:c r="G1091" s="9" t="str">
        <x:v>Curriculum membership. Use this link to move between the topic and its finance area.</x:v>
      </x:c>
      <x:c r="H1091" s="9" t="str">
        <x:v>Classification only; this edge is not a causal or calculation relationship.</x:v>
      </x:c>
      <x:c r="I1091" s="9" t="str">
        <x:v>Curated curriculum relationship</x:v>
      </x:c>
    </x:row>
    <x:row r="1092" ht="58" customHeight="1">
      <x:c r="A1092" s="10" t="str">
        <x:v>E1087</x:v>
      </x:c>
      <x:c r="B1092" s="10" t="str">
        <x:v>T22.12</x:v>
      </x:c>
      <x:c r="C1092" s="10" t="str">
        <x:v>Portfolio construction and position sizing</x:v>
      </x:c>
      <x:c r="D1092" s="14" t="str">
        <x:v>EXPLORE_WITH</x:v>
      </x:c>
      <x:c r="E1092" s="10" t="str">
        <x:v>T22.13</x:v>
      </x:c>
      <x:c r="F1092" s="10" t="str">
        <x:v>Rebalancing</x:v>
      </x:c>
      <x:c r="G1092" s="10" t="str">
        <x:v>Study these together to combine assets to meet goals and evaluate risk-adjusted performance.</x:v>
      </x:c>
      <x:c r="H1092" s="10" t="str">
        <x:v>A topical exploration link, not a claim that one determines the other.</x:v>
      </x:c>
      <x:c r="I1092" s="10" t="str">
        <x:v>Curated curriculum relationship</x:v>
      </x:c>
    </x:row>
    <x:row r="1093" ht="58" customHeight="1">
      <x:c r="A1093" s="9" t="str">
        <x:v>E1088</x:v>
      </x:c>
      <x:c r="B1093" s="9" t="str">
        <x:v>T02.09</x:v>
      </x:c>
      <x:c r="C1093" s="9" t="str">
        <x:v>Correlation and its limitations</x:v>
      </x:c>
      <x:c r="D1093" s="15" t="str">
        <x:v>RECOMMENDED_BEFORE</x:v>
      </x:c>
      <x:c r="E1093" s="9" t="str">
        <x:v>T22.12</x:v>
      </x:c>
      <x:c r="F1093" s="9" t="str">
        <x:v>Portfolio construction and position sizing</x:v>
      </x:c>
      <x:c r="G1093" s="9" t="str">
        <x:v>Suggested starting knowledge: Correlation and its limitations. It helps you combine assets to meet goals and evaluate risk-adjusted performance.</x:v>
      </x:c>
      <x:c r="H1093" s="9" t="str">
        <x:v>Suggested learning order; learners can still explore freely.</x:v>
      </x:c>
      <x:c r="I1093" s="9" t="str">
        <x:v>Curated curriculum relationship</x:v>
      </x:c>
    </x:row>
    <x:row r="1094" ht="58" customHeight="1">
      <x:c r="A1094" s="10" t="str">
        <x:v>E1089</x:v>
      </x:c>
      <x:c r="B1094" s="10" t="str">
        <x:v>T22.13</x:v>
      </x:c>
      <x:c r="C1094" s="10" t="str">
        <x:v>Rebalancing</x:v>
      </x:c>
      <x:c r="D1094" s="14" t="str">
        <x:v>PART_OF</x:v>
      </x:c>
      <x:c r="E1094" s="10" t="str">
        <x:v>D22</x:v>
      </x:c>
      <x:c r="F1094" s="10" t="str">
        <x:v>Portfolio management and asset allocation</x:v>
      </x:c>
      <x:c r="G1094" s="10" t="str">
        <x:v>Curriculum membership. Use this link to move between the topic and its finance area.</x:v>
      </x:c>
      <x:c r="H1094" s="10" t="str">
        <x:v>Classification only; this edge is not a causal or calculation relationship.</x:v>
      </x:c>
      <x:c r="I1094" s="10" t="str">
        <x:v>Curated curriculum relationship</x:v>
      </x:c>
    </x:row>
    <x:row r="1095" ht="58" customHeight="1">
      <x:c r="A1095" s="9" t="str">
        <x:v>E1090</x:v>
      </x:c>
      <x:c r="B1095" s="9" t="str">
        <x:v>T22.13</x:v>
      </x:c>
      <x:c r="C1095" s="9" t="str">
        <x:v>Rebalancing</x:v>
      </x:c>
      <x:c r="D1095" s="15" t="str">
        <x:v>EXPLORE_WITH</x:v>
      </x:c>
      <x:c r="E1095" s="9" t="str">
        <x:v>T22.09</x:v>
      </x:c>
      <x:c r="F1095" s="9" t="str">
        <x:v>Strategic and tactical asset allocation</x:v>
      </x:c>
      <x:c r="G1095" s="9" t="str">
        <x:v>Study these together to combine assets to meet goals and evaluate risk-adjusted performance.</x:v>
      </x:c>
      <x:c r="H1095" s="9" t="str">
        <x:v>A topical exploration link, not a claim that one determines the other.</x:v>
      </x:c>
      <x:c r="I1095" s="9" t="str">
        <x:v>Curated curriculum relationship</x:v>
      </x:c>
    </x:row>
    <x:row r="1096" ht="58" customHeight="1">
      <x:c r="A1096" s="10" t="str">
        <x:v>E1091</x:v>
      </x:c>
      <x:c r="B1096" s="10" t="str">
        <x:v>T02.09</x:v>
      </x:c>
      <x:c r="C1096" s="10" t="str">
        <x:v>Correlation and its limitations</x:v>
      </x:c>
      <x:c r="D1096" s="14" t="str">
        <x:v>RECOMMENDED_BEFORE</x:v>
      </x:c>
      <x:c r="E1096" s="10" t="str">
        <x:v>T22.13</x:v>
      </x:c>
      <x:c r="F1096" s="10" t="str">
        <x:v>Rebalancing</x:v>
      </x:c>
      <x:c r="G1096" s="10" t="str">
        <x:v>Suggested starting knowledge: Correlation and its limitations. It helps you combine assets to meet goals and evaluate risk-adjusted performance.</x:v>
      </x:c>
      <x:c r="H1096" s="10" t="str">
        <x:v>Suggested learning order; learners can still explore freely.</x:v>
      </x:c>
      <x:c r="I1096" s="10" t="str">
        <x:v>Curated curriculum relationship</x:v>
      </x:c>
    </x:row>
    <x:row r="1097" ht="58" customHeight="1">
      <x:c r="A1097" s="9" t="str">
        <x:v>E1092</x:v>
      </x:c>
      <x:c r="B1097" s="9" t="str">
        <x:v>T22.14</x:v>
      </x:c>
      <x:c r="C1097" s="9" t="str">
        <x:v>Benchmark selection</x:v>
      </x:c>
      <x:c r="D1097" s="15" t="str">
        <x:v>PART_OF</x:v>
      </x:c>
      <x:c r="E1097" s="9" t="str">
        <x:v>D22</x:v>
      </x:c>
      <x:c r="F1097" s="9" t="str">
        <x:v>Portfolio management and asset allocation</x:v>
      </x:c>
      <x:c r="G1097" s="9" t="str">
        <x:v>Curriculum membership. Use this link to move between the topic and its finance area.</x:v>
      </x:c>
      <x:c r="H1097" s="9" t="str">
        <x:v>Classification only; this edge is not a causal or calculation relationship.</x:v>
      </x:c>
      <x:c r="I1097" s="9" t="str">
        <x:v>Curated curriculum relationship</x:v>
      </x:c>
    </x:row>
    <x:row r="1098" ht="58" customHeight="1">
      <x:c r="A1098" s="10" t="str">
        <x:v>E1093</x:v>
      </x:c>
      <x:c r="B1098" s="10" t="str">
        <x:v>T22.14</x:v>
      </x:c>
      <x:c r="C1098" s="10" t="str">
        <x:v>Benchmark selection</x:v>
      </x:c>
      <x:c r="D1098" s="14" t="str">
        <x:v>EXPLORE_WITH</x:v>
      </x:c>
      <x:c r="E1098" s="10" t="str">
        <x:v>T22.16</x:v>
      </x:c>
      <x:c r="F1098" s="10" t="str">
        <x:v>Alpha and performance attribution</x:v>
      </x:c>
      <x:c r="G1098" s="10" t="str">
        <x:v>Study these together to combine assets to meet goals and evaluate risk-adjusted performance.</x:v>
      </x:c>
      <x:c r="H1098" s="10" t="str">
        <x:v>A topical exploration link, not a claim that one determines the other.</x:v>
      </x:c>
      <x:c r="I1098" s="10" t="str">
        <x:v>Curated curriculum relationship</x:v>
      </x:c>
    </x:row>
    <x:row r="1099" ht="58" customHeight="1">
      <x:c r="A1099" s="9" t="str">
        <x:v>E1094</x:v>
      </x:c>
      <x:c r="B1099" s="9" t="str">
        <x:v>T02.09</x:v>
      </x:c>
      <x:c r="C1099" s="9" t="str">
        <x:v>Correlation and its limitations</x:v>
      </x:c>
      <x:c r="D1099" s="15" t="str">
        <x:v>RECOMMENDED_BEFORE</x:v>
      </x:c>
      <x:c r="E1099" s="9" t="str">
        <x:v>T22.14</x:v>
      </x:c>
      <x:c r="F1099" s="9" t="str">
        <x:v>Benchmark selection</x:v>
      </x:c>
      <x:c r="G1099" s="9" t="str">
        <x:v>Suggested starting knowledge: Correlation and its limitations. It helps you combine assets to meet goals and evaluate risk-adjusted performance.</x:v>
      </x:c>
      <x:c r="H1099" s="9" t="str">
        <x:v>Suggested learning order; learners can still explore freely.</x:v>
      </x:c>
      <x:c r="I1099" s="9" t="str">
        <x:v>Curated curriculum relationship</x:v>
      </x:c>
    </x:row>
    <x:row r="1100" ht="58" customHeight="1">
      <x:c r="A1100" s="10" t="str">
        <x:v>E1095</x:v>
      </x:c>
      <x:c r="B1100" s="10" t="str">
        <x:v>T22.15</x:v>
      </x:c>
      <x:c r="C1100" s="10" t="str">
        <x:v>Sharpe, Sortino, Treynor, and information ratios</x:v>
      </x:c>
      <x:c r="D1100" s="14" t="str">
        <x:v>PART_OF</x:v>
      </x:c>
      <x:c r="E1100" s="10" t="str">
        <x:v>D22</x:v>
      </x:c>
      <x:c r="F1100" s="10" t="str">
        <x:v>Portfolio management and asset allocation</x:v>
      </x:c>
      <x:c r="G1100" s="10" t="str">
        <x:v>Curriculum membership. Use this link to move between the topic and its finance area.</x:v>
      </x:c>
      <x:c r="H1100" s="10" t="str">
        <x:v>Classification only; this edge is not a causal or calculation relationship.</x:v>
      </x:c>
      <x:c r="I1100" s="10" t="str">
        <x:v>Curated curriculum relationship</x:v>
      </x:c>
    </x:row>
    <x:row r="1101" ht="58" customHeight="1">
      <x:c r="A1101" s="9" t="str">
        <x:v>E1096</x:v>
      </x:c>
      <x:c r="B1101" s="9" t="str">
        <x:v>T22.15</x:v>
      </x:c>
      <x:c r="C1101" s="9" t="str">
        <x:v>Sharpe, Sortino, Treynor, and information ratios</x:v>
      </x:c>
      <x:c r="D1101" s="15" t="str">
        <x:v>EXPLORE_WITH</x:v>
      </x:c>
      <x:c r="E1101" s="9" t="str">
        <x:v>T22.16</x:v>
      </x:c>
      <x:c r="F1101" s="9" t="str">
        <x:v>Alpha and performance attribution</x:v>
      </x:c>
      <x:c r="G1101" s="9" t="str">
        <x:v>Study these together to combine assets to meet goals and evaluate risk-adjusted performance.</x:v>
      </x:c>
      <x:c r="H1101" s="9" t="str">
        <x:v>A topical exploration link, not a claim that one determines the other.</x:v>
      </x:c>
      <x:c r="I1101" s="9" t="str">
        <x:v>Curated curriculum relationship</x:v>
      </x:c>
    </x:row>
    <x:row r="1102" ht="58" customHeight="1">
      <x:c r="A1102" s="10" t="str">
        <x:v>E1097</x:v>
      </x:c>
      <x:c r="B1102" s="10" t="str">
        <x:v>T02.09</x:v>
      </x:c>
      <x:c r="C1102" s="10" t="str">
        <x:v>Correlation and its limitations</x:v>
      </x:c>
      <x:c r="D1102" s="14" t="str">
        <x:v>RECOMMENDED_BEFORE</x:v>
      </x:c>
      <x:c r="E1102" s="10" t="str">
        <x:v>T22.15</x:v>
      </x:c>
      <x:c r="F1102" s="10" t="str">
        <x:v>Sharpe, Sortino, Treynor, and information ratios</x:v>
      </x:c>
      <x:c r="G1102" s="10" t="str">
        <x:v>Suggested starting knowledge: Correlation and its limitations. It helps you combine assets to meet goals and evaluate risk-adjusted performance.</x:v>
      </x:c>
      <x:c r="H1102" s="10" t="str">
        <x:v>Suggested learning order; learners can still explore freely.</x:v>
      </x:c>
      <x:c r="I1102" s="10" t="str">
        <x:v>Curated curriculum relationship</x:v>
      </x:c>
    </x:row>
    <x:row r="1103" ht="58" customHeight="1">
      <x:c r="A1103" s="9" t="str">
        <x:v>E1098</x:v>
      </x:c>
      <x:c r="B1103" s="9" t="str">
        <x:v>T22.16</x:v>
      </x:c>
      <x:c r="C1103" s="9" t="str">
        <x:v>Alpha and performance attribution</x:v>
      </x:c>
      <x:c r="D1103" s="15" t="str">
        <x:v>PART_OF</x:v>
      </x:c>
      <x:c r="E1103" s="9" t="str">
        <x:v>D22</x:v>
      </x:c>
      <x:c r="F1103" s="9" t="str">
        <x:v>Portfolio management and asset allocation</x:v>
      </x:c>
      <x:c r="G1103" s="9" t="str">
        <x:v>Curriculum membership. Use this link to move between the topic and its finance area.</x:v>
      </x:c>
      <x:c r="H1103" s="9" t="str">
        <x:v>Classification only; this edge is not a causal or calculation relationship.</x:v>
      </x:c>
      <x:c r="I1103" s="9" t="str">
        <x:v>Curated curriculum relationship</x:v>
      </x:c>
    </x:row>
    <x:row r="1104" ht="58" customHeight="1">
      <x:c r="A1104" s="10" t="str">
        <x:v>E1099</x:v>
      </x:c>
      <x:c r="B1104" s="10" t="str">
        <x:v>T22.16</x:v>
      </x:c>
      <x:c r="C1104" s="10" t="str">
        <x:v>Alpha and performance attribution</x:v>
      </x:c>
      <x:c r="D1104" s="14" t="str">
        <x:v>EXPLORE_WITH</x:v>
      </x:c>
      <x:c r="E1104" s="10" t="str">
        <x:v>T22.14</x:v>
      </x:c>
      <x:c r="F1104" s="10" t="str">
        <x:v>Benchmark selection</x:v>
      </x:c>
      <x:c r="G1104" s="10" t="str">
        <x:v>Study these together to combine assets to meet goals and evaluate risk-adjusted performance.</x:v>
      </x:c>
      <x:c r="H1104" s="10" t="str">
        <x:v>A topical exploration link, not a claim that one determines the other.</x:v>
      </x:c>
      <x:c r="I1104" s="10" t="str">
        <x:v>Curated curriculum relationship</x:v>
      </x:c>
    </x:row>
    <x:row r="1105" ht="58" customHeight="1">
      <x:c r="A1105" s="9" t="str">
        <x:v>E1100</x:v>
      </x:c>
      <x:c r="B1105" s="9" t="str">
        <x:v>T02.09</x:v>
      </x:c>
      <x:c r="C1105" s="9" t="str">
        <x:v>Correlation and its limitations</x:v>
      </x:c>
      <x:c r="D1105" s="15" t="str">
        <x:v>RECOMMENDED_BEFORE</x:v>
      </x:c>
      <x:c r="E1105" s="9" t="str">
        <x:v>T22.16</x:v>
      </x:c>
      <x:c r="F1105" s="9" t="str">
        <x:v>Alpha and performance attribution</x:v>
      </x:c>
      <x:c r="G1105" s="9" t="str">
        <x:v>Suggested starting knowledge: Correlation and its limitations. It helps you combine assets to meet goals and evaluate risk-adjusted performance.</x:v>
      </x:c>
      <x:c r="H1105" s="9" t="str">
        <x:v>Suggested learning order; learners can still explore freely.</x:v>
      </x:c>
      <x:c r="I1105" s="9" t="str">
        <x:v>Curated curriculum relationship</x:v>
      </x:c>
    </x:row>
    <x:row r="1106" ht="58" customHeight="1">
      <x:c r="A1106" s="10" t="str">
        <x:v>E1101</x:v>
      </x:c>
      <x:c r="B1106" s="10" t="str">
        <x:v>T22.17</x:v>
      </x:c>
      <x:c r="C1106" s="10" t="str">
        <x:v>Drawdowns and downside protection</x:v>
      </x:c>
      <x:c r="D1106" s="14" t="str">
        <x:v>PART_OF</x:v>
      </x:c>
      <x:c r="E1106" s="10" t="str">
        <x:v>D22</x:v>
      </x:c>
      <x:c r="F1106" s="10" t="str">
        <x:v>Portfolio management and asset allocation</x:v>
      </x:c>
      <x:c r="G1106" s="10" t="str">
        <x:v>Curriculum membership. Use this link to move between the topic and its finance area.</x:v>
      </x:c>
      <x:c r="H1106" s="10" t="str">
        <x:v>Classification only; this edge is not a causal or calculation relationship.</x:v>
      </x:c>
      <x:c r="I1106" s="10" t="str">
        <x:v>Curated curriculum relationship</x:v>
      </x:c>
    </x:row>
    <x:row r="1107" ht="58" customHeight="1">
      <x:c r="A1107" s="9" t="str">
        <x:v>E1102</x:v>
      </x:c>
      <x:c r="B1107" s="9" t="str">
        <x:v>T22.17</x:v>
      </x:c>
      <x:c r="C1107" s="9" t="str">
        <x:v>Drawdowns and downside protection</x:v>
      </x:c>
      <x:c r="D1107" s="15" t="str">
        <x:v>EXPLORE_WITH</x:v>
      </x:c>
      <x:c r="E1107" s="9" t="str">
        <x:v>T22.03</x:v>
      </x:c>
      <x:c r="F1107" s="9" t="str">
        <x:v>Risk tolerance, risk capacity, and investment horizon</x:v>
      </x:c>
      <x:c r="G1107" s="9" t="str">
        <x:v>Study these together to combine assets to meet goals and evaluate risk-adjusted performance.</x:v>
      </x:c>
      <x:c r="H1107" s="9" t="str">
        <x:v>A topical exploration link, not a claim that one determines the other.</x:v>
      </x:c>
      <x:c r="I1107" s="9" t="str">
        <x:v>Curated curriculum relationship</x:v>
      </x:c>
    </x:row>
    <x:row r="1108" ht="58" customHeight="1">
      <x:c r="A1108" s="10" t="str">
        <x:v>E1103</x:v>
      </x:c>
      <x:c r="B1108" s="10" t="str">
        <x:v>T02.09</x:v>
      </x:c>
      <x:c r="C1108" s="10" t="str">
        <x:v>Correlation and its limitations</x:v>
      </x:c>
      <x:c r="D1108" s="14" t="str">
        <x:v>RECOMMENDED_BEFORE</x:v>
      </x:c>
      <x:c r="E1108" s="10" t="str">
        <x:v>T22.17</x:v>
      </x:c>
      <x:c r="F1108" s="10" t="str">
        <x:v>Drawdowns and downside protection</x:v>
      </x:c>
      <x:c r="G1108" s="10" t="str">
        <x:v>Suggested starting knowledge: Correlation and its limitations. It helps you combine assets to meet goals and evaluate risk-adjusted performance.</x:v>
      </x:c>
      <x:c r="H1108" s="10" t="str">
        <x:v>Suggested learning order; learners can still explore freely.</x:v>
      </x:c>
      <x:c r="I1108" s="10" t="str">
        <x:v>Curated curriculum relationship</x:v>
      </x:c>
    </x:row>
    <x:row r="1109" ht="58" customHeight="1">
      <x:c r="A1109" s="9" t="str">
        <x:v>E1104</x:v>
      </x:c>
      <x:c r="B1109" s="9" t="str">
        <x:v>T22.18</x:v>
      </x:c>
      <x:c r="C1109" s="9" t="str">
        <x:v>Liability-driven and goals-based investing</x:v>
      </x:c>
      <x:c r="D1109" s="15" t="str">
        <x:v>PART_OF</x:v>
      </x:c>
      <x:c r="E1109" s="9" t="str">
        <x:v>D22</x:v>
      </x:c>
      <x:c r="F1109" s="9" t="str">
        <x:v>Portfolio management and asset allocation</x:v>
      </x:c>
      <x:c r="G1109" s="9" t="str">
        <x:v>Curriculum membership. Use this link to move between the topic and its finance area.</x:v>
      </x:c>
      <x:c r="H1109" s="9" t="str">
        <x:v>Classification only; this edge is not a causal or calculation relationship.</x:v>
      </x:c>
      <x:c r="I1109" s="9" t="str">
        <x:v>Curated curriculum relationship</x:v>
      </x:c>
    </x:row>
    <x:row r="1110" ht="58" customHeight="1">
      <x:c r="A1110" s="10" t="str">
        <x:v>E1105</x:v>
      </x:c>
      <x:c r="B1110" s="10" t="str">
        <x:v>T22.18</x:v>
      </x:c>
      <x:c r="C1110" s="10" t="str">
        <x:v>Liability-driven and goals-based investing</x:v>
      </x:c>
      <x:c r="D1110" s="14" t="str">
        <x:v>EXPLORE_WITH</x:v>
      </x:c>
      <x:c r="E1110" s="10" t="str">
        <x:v>T22.19</x:v>
      </x:c>
      <x:c r="F1110" s="10" t="str">
        <x:v>Endowment, pension, and institutional portfolios</x:v>
      </x:c>
      <x:c r="G1110" s="10" t="str">
        <x:v>Study these together to combine assets to meet goals and evaluate risk-adjusted performance.</x:v>
      </x:c>
      <x:c r="H1110" s="10" t="str">
        <x:v>A topical exploration link, not a claim that one determines the other.</x:v>
      </x:c>
      <x:c r="I1110" s="10" t="str">
        <x:v>Curated curriculum relationship</x:v>
      </x:c>
    </x:row>
    <x:row r="1111" ht="58" customHeight="1">
      <x:c r="A1111" s="9" t="str">
        <x:v>E1106</x:v>
      </x:c>
      <x:c r="B1111" s="9" t="str">
        <x:v>T02.09</x:v>
      </x:c>
      <x:c r="C1111" s="9" t="str">
        <x:v>Correlation and its limitations</x:v>
      </x:c>
      <x:c r="D1111" s="15" t="str">
        <x:v>RECOMMENDED_BEFORE</x:v>
      </x:c>
      <x:c r="E1111" s="9" t="str">
        <x:v>T22.18</x:v>
      </x:c>
      <x:c r="F1111" s="9" t="str">
        <x:v>Liability-driven and goals-based investing</x:v>
      </x:c>
      <x:c r="G1111" s="9" t="str">
        <x:v>Suggested starting knowledge: Correlation and its limitations. It helps you combine assets to meet goals and evaluate risk-adjusted performance.</x:v>
      </x:c>
      <x:c r="H1111" s="9" t="str">
        <x:v>Suggested learning order; learners can still explore freely.</x:v>
      </x:c>
      <x:c r="I1111" s="9" t="str">
        <x:v>Curated curriculum relationship</x:v>
      </x:c>
    </x:row>
    <x:row r="1112" ht="58" customHeight="1">
      <x:c r="A1112" s="10" t="str">
        <x:v>E1107</x:v>
      </x:c>
      <x:c r="B1112" s="10" t="str">
        <x:v>T22.19</x:v>
      </x:c>
      <x:c r="C1112" s="10" t="str">
        <x:v>Endowment, pension, and institutional portfolios</x:v>
      </x:c>
      <x:c r="D1112" s="14" t="str">
        <x:v>PART_OF</x:v>
      </x:c>
      <x:c r="E1112" s="10" t="str">
        <x:v>D22</x:v>
      </x:c>
      <x:c r="F1112" s="10" t="str">
        <x:v>Portfolio management and asset allocation</x:v>
      </x:c>
      <x:c r="G1112" s="10" t="str">
        <x:v>Curriculum membership. Use this link to move between the topic and its finance area.</x:v>
      </x:c>
      <x:c r="H1112" s="10" t="str">
        <x:v>Classification only; this edge is not a causal or calculation relationship.</x:v>
      </x:c>
      <x:c r="I1112" s="10" t="str">
        <x:v>Curated curriculum relationship</x:v>
      </x:c>
    </x:row>
    <x:row r="1113" ht="58" customHeight="1">
      <x:c r="A1113" s="9" t="str">
        <x:v>E1108</x:v>
      </x:c>
      <x:c r="B1113" s="9" t="str">
        <x:v>T22.19</x:v>
      </x:c>
      <x:c r="C1113" s="9" t="str">
        <x:v>Endowment, pension, and institutional portfolios</x:v>
      </x:c>
      <x:c r="D1113" s="15" t="str">
        <x:v>EXPLORE_WITH</x:v>
      </x:c>
      <x:c r="E1113" s="9" t="str">
        <x:v>T22.18</x:v>
      </x:c>
      <x:c r="F1113" s="9" t="str">
        <x:v>Liability-driven and goals-based investing</x:v>
      </x:c>
      <x:c r="G1113" s="9" t="str">
        <x:v>Study these together to combine assets to meet goals and evaluate risk-adjusted performance.</x:v>
      </x:c>
      <x:c r="H1113" s="9" t="str">
        <x:v>A topical exploration link, not a claim that one determines the other.</x:v>
      </x:c>
      <x:c r="I1113" s="9" t="str">
        <x:v>Curated curriculum relationship</x:v>
      </x:c>
    </x:row>
    <x:row r="1114" ht="58" customHeight="1">
      <x:c r="A1114" s="10" t="str">
        <x:v>E1109</x:v>
      </x:c>
      <x:c r="B1114" s="10" t="str">
        <x:v>T02.09</x:v>
      </x:c>
      <x:c r="C1114" s="10" t="str">
        <x:v>Correlation and its limitations</x:v>
      </x:c>
      <x:c r="D1114" s="14" t="str">
        <x:v>RECOMMENDED_BEFORE</x:v>
      </x:c>
      <x:c r="E1114" s="10" t="str">
        <x:v>T22.19</x:v>
      </x:c>
      <x:c r="F1114" s="10" t="str">
        <x:v>Endowment, pension, and institutional portfolios</x:v>
      </x:c>
      <x:c r="G1114" s="10" t="str">
        <x:v>Suggested starting knowledge: Correlation and its limitations. It helps you combine assets to meet goals and evaluate risk-adjusted performance.</x:v>
      </x:c>
      <x:c r="H1114" s="10" t="str">
        <x:v>Suggested learning order; learners can still explore freely.</x:v>
      </x:c>
      <x:c r="I1114" s="10" t="str">
        <x:v>Curated curriculum relationship</x:v>
      </x:c>
    </x:row>
    <x:row r="1115" ht="58" customHeight="1">
      <x:c r="A1115" s="9" t="str">
        <x:v>E1110</x:v>
      </x:c>
      <x:c r="B1115" s="9" t="str">
        <x:v>T23.01</x:v>
      </x:c>
      <x:c r="C1115" s="9" t="str">
        <x:v>Mutual funds and exchange-traded funds</x:v>
      </x:c>
      <x:c r="D1115" s="15" t="str">
        <x:v>PART_OF</x:v>
      </x:c>
      <x:c r="E1115" s="9" t="str">
        <x:v>D23</x:v>
      </x:c>
      <x:c r="F1115" s="9" t="str">
        <x:v>Investment vehicles and alternative assets</x:v>
      </x:c>
      <x:c r="G1115" s="9" t="str">
        <x:v>Curriculum membership. Use this link to move between the topic and its finance area.</x:v>
      </x:c>
      <x:c r="H1115" s="9" t="str">
        <x:v>Classification only; this edge is not a causal or calculation relationship.</x:v>
      </x:c>
      <x:c r="I1115" s="9" t="str">
        <x:v>Curated curriculum relationship</x:v>
      </x:c>
    </x:row>
    <x:row r="1116" ht="58" customHeight="1">
      <x:c r="A1116" s="10" t="str">
        <x:v>E1111</x:v>
      </x:c>
      <x:c r="B1116" s="10" t="str">
        <x:v>T23.01</x:v>
      </x:c>
      <x:c r="C1116" s="10" t="str">
        <x:v>Mutual funds and exchange-traded funds</x:v>
      </x:c>
      <x:c r="D1116" s="14" t="str">
        <x:v>EXPLORE_WITH</x:v>
      </x:c>
      <x:c r="E1116" s="10" t="str">
        <x:v>T23.04</x:v>
      </x:c>
      <x:c r="F1116" s="10" t="str">
        <x:v>Fund NAV, expense ratios, and tracking differences</x:v>
      </x:c>
      <x:c r="G1116" s="10" t="str">
        <x:v>Study these together to understand asset exposure, fund structures, fees, liquidity and measured performance.</x:v>
      </x:c>
      <x:c r="H1116" s="10" t="str">
        <x:v>A topical exploration link, not a claim that one determines the other.</x:v>
      </x:c>
      <x:c r="I1116" s="10" t="str">
        <x:v>Curated curriculum relationship</x:v>
      </x:c>
    </x:row>
    <x:row r="1117" ht="58" customHeight="1">
      <x:c r="A1117" s="9" t="str">
        <x:v>E1112</x:v>
      </x:c>
      <x:c r="B1117" s="9" t="str">
        <x:v>T22.09</x:v>
      </x:c>
      <x:c r="C1117" s="9" t="str">
        <x:v>Strategic and tactical asset allocation</x:v>
      </x:c>
      <x:c r="D1117" s="15" t="str">
        <x:v>RECOMMENDED_BEFORE</x:v>
      </x:c>
      <x:c r="E1117" s="9" t="str">
        <x:v>T23.01</x:v>
      </x:c>
      <x:c r="F1117" s="9" t="str">
        <x:v>Mutual funds and exchange-traded funds</x:v>
      </x:c>
      <x:c r="G1117" s="9" t="str">
        <x:v>Suggested starting knowledge: Strategic and tactical asset allocation. It helps you understand asset exposure, fund structures, fees, liquidity and measured performance.</x:v>
      </x:c>
      <x:c r="H1117" s="9" t="str">
        <x:v>Suggested learning order; learners can still explore freely.</x:v>
      </x:c>
      <x:c r="I1117" s="9" t="str">
        <x:v>Curated curriculum relationship</x:v>
      </x:c>
    </x:row>
    <x:row r="1118" ht="58" customHeight="1">
      <x:c r="A1118" s="10" t="str">
        <x:v>E1113</x:v>
      </x:c>
      <x:c r="B1118" s="10" t="str">
        <x:v>T23.02</x:v>
      </x:c>
      <x:c r="C1118" s="10" t="str">
        <x:v>Open-end and closed-end funds</x:v>
      </x:c>
      <x:c r="D1118" s="14" t="str">
        <x:v>PART_OF</x:v>
      </x:c>
      <x:c r="E1118" s="10" t="str">
        <x:v>D23</x:v>
      </x:c>
      <x:c r="F1118" s="10" t="str">
        <x:v>Investment vehicles and alternative assets</x:v>
      </x:c>
      <x:c r="G1118" s="10" t="str">
        <x:v>Curriculum membership. Use this link to move between the topic and its finance area.</x:v>
      </x:c>
      <x:c r="H1118" s="10" t="str">
        <x:v>Classification only; this edge is not a causal or calculation relationship.</x:v>
      </x:c>
      <x:c r="I1118" s="10" t="str">
        <x:v>Curated curriculum relationship</x:v>
      </x:c>
    </x:row>
    <x:row r="1119" ht="58" customHeight="1">
      <x:c r="A1119" s="9" t="str">
        <x:v>E1114</x:v>
      </x:c>
      <x:c r="B1119" s="9" t="str">
        <x:v>T23.02</x:v>
      </x:c>
      <x:c r="C1119" s="9" t="str">
        <x:v>Open-end and closed-end funds</x:v>
      </x:c>
      <x:c r="D1119" s="15" t="str">
        <x:v>EXPLORE_WITH</x:v>
      </x:c>
      <x:c r="E1119" s="9" t="str">
        <x:v>T23.01</x:v>
      </x:c>
      <x:c r="F1119" s="9" t="str">
        <x:v>Mutual funds and exchange-traded funds</x:v>
      </x:c>
      <x:c r="G1119" s="9" t="str">
        <x:v>Study these together to understand asset exposure, fund structures, fees, liquidity and measured performance.</x:v>
      </x:c>
      <x:c r="H1119" s="9" t="str">
        <x:v>A topical exploration link, not a claim that one determines the other.</x:v>
      </x:c>
      <x:c r="I1119" s="9" t="str">
        <x:v>Curated curriculum relationship</x:v>
      </x:c>
    </x:row>
    <x:row r="1120" ht="58" customHeight="1">
      <x:c r="A1120" s="10" t="str">
        <x:v>E1115</x:v>
      </x:c>
      <x:c r="B1120" s="10" t="str">
        <x:v>T22.09</x:v>
      </x:c>
      <x:c r="C1120" s="10" t="str">
        <x:v>Strategic and tactical asset allocation</x:v>
      </x:c>
      <x:c r="D1120" s="14" t="str">
        <x:v>RECOMMENDED_BEFORE</x:v>
      </x:c>
      <x:c r="E1120" s="10" t="str">
        <x:v>T23.02</x:v>
      </x:c>
      <x:c r="F1120" s="10" t="str">
        <x:v>Open-end and closed-end funds</x:v>
      </x:c>
      <x:c r="G1120" s="10" t="str">
        <x:v>Suggested starting knowledge: Strategic and tactical asset allocation. It helps you understand asset exposure, fund structures, fees, liquidity and measured performance.</x:v>
      </x:c>
      <x:c r="H1120" s="10" t="str">
        <x:v>Suggested learning order; learners can still explore freely.</x:v>
      </x:c>
      <x:c r="I1120" s="10" t="str">
        <x:v>Curated curriculum relationship</x:v>
      </x:c>
    </x:row>
    <x:row r="1121" ht="58" customHeight="1">
      <x:c r="A1121" s="9" t="str">
        <x:v>E1116</x:v>
      </x:c>
      <x:c r="B1121" s="9" t="str">
        <x:v>T23.03</x:v>
      </x:c>
      <x:c r="C1121" s="9" t="str">
        <x:v>Index funds and actively managed funds</x:v>
      </x:c>
      <x:c r="D1121" s="15" t="str">
        <x:v>PART_OF</x:v>
      </x:c>
      <x:c r="E1121" s="9" t="str">
        <x:v>D23</x:v>
      </x:c>
      <x:c r="F1121" s="9" t="str">
        <x:v>Investment vehicles and alternative assets</x:v>
      </x:c>
      <x:c r="G1121" s="9" t="str">
        <x:v>Curriculum membership. Use this link to move between the topic and its finance area.</x:v>
      </x:c>
      <x:c r="H1121" s="9" t="str">
        <x:v>Classification only; this edge is not a causal or calculation relationship.</x:v>
      </x:c>
      <x:c r="I1121" s="9" t="str">
        <x:v>Curated curriculum relationship</x:v>
      </x:c>
    </x:row>
    <x:row r="1122" ht="58" customHeight="1">
      <x:c r="A1122" s="10" t="str">
        <x:v>E1117</x:v>
      </x:c>
      <x:c r="B1122" s="10" t="str">
        <x:v>T23.03</x:v>
      </x:c>
      <x:c r="C1122" s="10" t="str">
        <x:v>Index funds and actively managed funds</x:v>
      </x:c>
      <x:c r="D1122" s="14" t="str">
        <x:v>EXPLORE_WITH</x:v>
      </x:c>
      <x:c r="E1122" s="10" t="str">
        <x:v>T23.04</x:v>
      </x:c>
      <x:c r="F1122" s="10" t="str">
        <x:v>Fund NAV, expense ratios, and tracking differences</x:v>
      </x:c>
      <x:c r="G1122" s="10" t="str">
        <x:v>Study these together to understand asset exposure, fund structures, fees, liquidity and measured performance.</x:v>
      </x:c>
      <x:c r="H1122" s="10" t="str">
        <x:v>A topical exploration link, not a claim that one determines the other.</x:v>
      </x:c>
      <x:c r="I1122" s="10" t="str">
        <x:v>Curated curriculum relationship</x:v>
      </x:c>
    </x:row>
    <x:row r="1123" ht="58" customHeight="1">
      <x:c r="A1123" s="9" t="str">
        <x:v>E1118</x:v>
      </x:c>
      <x:c r="B1123" s="9" t="str">
        <x:v>T22.09</x:v>
      </x:c>
      <x:c r="C1123" s="9" t="str">
        <x:v>Strategic and tactical asset allocation</x:v>
      </x:c>
      <x:c r="D1123" s="15" t="str">
        <x:v>RECOMMENDED_BEFORE</x:v>
      </x:c>
      <x:c r="E1123" s="9" t="str">
        <x:v>T23.03</x:v>
      </x:c>
      <x:c r="F1123" s="9" t="str">
        <x:v>Index funds and actively managed funds</x:v>
      </x:c>
      <x:c r="G1123" s="9" t="str">
        <x:v>Suggested starting knowledge: Strategic and tactical asset allocation. It helps you understand asset exposure, fund structures, fees, liquidity and measured performance.</x:v>
      </x:c>
      <x:c r="H1123" s="9" t="str">
        <x:v>Suggested learning order; learners can still explore freely.</x:v>
      </x:c>
      <x:c r="I1123" s="9" t="str">
        <x:v>Curated curriculum relationship</x:v>
      </x:c>
    </x:row>
    <x:row r="1124" ht="58" customHeight="1">
      <x:c r="A1124" s="10" t="str">
        <x:v>E1119</x:v>
      </x:c>
      <x:c r="B1124" s="10" t="str">
        <x:v>T23.04</x:v>
      </x:c>
      <x:c r="C1124" s="10" t="str">
        <x:v>Fund NAV, expense ratios, and tracking differences</x:v>
      </x:c>
      <x:c r="D1124" s="14" t="str">
        <x:v>PART_OF</x:v>
      </x:c>
      <x:c r="E1124" s="10" t="str">
        <x:v>D23</x:v>
      </x:c>
      <x:c r="F1124" s="10" t="str">
        <x:v>Investment vehicles and alternative assets</x:v>
      </x:c>
      <x:c r="G1124" s="10" t="str">
        <x:v>Curriculum membership. Use this link to move between the topic and its finance area.</x:v>
      </x:c>
      <x:c r="H1124" s="10" t="str">
        <x:v>Classification only; this edge is not a causal or calculation relationship.</x:v>
      </x:c>
      <x:c r="I1124" s="10" t="str">
        <x:v>Curated curriculum relationship</x:v>
      </x:c>
    </x:row>
    <x:row r="1125" ht="58" customHeight="1">
      <x:c r="A1125" s="9" t="str">
        <x:v>E1120</x:v>
      </x:c>
      <x:c r="B1125" s="9" t="str">
        <x:v>T23.04</x:v>
      </x:c>
      <x:c r="C1125" s="9" t="str">
        <x:v>Fund NAV, expense ratios, and tracking differences</x:v>
      </x:c>
      <x:c r="D1125" s="15" t="str">
        <x:v>EXPLORE_WITH</x:v>
      </x:c>
      <x:c r="E1125" s="9" t="str">
        <x:v>T23.03</x:v>
      </x:c>
      <x:c r="F1125" s="9" t="str">
        <x:v>Index funds and actively managed funds</x:v>
      </x:c>
      <x:c r="G1125" s="9" t="str">
        <x:v>Study these together to understand asset exposure, fund structures, fees, liquidity and measured performance.</x:v>
      </x:c>
      <x:c r="H1125" s="9" t="str">
        <x:v>A topical exploration link, not a claim that one determines the other.</x:v>
      </x:c>
      <x:c r="I1125" s="9" t="str">
        <x:v>Curated curriculum relationship</x:v>
      </x:c>
    </x:row>
    <x:row r="1126" ht="58" customHeight="1">
      <x:c r="A1126" s="10" t="str">
        <x:v>E1121</x:v>
      </x:c>
      <x:c r="B1126" s="10" t="str">
        <x:v>T22.09</x:v>
      </x:c>
      <x:c r="C1126" s="10" t="str">
        <x:v>Strategic and tactical asset allocation</x:v>
      </x:c>
      <x:c r="D1126" s="14" t="str">
        <x:v>RECOMMENDED_BEFORE</x:v>
      </x:c>
      <x:c r="E1126" s="10" t="str">
        <x:v>T23.04</x:v>
      </x:c>
      <x:c r="F1126" s="10" t="str">
        <x:v>Fund NAV, expense ratios, and tracking differences</x:v>
      </x:c>
      <x:c r="G1126" s="10" t="str">
        <x:v>Suggested starting knowledge: Strategic and tactical asset allocation. It helps you understand asset exposure, fund structures, fees, liquidity and measured performance.</x:v>
      </x:c>
      <x:c r="H1126" s="10" t="str">
        <x:v>Suggested learning order; learners can still explore freely.</x:v>
      </x:c>
      <x:c r="I1126" s="10" t="str">
        <x:v>Curated curriculum relationship</x:v>
      </x:c>
    </x:row>
    <x:row r="1127" ht="58" customHeight="1">
      <x:c r="A1127" s="9" t="str">
        <x:v>E1122</x:v>
      </x:c>
      <x:c r="B1127" s="9" t="str">
        <x:v>T23.05</x:v>
      </x:c>
      <x:c r="C1127" s="9" t="str">
        <x:v>Fund selection and manager due diligence</x:v>
      </x:c>
      <x:c r="D1127" s="15" t="str">
        <x:v>PART_OF</x:v>
      </x:c>
      <x:c r="E1127" s="9" t="str">
        <x:v>D23</x:v>
      </x:c>
      <x:c r="F1127" s="9" t="str">
        <x:v>Investment vehicles and alternative assets</x:v>
      </x:c>
      <x:c r="G1127" s="9" t="str">
        <x:v>Curriculum membership. Use this link to move between the topic and its finance area.</x:v>
      </x:c>
      <x:c r="H1127" s="9" t="str">
        <x:v>Classification only; this edge is not a causal or calculation relationship.</x:v>
      </x:c>
      <x:c r="I1127" s="9" t="str">
        <x:v>Curated curriculum relationship</x:v>
      </x:c>
    </x:row>
    <x:row r="1128" ht="58" customHeight="1">
      <x:c r="A1128" s="10" t="str">
        <x:v>E1123</x:v>
      </x:c>
      <x:c r="B1128" s="10" t="str">
        <x:v>T23.05</x:v>
      </x:c>
      <x:c r="C1128" s="10" t="str">
        <x:v>Fund selection and manager due diligence</x:v>
      </x:c>
      <x:c r="D1128" s="14" t="str">
        <x:v>EXPLORE_WITH</x:v>
      </x:c>
      <x:c r="E1128" s="10" t="str">
        <x:v>T23.19</x:v>
      </x:c>
      <x:c r="F1128" s="10" t="str">
        <x:v>Liquidity, valuation, and survivorship bias in private assets</x:v>
      </x:c>
      <x:c r="G1128" s="10" t="str">
        <x:v>Study these together to understand asset exposure, fund structures, fees, liquidity and measured performance.</x:v>
      </x:c>
      <x:c r="H1128" s="10" t="str">
        <x:v>A topical exploration link, not a claim that one determines the other.</x:v>
      </x:c>
      <x:c r="I1128" s="10" t="str">
        <x:v>Curated curriculum relationship</x:v>
      </x:c>
    </x:row>
    <x:row r="1129" ht="58" customHeight="1">
      <x:c r="A1129" s="9" t="str">
        <x:v>E1124</x:v>
      </x:c>
      <x:c r="B1129" s="9" t="str">
        <x:v>T22.09</x:v>
      </x:c>
      <x:c r="C1129" s="9" t="str">
        <x:v>Strategic and tactical asset allocation</x:v>
      </x:c>
      <x:c r="D1129" s="15" t="str">
        <x:v>RECOMMENDED_BEFORE</x:v>
      </x:c>
      <x:c r="E1129" s="9" t="str">
        <x:v>T23.05</x:v>
      </x:c>
      <x:c r="F1129" s="9" t="str">
        <x:v>Fund selection and manager due diligence</x:v>
      </x:c>
      <x:c r="G1129" s="9" t="str">
        <x:v>Suggested starting knowledge: Strategic and tactical asset allocation. It helps you understand asset exposure, fund structures, fees, liquidity and measured performance.</x:v>
      </x:c>
      <x:c r="H1129" s="9" t="str">
        <x:v>Suggested learning order; learners can still explore freely.</x:v>
      </x:c>
      <x:c r="I1129" s="9" t="str">
        <x:v>Curated curriculum relationship</x:v>
      </x:c>
    </x:row>
    <x:row r="1130" ht="58" customHeight="1">
      <x:c r="A1130" s="10" t="str">
        <x:v>E1125</x:v>
      </x:c>
      <x:c r="B1130" s="10" t="str">
        <x:v>T23.06</x:v>
      </x:c>
      <x:c r="C1130" s="10" t="str">
        <x:v>Portfolio management services and alternative investment funds</x:v>
      </x:c>
      <x:c r="D1130" s="14" t="str">
        <x:v>PART_OF</x:v>
      </x:c>
      <x:c r="E1130" s="10" t="str">
        <x:v>D23</x:v>
      </x:c>
      <x:c r="F1130" s="10" t="str">
        <x:v>Investment vehicles and alternative assets</x:v>
      </x:c>
      <x:c r="G1130" s="10" t="str">
        <x:v>Curriculum membership. Use this link to move between the topic and its finance area.</x:v>
      </x:c>
      <x:c r="H1130" s="10" t="str">
        <x:v>Classification only; this edge is not a causal or calculation relationship.</x:v>
      </x:c>
      <x:c r="I1130" s="10" t="str">
        <x:v>Curated curriculum relationship</x:v>
      </x:c>
    </x:row>
    <x:row r="1131" ht="58" customHeight="1">
      <x:c r="A1131" s="9" t="str">
        <x:v>E1126</x:v>
      </x:c>
      <x:c r="B1131" s="9" t="str">
        <x:v>T23.06</x:v>
      </x:c>
      <x:c r="C1131" s="9" t="str">
        <x:v>Portfolio management services and alternative investment funds</x:v>
      </x:c>
      <x:c r="D1131" s="15" t="str">
        <x:v>EXPLORE_WITH</x:v>
      </x:c>
      <x:c r="E1131" s="9" t="str">
        <x:v>T23.01</x:v>
      </x:c>
      <x:c r="F1131" s="9" t="str">
        <x:v>Mutual funds and exchange-traded funds</x:v>
      </x:c>
      <x:c r="G1131" s="9" t="str">
        <x:v>Study these together to understand asset exposure, fund structures, fees, liquidity and measured performance.</x:v>
      </x:c>
      <x:c r="H1131" s="9" t="str">
        <x:v>A topical exploration link, not a claim that one determines the other.</x:v>
      </x:c>
      <x:c r="I1131" s="9" t="str">
        <x:v>Curated curriculum relationship</x:v>
      </x:c>
    </x:row>
    <x:row r="1132" ht="58" customHeight="1">
      <x:c r="A1132" s="10" t="str">
        <x:v>E1127</x:v>
      </x:c>
      <x:c r="B1132" s="10" t="str">
        <x:v>T22.09</x:v>
      </x:c>
      <x:c r="C1132" s="10" t="str">
        <x:v>Strategic and tactical asset allocation</x:v>
      </x:c>
      <x:c r="D1132" s="14" t="str">
        <x:v>RECOMMENDED_BEFORE</x:v>
      </x:c>
      <x:c r="E1132" s="10" t="str">
        <x:v>T23.06</x:v>
      </x:c>
      <x:c r="F1132" s="10" t="str">
        <x:v>Portfolio management services and alternative investment funds</x:v>
      </x:c>
      <x:c r="G1132" s="10" t="str">
        <x:v>Suggested starting knowledge: Strategic and tactical asset allocation. It helps you understand asset exposure, fund structures, fees, liquidity and measured performance.</x:v>
      </x:c>
      <x:c r="H1132" s="10" t="str">
        <x:v>Suggested learning order; learners can still explore freely.</x:v>
      </x:c>
      <x:c r="I1132" s="10" t="str">
        <x:v>Curated curriculum relationship</x:v>
      </x:c>
    </x:row>
    <x:row r="1133" ht="58" customHeight="1">
      <x:c r="A1133" s="9" t="str">
        <x:v>E1128</x:v>
      </x:c>
      <x:c r="B1133" s="9" t="str">
        <x:v>T23.07</x:v>
      </x:c>
      <x:c r="C1133" s="9" t="str">
        <x:v>Hedge funds and hedge-fund strategies</x:v>
      </x:c>
      <x:c r="D1133" s="15" t="str">
        <x:v>PART_OF</x:v>
      </x:c>
      <x:c r="E1133" s="9" t="str">
        <x:v>D23</x:v>
      </x:c>
      <x:c r="F1133" s="9" t="str">
        <x:v>Investment vehicles and alternative assets</x:v>
      </x:c>
      <x:c r="G1133" s="9" t="str">
        <x:v>Curriculum membership. Use this link to move between the topic and its finance area.</x:v>
      </x:c>
      <x:c r="H1133" s="9" t="str">
        <x:v>Classification only; this edge is not a causal or calculation relationship.</x:v>
      </x:c>
      <x:c r="I1133" s="9" t="str">
        <x:v>Curated curriculum relationship</x:v>
      </x:c>
    </x:row>
    <x:row r="1134" ht="58" customHeight="1">
      <x:c r="A1134" s="10" t="str">
        <x:v>E1129</x:v>
      </x:c>
      <x:c r="B1134" s="10" t="str">
        <x:v>T23.07</x:v>
      </x:c>
      <x:c r="C1134" s="10" t="str">
        <x:v>Hedge funds and hedge-fund strategies</x:v>
      </x:c>
      <x:c r="D1134" s="14" t="str">
        <x:v>EXPLORE_WITH</x:v>
      </x:c>
      <x:c r="E1134" s="10" t="str">
        <x:v>T23.19</x:v>
      </x:c>
      <x:c r="F1134" s="10" t="str">
        <x:v>Liquidity, valuation, and survivorship bias in private assets</x:v>
      </x:c>
      <x:c r="G1134" s="10" t="str">
        <x:v>Study these together to understand asset exposure, fund structures, fees, liquidity and measured performance.</x:v>
      </x:c>
      <x:c r="H1134" s="10" t="str">
        <x:v>A topical exploration link, not a claim that one determines the other.</x:v>
      </x:c>
      <x:c r="I1134" s="10" t="str">
        <x:v>Curated curriculum relationship</x:v>
      </x:c>
    </x:row>
    <x:row r="1135" ht="58" customHeight="1">
      <x:c r="A1135" s="9" t="str">
        <x:v>E1130</x:v>
      </x:c>
      <x:c r="B1135" s="9" t="str">
        <x:v>T22.09</x:v>
      </x:c>
      <x:c r="C1135" s="9" t="str">
        <x:v>Strategic and tactical asset allocation</x:v>
      </x:c>
      <x:c r="D1135" s="15" t="str">
        <x:v>RECOMMENDED_BEFORE</x:v>
      </x:c>
      <x:c r="E1135" s="9" t="str">
        <x:v>T23.07</x:v>
      </x:c>
      <x:c r="F1135" s="9" t="str">
        <x:v>Hedge funds and hedge-fund strategies</x:v>
      </x:c>
      <x:c r="G1135" s="9" t="str">
        <x:v>Suggested starting knowledge: Strategic and tactical asset allocation. It helps you understand asset exposure, fund structures, fees, liquidity and measured performance.</x:v>
      </x:c>
      <x:c r="H1135" s="9" t="str">
        <x:v>Suggested learning order; learners can still explore freely.</x:v>
      </x:c>
      <x:c r="I1135" s="9" t="str">
        <x:v>Curated curriculum relationship</x:v>
      </x:c>
    </x:row>
    <x:row r="1136" ht="58" customHeight="1">
      <x:c r="A1136" s="10" t="str">
        <x:v>E1131</x:v>
      </x:c>
      <x:c r="B1136" s="10" t="str">
        <x:v>T23.08</x:v>
      </x:c>
      <x:c r="C1136" s="10" t="str">
        <x:v>Private equity</x:v>
      </x:c>
      <x:c r="D1136" s="14" t="str">
        <x:v>PART_OF</x:v>
      </x:c>
      <x:c r="E1136" s="10" t="str">
        <x:v>D23</x:v>
      </x:c>
      <x:c r="F1136" s="10" t="str">
        <x:v>Investment vehicles and alternative assets</x:v>
      </x:c>
      <x:c r="G1136" s="10" t="str">
        <x:v>Curriculum membership. Use this link to move between the topic and its finance area.</x:v>
      </x:c>
      <x:c r="H1136" s="10" t="str">
        <x:v>Classification only; this edge is not a causal or calculation relationship.</x:v>
      </x:c>
      <x:c r="I1136" s="10" t="str">
        <x:v>Curated curriculum relationship</x:v>
      </x:c>
    </x:row>
    <x:row r="1137" ht="58" customHeight="1">
      <x:c r="A1137" s="9" t="str">
        <x:v>E1132</x:v>
      </x:c>
      <x:c r="B1137" s="9" t="str">
        <x:v>T23.08</x:v>
      </x:c>
      <x:c r="C1137" s="9" t="str">
        <x:v>Private equity</x:v>
      </x:c>
      <x:c r="D1137" s="15" t="str">
        <x:v>EXPLORE_WITH</x:v>
      </x:c>
      <x:c r="E1137" s="9" t="str">
        <x:v>T23.16</x:v>
      </x:c>
      <x:c r="F1137" s="9" t="str">
        <x:v>Fund fees, carried interest, and distribution waterfalls</x:v>
      </x:c>
      <x:c r="G1137" s="9" t="str">
        <x:v>Study these together to understand asset exposure, fund structures, fees, liquidity and measured performance.</x:v>
      </x:c>
      <x:c r="H1137" s="9" t="str">
        <x:v>A topical exploration link, not a claim that one determines the other.</x:v>
      </x:c>
      <x:c r="I1137" s="9" t="str">
        <x:v>Curated curriculum relationship</x:v>
      </x:c>
    </x:row>
    <x:row r="1138" ht="58" customHeight="1">
      <x:c r="A1138" s="10" t="str">
        <x:v>E1133</x:v>
      </x:c>
      <x:c r="B1138" s="10" t="str">
        <x:v>T22.09</x:v>
      </x:c>
      <x:c r="C1138" s="10" t="str">
        <x:v>Strategic and tactical asset allocation</x:v>
      </x:c>
      <x:c r="D1138" s="14" t="str">
        <x:v>RECOMMENDED_BEFORE</x:v>
      </x:c>
      <x:c r="E1138" s="10" t="str">
        <x:v>T23.08</x:v>
      </x:c>
      <x:c r="F1138" s="10" t="str">
        <x:v>Private equity</x:v>
      </x:c>
      <x:c r="G1138" s="10" t="str">
        <x:v>Suggested starting knowledge: Strategic and tactical asset allocation. It helps you understand asset exposure, fund structures, fees, liquidity and measured performance.</x:v>
      </x:c>
      <x:c r="H1138" s="10" t="str">
        <x:v>Suggested learning order; learners can still explore freely.</x:v>
      </x:c>
      <x:c r="I1138" s="10" t="str">
        <x:v>Curated curriculum relationship</x:v>
      </x:c>
    </x:row>
    <x:row r="1139" ht="58" customHeight="1">
      <x:c r="A1139" s="9" t="str">
        <x:v>E1134</x:v>
      </x:c>
      <x:c r="B1139" s="9" t="str">
        <x:v>T23.09</x:v>
      </x:c>
      <x:c r="C1139" s="9" t="str">
        <x:v>Venture capital and growth equity</x:v>
      </x:c>
      <x:c r="D1139" s="15" t="str">
        <x:v>PART_OF</x:v>
      </x:c>
      <x:c r="E1139" s="9" t="str">
        <x:v>D23</x:v>
      </x:c>
      <x:c r="F1139" s="9" t="str">
        <x:v>Investment vehicles and alternative assets</x:v>
      </x:c>
      <x:c r="G1139" s="9" t="str">
        <x:v>Curriculum membership. Use this link to move between the topic and its finance area.</x:v>
      </x:c>
      <x:c r="H1139" s="9" t="str">
        <x:v>Classification only; this edge is not a causal or calculation relationship.</x:v>
      </x:c>
      <x:c r="I1139" s="9" t="str">
        <x:v>Curated curriculum relationship</x:v>
      </x:c>
    </x:row>
    <x:row r="1140" ht="58" customHeight="1">
      <x:c r="A1140" s="10" t="str">
        <x:v>E1135</x:v>
      </x:c>
      <x:c r="B1140" s="10" t="str">
        <x:v>T23.09</x:v>
      </x:c>
      <x:c r="C1140" s="10" t="str">
        <x:v>Venture capital and growth equity</x:v>
      </x:c>
      <x:c r="D1140" s="14" t="str">
        <x:v>EXPLORE_WITH</x:v>
      </x:c>
      <x:c r="E1140" s="10" t="str">
        <x:v>T23.17</x:v>
      </x:c>
      <x:c r="F1140" s="10" t="str">
        <x:v>Capital calls, commitments, and the J-curve</x:v>
      </x:c>
      <x:c r="G1140" s="10" t="str">
        <x:v>Study these together to understand asset exposure, fund structures, fees, liquidity and measured performance.</x:v>
      </x:c>
      <x:c r="H1140" s="10" t="str">
        <x:v>A topical exploration link, not a claim that one determines the other.</x:v>
      </x:c>
      <x:c r="I1140" s="10" t="str">
        <x:v>Curated curriculum relationship</x:v>
      </x:c>
    </x:row>
    <x:row r="1141" ht="58" customHeight="1">
      <x:c r="A1141" s="9" t="str">
        <x:v>E1136</x:v>
      </x:c>
      <x:c r="B1141" s="9" t="str">
        <x:v>T22.09</x:v>
      </x:c>
      <x:c r="C1141" s="9" t="str">
        <x:v>Strategic and tactical asset allocation</x:v>
      </x:c>
      <x:c r="D1141" s="15" t="str">
        <x:v>RECOMMENDED_BEFORE</x:v>
      </x:c>
      <x:c r="E1141" s="9" t="str">
        <x:v>T23.09</x:v>
      </x:c>
      <x:c r="F1141" s="9" t="str">
        <x:v>Venture capital and growth equity</x:v>
      </x:c>
      <x:c r="G1141" s="9" t="str">
        <x:v>Suggested starting knowledge: Strategic and tactical asset allocation. It helps you understand asset exposure, fund structures, fees, liquidity and measured performance.</x:v>
      </x:c>
      <x:c r="H1141" s="9" t="str">
        <x:v>Suggested learning order; learners can still explore freely.</x:v>
      </x:c>
      <x:c r="I1141" s="9" t="str">
        <x:v>Curated curriculum relationship</x:v>
      </x:c>
    </x:row>
    <x:row r="1142" ht="58" customHeight="1">
      <x:c r="A1142" s="10" t="str">
        <x:v>E1137</x:v>
      </x:c>
      <x:c r="B1142" s="10" t="str">
        <x:v>T23.10</x:v>
      </x:c>
      <x:c r="C1142" s="10" t="str">
        <x:v>Private credit and direct lending</x:v>
      </x:c>
      <x:c r="D1142" s="14" t="str">
        <x:v>PART_OF</x:v>
      </x:c>
      <x:c r="E1142" s="10" t="str">
        <x:v>D23</x:v>
      </x:c>
      <x:c r="F1142" s="10" t="str">
        <x:v>Investment vehicles and alternative assets</x:v>
      </x:c>
      <x:c r="G1142" s="10" t="str">
        <x:v>Curriculum membership. Use this link to move between the topic and its finance area.</x:v>
      </x:c>
      <x:c r="H1142" s="10" t="str">
        <x:v>Classification only; this edge is not a causal or calculation relationship.</x:v>
      </x:c>
      <x:c r="I1142" s="10" t="str">
        <x:v>Curated curriculum relationship</x:v>
      </x:c>
    </x:row>
    <x:row r="1143" ht="58" customHeight="1">
      <x:c r="A1143" s="9" t="str">
        <x:v>E1138</x:v>
      </x:c>
      <x:c r="B1143" s="9" t="str">
        <x:v>T23.10</x:v>
      </x:c>
      <x:c r="C1143" s="9" t="str">
        <x:v>Private credit and direct lending</x:v>
      </x:c>
      <x:c r="D1143" s="15" t="str">
        <x:v>EXPLORE_WITH</x:v>
      </x:c>
      <x:c r="E1143" s="9" t="str">
        <x:v>T23.19</x:v>
      </x:c>
      <x:c r="F1143" s="9" t="str">
        <x:v>Liquidity, valuation, and survivorship bias in private assets</x:v>
      </x:c>
      <x:c r="G1143" s="9" t="str">
        <x:v>Study these together to understand asset exposure, fund structures, fees, liquidity and measured performance.</x:v>
      </x:c>
      <x:c r="H1143" s="9" t="str">
        <x:v>A topical exploration link, not a claim that one determines the other.</x:v>
      </x:c>
      <x:c r="I1143" s="9" t="str">
        <x:v>Curated curriculum relationship</x:v>
      </x:c>
    </x:row>
    <x:row r="1144" ht="58" customHeight="1">
      <x:c r="A1144" s="10" t="str">
        <x:v>E1139</x:v>
      </x:c>
      <x:c r="B1144" s="10" t="str">
        <x:v>T22.09</x:v>
      </x:c>
      <x:c r="C1144" s="10" t="str">
        <x:v>Strategic and tactical asset allocation</x:v>
      </x:c>
      <x:c r="D1144" s="14" t="str">
        <x:v>RECOMMENDED_BEFORE</x:v>
      </x:c>
      <x:c r="E1144" s="10" t="str">
        <x:v>T23.10</x:v>
      </x:c>
      <x:c r="F1144" s="10" t="str">
        <x:v>Private credit and direct lending</x:v>
      </x:c>
      <x:c r="G1144" s="10" t="str">
        <x:v>Suggested starting knowledge: Strategic and tactical asset allocation. It helps you understand asset exposure, fund structures, fees, liquidity and measured performance.</x:v>
      </x:c>
      <x:c r="H1144" s="10" t="str">
        <x:v>Suggested learning order; learners can still explore freely.</x:v>
      </x:c>
      <x:c r="I1144" s="10" t="str">
        <x:v>Curated curriculum relationship</x:v>
      </x:c>
    </x:row>
    <x:row r="1145" ht="58" customHeight="1">
      <x:c r="A1145" s="9" t="str">
        <x:v>E1140</x:v>
      </x:c>
      <x:c r="B1145" s="9" t="str">
        <x:v>T23.11</x:v>
      </x:c>
      <x:c r="C1145" s="9" t="str">
        <x:v>Distressed debt and special situations</x:v>
      </x:c>
      <x:c r="D1145" s="15" t="str">
        <x:v>PART_OF</x:v>
      </x:c>
      <x:c r="E1145" s="9" t="str">
        <x:v>D23</x:v>
      </x:c>
      <x:c r="F1145" s="9" t="str">
        <x:v>Investment vehicles and alternative assets</x:v>
      </x:c>
      <x:c r="G1145" s="9" t="str">
        <x:v>Curriculum membership. Use this link to move between the topic and its finance area.</x:v>
      </x:c>
      <x:c r="H1145" s="9" t="str">
        <x:v>Classification only; this edge is not a causal or calculation relationship.</x:v>
      </x:c>
      <x:c r="I1145" s="9" t="str">
        <x:v>Curated curriculum relationship</x:v>
      </x:c>
    </x:row>
    <x:row r="1146" ht="58" customHeight="1">
      <x:c r="A1146" s="10" t="str">
        <x:v>E1141</x:v>
      </x:c>
      <x:c r="B1146" s="10" t="str">
        <x:v>T23.11</x:v>
      </x:c>
      <x:c r="C1146" s="10" t="str">
        <x:v>Distressed debt and special situations</x:v>
      </x:c>
      <x:c r="D1146" s="14" t="str">
        <x:v>EXPLORE_WITH</x:v>
      </x:c>
      <x:c r="E1146" s="10" t="str">
        <x:v>T23.10</x:v>
      </x:c>
      <x:c r="F1146" s="10" t="str">
        <x:v>Private credit and direct lending</x:v>
      </x:c>
      <x:c r="G1146" s="10" t="str">
        <x:v>Study these together to understand asset exposure, fund structures, fees, liquidity and measured performance.</x:v>
      </x:c>
      <x:c r="H1146" s="10" t="str">
        <x:v>A topical exploration link, not a claim that one determines the other.</x:v>
      </x:c>
      <x:c r="I1146" s="10" t="str">
        <x:v>Curated curriculum relationship</x:v>
      </x:c>
    </x:row>
    <x:row r="1147" ht="58" customHeight="1">
      <x:c r="A1147" s="9" t="str">
        <x:v>E1142</x:v>
      </x:c>
      <x:c r="B1147" s="9" t="str">
        <x:v>T22.09</x:v>
      </x:c>
      <x:c r="C1147" s="9" t="str">
        <x:v>Strategic and tactical asset allocation</x:v>
      </x:c>
      <x:c r="D1147" s="15" t="str">
        <x:v>RECOMMENDED_BEFORE</x:v>
      </x:c>
      <x:c r="E1147" s="9" t="str">
        <x:v>T23.11</x:v>
      </x:c>
      <x:c r="F1147" s="9" t="str">
        <x:v>Distressed debt and special situations</x:v>
      </x:c>
      <x:c r="G1147" s="9" t="str">
        <x:v>Suggested starting knowledge: Strategic and tactical asset allocation. It helps you understand asset exposure, fund structures, fees, liquidity and measured performance.</x:v>
      </x:c>
      <x:c r="H1147" s="9" t="str">
        <x:v>Suggested learning order; learners can still explore freely.</x:v>
      </x:c>
      <x:c r="I1147" s="9" t="str">
        <x:v>Curated curriculum relationship</x:v>
      </x:c>
    </x:row>
    <x:row r="1148" ht="58" customHeight="1">
      <x:c r="A1148" s="10" t="str">
        <x:v>E1143</x:v>
      </x:c>
      <x:c r="B1148" s="10" t="str">
        <x:v>T23.12</x:v>
      </x:c>
      <x:c r="C1148" s="10" t="str">
        <x:v>Real estate funds, REITs, and InvITs</x:v>
      </x:c>
      <x:c r="D1148" s="14" t="str">
        <x:v>PART_OF</x:v>
      </x:c>
      <x:c r="E1148" s="10" t="str">
        <x:v>D23</x:v>
      </x:c>
      <x:c r="F1148" s="10" t="str">
        <x:v>Investment vehicles and alternative assets</x:v>
      </x:c>
      <x:c r="G1148" s="10" t="str">
        <x:v>Curriculum membership. Use this link to move between the topic and its finance area.</x:v>
      </x:c>
      <x:c r="H1148" s="10" t="str">
        <x:v>Classification only; this edge is not a causal or calculation relationship.</x:v>
      </x:c>
      <x:c r="I1148" s="10" t="str">
        <x:v>Curated curriculum relationship</x:v>
      </x:c>
    </x:row>
    <x:row r="1149" ht="58" customHeight="1">
      <x:c r="A1149" s="9" t="str">
        <x:v>E1144</x:v>
      </x:c>
      <x:c r="B1149" s="9" t="str">
        <x:v>T23.12</x:v>
      </x:c>
      <x:c r="C1149" s="9" t="str">
        <x:v>Real estate funds, REITs, and InvITs</x:v>
      </x:c>
      <x:c r="D1149" s="15" t="str">
        <x:v>EXPLORE_WITH</x:v>
      </x:c>
      <x:c r="E1149" s="9" t="str">
        <x:v>T23.14</x:v>
      </x:c>
      <x:c r="F1149" s="9" t="str">
        <x:v>Infrastructure funds</x:v>
      </x:c>
      <x:c r="G1149" s="9" t="str">
        <x:v>Study these together to understand asset exposure, fund structures, fees, liquidity and measured performance.</x:v>
      </x:c>
      <x:c r="H1149" s="9" t="str">
        <x:v>A topical exploration link, not a claim that one determines the other.</x:v>
      </x:c>
      <x:c r="I1149" s="9" t="str">
        <x:v>Curated curriculum relationship</x:v>
      </x:c>
    </x:row>
    <x:row r="1150" ht="58" customHeight="1">
      <x:c r="A1150" s="10" t="str">
        <x:v>E1145</x:v>
      </x:c>
      <x:c r="B1150" s="10" t="str">
        <x:v>T22.09</x:v>
      </x:c>
      <x:c r="C1150" s="10" t="str">
        <x:v>Strategic and tactical asset allocation</x:v>
      </x:c>
      <x:c r="D1150" s="14" t="str">
        <x:v>RECOMMENDED_BEFORE</x:v>
      </x:c>
      <x:c r="E1150" s="10" t="str">
        <x:v>T23.12</x:v>
      </x:c>
      <x:c r="F1150" s="10" t="str">
        <x:v>Real estate funds, REITs, and InvITs</x:v>
      </x:c>
      <x:c r="G1150" s="10" t="str">
        <x:v>Suggested starting knowledge: Strategic and tactical asset allocation. It helps you understand asset exposure, fund structures, fees, liquidity and measured performance.</x:v>
      </x:c>
      <x:c r="H1150" s="10" t="str">
        <x:v>Suggested learning order; learners can still explore freely.</x:v>
      </x:c>
      <x:c r="I1150" s="10" t="str">
        <x:v>Curated curriculum relationship</x:v>
      </x:c>
    </x:row>
    <x:row r="1151" ht="58" customHeight="1">
      <x:c r="A1151" s="9" t="str">
        <x:v>E1146</x:v>
      </x:c>
      <x:c r="B1151" s="9" t="str">
        <x:v>T23.13</x:v>
      </x:c>
      <x:c r="C1151" s="9" t="str">
        <x:v>Commodities, gold, and natural resources</x:v>
      </x:c>
      <x:c r="D1151" s="15" t="str">
        <x:v>PART_OF</x:v>
      </x:c>
      <x:c r="E1151" s="9" t="str">
        <x:v>D23</x:v>
      </x:c>
      <x:c r="F1151" s="9" t="str">
        <x:v>Investment vehicles and alternative assets</x:v>
      </x:c>
      <x:c r="G1151" s="9" t="str">
        <x:v>Curriculum membership. Use this link to move between the topic and its finance area.</x:v>
      </x:c>
      <x:c r="H1151" s="9" t="str">
        <x:v>Classification only; this edge is not a causal or calculation relationship.</x:v>
      </x:c>
      <x:c r="I1151" s="9" t="str">
        <x:v>Curated curriculum relationship</x:v>
      </x:c>
    </x:row>
    <x:row r="1152" ht="58" customHeight="1">
      <x:c r="A1152" s="10" t="str">
        <x:v>E1147</x:v>
      </x:c>
      <x:c r="B1152" s="10" t="str">
        <x:v>T23.13</x:v>
      </x:c>
      <x:c r="C1152" s="10" t="str">
        <x:v>Commodities, gold, and natural resources</x:v>
      </x:c>
      <x:c r="D1152" s="14" t="str">
        <x:v>EXPLORE_WITH</x:v>
      </x:c>
      <x:c r="E1152" s="10" t="str">
        <x:v>T23.19</x:v>
      </x:c>
      <x:c r="F1152" s="10" t="str">
        <x:v>Liquidity, valuation, and survivorship bias in private assets</x:v>
      </x:c>
      <x:c r="G1152" s="10" t="str">
        <x:v>Study these together to understand asset exposure, fund structures, fees, liquidity and measured performance.</x:v>
      </x:c>
      <x:c r="H1152" s="10" t="str">
        <x:v>A topical exploration link, not a claim that one determines the other.</x:v>
      </x:c>
      <x:c r="I1152" s="10" t="str">
        <x:v>Curated curriculum relationship</x:v>
      </x:c>
    </x:row>
    <x:row r="1153" ht="58" customHeight="1">
      <x:c r="A1153" s="9" t="str">
        <x:v>E1148</x:v>
      </x:c>
      <x:c r="B1153" s="9" t="str">
        <x:v>T22.09</x:v>
      </x:c>
      <x:c r="C1153" s="9" t="str">
        <x:v>Strategic and tactical asset allocation</x:v>
      </x:c>
      <x:c r="D1153" s="15" t="str">
        <x:v>RECOMMENDED_BEFORE</x:v>
      </x:c>
      <x:c r="E1153" s="9" t="str">
        <x:v>T23.13</x:v>
      </x:c>
      <x:c r="F1153" s="9" t="str">
        <x:v>Commodities, gold, and natural resources</x:v>
      </x:c>
      <x:c r="G1153" s="9" t="str">
        <x:v>Suggested starting knowledge: Strategic and tactical asset allocation. It helps you understand asset exposure, fund structures, fees, liquidity and measured performance.</x:v>
      </x:c>
      <x:c r="H1153" s="9" t="str">
        <x:v>Suggested learning order; learners can still explore freely.</x:v>
      </x:c>
      <x:c r="I1153" s="9" t="str">
        <x:v>Curated curriculum relationship</x:v>
      </x:c>
    </x:row>
    <x:row r="1154" ht="58" customHeight="1">
      <x:c r="A1154" s="10" t="str">
        <x:v>E1149</x:v>
      </x:c>
      <x:c r="B1154" s="10" t="str">
        <x:v>T23.14</x:v>
      </x:c>
      <x:c r="C1154" s="10" t="str">
        <x:v>Infrastructure funds</x:v>
      </x:c>
      <x:c r="D1154" s="14" t="str">
        <x:v>PART_OF</x:v>
      </x:c>
      <x:c r="E1154" s="10" t="str">
        <x:v>D23</x:v>
      </x:c>
      <x:c r="F1154" s="10" t="str">
        <x:v>Investment vehicles and alternative assets</x:v>
      </x:c>
      <x:c r="G1154" s="10" t="str">
        <x:v>Curriculum membership. Use this link to move between the topic and its finance area.</x:v>
      </x:c>
      <x:c r="H1154" s="10" t="str">
        <x:v>Classification only; this edge is not a causal or calculation relationship.</x:v>
      </x:c>
      <x:c r="I1154" s="10" t="str">
        <x:v>Curated curriculum relationship</x:v>
      </x:c>
    </x:row>
    <x:row r="1155" ht="58" customHeight="1">
      <x:c r="A1155" s="9" t="str">
        <x:v>E1150</x:v>
      </x:c>
      <x:c r="B1155" s="9" t="str">
        <x:v>T23.14</x:v>
      </x:c>
      <x:c r="C1155" s="9" t="str">
        <x:v>Infrastructure funds</x:v>
      </x:c>
      <x:c r="D1155" s="15" t="str">
        <x:v>EXPLORE_WITH</x:v>
      </x:c>
      <x:c r="E1155" s="9" t="str">
        <x:v>T23.12</x:v>
      </x:c>
      <x:c r="F1155" s="9" t="str">
        <x:v>Real estate funds, REITs, and InvITs</x:v>
      </x:c>
      <x:c r="G1155" s="9" t="str">
        <x:v>Study these together to understand asset exposure, fund structures, fees, liquidity and measured performance.</x:v>
      </x:c>
      <x:c r="H1155" s="9" t="str">
        <x:v>A topical exploration link, not a claim that one determines the other.</x:v>
      </x:c>
      <x:c r="I1155" s="9" t="str">
        <x:v>Curated curriculum relationship</x:v>
      </x:c>
    </x:row>
    <x:row r="1156" ht="58" customHeight="1">
      <x:c r="A1156" s="10" t="str">
        <x:v>E1151</x:v>
      </x:c>
      <x:c r="B1156" s="10" t="str">
        <x:v>T22.09</x:v>
      </x:c>
      <x:c r="C1156" s="10" t="str">
        <x:v>Strategic and tactical asset allocation</x:v>
      </x:c>
      <x:c r="D1156" s="14" t="str">
        <x:v>RECOMMENDED_BEFORE</x:v>
      </x:c>
      <x:c r="E1156" s="10" t="str">
        <x:v>T23.14</x:v>
      </x:c>
      <x:c r="F1156" s="10" t="str">
        <x:v>Infrastructure funds</x:v>
      </x:c>
      <x:c r="G1156" s="10" t="str">
        <x:v>Suggested starting knowledge: Strategic and tactical asset allocation. It helps you understand asset exposure, fund structures, fees, liquidity and measured performance.</x:v>
      </x:c>
      <x:c r="H1156" s="10" t="str">
        <x:v>Suggested learning order; learners can still explore freely.</x:v>
      </x:c>
      <x:c r="I1156" s="10" t="str">
        <x:v>Curated curriculum relationship</x:v>
      </x:c>
    </x:row>
    <x:row r="1157" ht="58" customHeight="1">
      <x:c r="A1157" s="9" t="str">
        <x:v>E1152</x:v>
      </x:c>
      <x:c r="B1157" s="9" t="str">
        <x:v>T23.15</x:v>
      </x:c>
      <x:c r="C1157" s="9" t="str">
        <x:v>Collectibles and other alternative stores of value</x:v>
      </x:c>
      <x:c r="D1157" s="15" t="str">
        <x:v>PART_OF</x:v>
      </x:c>
      <x:c r="E1157" s="9" t="str">
        <x:v>D23</x:v>
      </x:c>
      <x:c r="F1157" s="9" t="str">
        <x:v>Investment vehicles and alternative assets</x:v>
      </x:c>
      <x:c r="G1157" s="9" t="str">
        <x:v>Curriculum membership. Use this link to move between the topic and its finance area.</x:v>
      </x:c>
      <x:c r="H1157" s="9" t="str">
        <x:v>Classification only; this edge is not a causal or calculation relationship.</x:v>
      </x:c>
      <x:c r="I1157" s="9" t="str">
        <x:v>Curated curriculum relationship</x:v>
      </x:c>
    </x:row>
    <x:row r="1158" ht="58" customHeight="1">
      <x:c r="A1158" s="10" t="str">
        <x:v>E1153</x:v>
      </x:c>
      <x:c r="B1158" s="10" t="str">
        <x:v>T23.15</x:v>
      </x:c>
      <x:c r="C1158" s="10" t="str">
        <x:v>Collectibles and other alternative stores of value</x:v>
      </x:c>
      <x:c r="D1158" s="14" t="str">
        <x:v>EXPLORE_WITH</x:v>
      </x:c>
      <x:c r="E1158" s="10" t="str">
        <x:v>T23.19</x:v>
      </x:c>
      <x:c r="F1158" s="10" t="str">
        <x:v>Liquidity, valuation, and survivorship bias in private assets</x:v>
      </x:c>
      <x:c r="G1158" s="10" t="str">
        <x:v>Study these together to understand asset exposure, fund structures, fees, liquidity and measured performance.</x:v>
      </x:c>
      <x:c r="H1158" s="10" t="str">
        <x:v>A topical exploration link, not a claim that one determines the other.</x:v>
      </x:c>
      <x:c r="I1158" s="10" t="str">
        <x:v>Curated curriculum relationship</x:v>
      </x:c>
    </x:row>
    <x:row r="1159" ht="58" customHeight="1">
      <x:c r="A1159" s="9" t="str">
        <x:v>E1154</x:v>
      </x:c>
      <x:c r="B1159" s="9" t="str">
        <x:v>T22.09</x:v>
      </x:c>
      <x:c r="C1159" s="9" t="str">
        <x:v>Strategic and tactical asset allocation</x:v>
      </x:c>
      <x:c r="D1159" s="15" t="str">
        <x:v>RECOMMENDED_BEFORE</x:v>
      </x:c>
      <x:c r="E1159" s="9" t="str">
        <x:v>T23.15</x:v>
      </x:c>
      <x:c r="F1159" s="9" t="str">
        <x:v>Collectibles and other alternative stores of value</x:v>
      </x:c>
      <x:c r="G1159" s="9" t="str">
        <x:v>Suggested starting knowledge: Strategic and tactical asset allocation. It helps you understand asset exposure, fund structures, fees, liquidity and measured performance.</x:v>
      </x:c>
      <x:c r="H1159" s="9" t="str">
        <x:v>Suggested learning order; learners can still explore freely.</x:v>
      </x:c>
      <x:c r="I1159" s="9" t="str">
        <x:v>Curated curriculum relationship</x:v>
      </x:c>
    </x:row>
    <x:row r="1160" ht="58" customHeight="1">
      <x:c r="A1160" s="10" t="str">
        <x:v>E1155</x:v>
      </x:c>
      <x:c r="B1160" s="10" t="str">
        <x:v>T23.16</x:v>
      </x:c>
      <x:c r="C1160" s="10" t="str">
        <x:v>Fund fees, carried interest, and distribution waterfalls</x:v>
      </x:c>
      <x:c r="D1160" s="14" t="str">
        <x:v>PART_OF</x:v>
      </x:c>
      <x:c r="E1160" s="10" t="str">
        <x:v>D23</x:v>
      </x:c>
      <x:c r="F1160" s="10" t="str">
        <x:v>Investment vehicles and alternative assets</x:v>
      </x:c>
      <x:c r="G1160" s="10" t="str">
        <x:v>Curriculum membership. Use this link to move between the topic and its finance area.</x:v>
      </x:c>
      <x:c r="H1160" s="10" t="str">
        <x:v>Classification only; this edge is not a causal or calculation relationship.</x:v>
      </x:c>
      <x:c r="I1160" s="10" t="str">
        <x:v>Curated curriculum relationship</x:v>
      </x:c>
    </x:row>
    <x:row r="1161" ht="58" customHeight="1">
      <x:c r="A1161" s="9" t="str">
        <x:v>E1156</x:v>
      </x:c>
      <x:c r="B1161" s="9" t="str">
        <x:v>T23.16</x:v>
      </x:c>
      <x:c r="C1161" s="9" t="str">
        <x:v>Fund fees, carried interest, and distribution waterfalls</x:v>
      </x:c>
      <x:c r="D1161" s="15" t="str">
        <x:v>EXPLORE_WITH</x:v>
      </x:c>
      <x:c r="E1161" s="9" t="str">
        <x:v>T23.17</x:v>
      </x:c>
      <x:c r="F1161" s="9" t="str">
        <x:v>Capital calls, commitments, and the J-curve</x:v>
      </x:c>
      <x:c r="G1161" s="9" t="str">
        <x:v>Study these together to understand asset exposure, fund structures, fees, liquidity and measured performance.</x:v>
      </x:c>
      <x:c r="H1161" s="9" t="str">
        <x:v>A topical exploration link, not a claim that one determines the other.</x:v>
      </x:c>
      <x:c r="I1161" s="9" t="str">
        <x:v>Curated curriculum relationship</x:v>
      </x:c>
    </x:row>
    <x:row r="1162" ht="58" customHeight="1">
      <x:c r="A1162" s="10" t="str">
        <x:v>E1157</x:v>
      </x:c>
      <x:c r="B1162" s="10" t="str">
        <x:v>T22.09</x:v>
      </x:c>
      <x:c r="C1162" s="10" t="str">
        <x:v>Strategic and tactical asset allocation</x:v>
      </x:c>
      <x:c r="D1162" s="14" t="str">
        <x:v>RECOMMENDED_BEFORE</x:v>
      </x:c>
      <x:c r="E1162" s="10" t="str">
        <x:v>T23.16</x:v>
      </x:c>
      <x:c r="F1162" s="10" t="str">
        <x:v>Fund fees, carried interest, and distribution waterfalls</x:v>
      </x:c>
      <x:c r="G1162" s="10" t="str">
        <x:v>Suggested starting knowledge: Strategic and tactical asset allocation. It helps you understand asset exposure, fund structures, fees, liquidity and measured performance.</x:v>
      </x:c>
      <x:c r="H1162" s="10" t="str">
        <x:v>Suggested learning order; learners can still explore freely.</x:v>
      </x:c>
      <x:c r="I1162" s="10" t="str">
        <x:v>Curated curriculum relationship</x:v>
      </x:c>
    </x:row>
    <x:row r="1163" ht="58" customHeight="1">
      <x:c r="A1163" s="9" t="str">
        <x:v>E1158</x:v>
      </x:c>
      <x:c r="B1163" s="9" t="str">
        <x:v>T23.17</x:v>
      </x:c>
      <x:c r="C1163" s="9" t="str">
        <x:v>Capital calls, commitments, and the J-curve</x:v>
      </x:c>
      <x:c r="D1163" s="15" t="str">
        <x:v>PART_OF</x:v>
      </x:c>
      <x:c r="E1163" s="9" t="str">
        <x:v>D23</x:v>
      </x:c>
      <x:c r="F1163" s="9" t="str">
        <x:v>Investment vehicles and alternative assets</x:v>
      </x:c>
      <x:c r="G1163" s="9" t="str">
        <x:v>Curriculum membership. Use this link to move between the topic and its finance area.</x:v>
      </x:c>
      <x:c r="H1163" s="9" t="str">
        <x:v>Classification only; this edge is not a causal or calculation relationship.</x:v>
      </x:c>
      <x:c r="I1163" s="9" t="str">
        <x:v>Curated curriculum relationship</x:v>
      </x:c>
    </x:row>
    <x:row r="1164" ht="58" customHeight="1">
      <x:c r="A1164" s="10" t="str">
        <x:v>E1159</x:v>
      </x:c>
      <x:c r="B1164" s="10" t="str">
        <x:v>T23.17</x:v>
      </x:c>
      <x:c r="C1164" s="10" t="str">
        <x:v>Capital calls, commitments, and the J-curve</x:v>
      </x:c>
      <x:c r="D1164" s="14" t="str">
        <x:v>EXPLORE_WITH</x:v>
      </x:c>
      <x:c r="E1164" s="10" t="str">
        <x:v>T23.18</x:v>
      </x:c>
      <x:c r="F1164" s="10" t="str">
        <x:v>IRR, MOIC, DPI, RVPI, and TVPI</x:v>
      </x:c>
      <x:c r="G1164" s="10" t="str">
        <x:v>Study these together to understand asset exposure, fund structures, fees, liquidity and measured performance.</x:v>
      </x:c>
      <x:c r="H1164" s="10" t="str">
        <x:v>A topical exploration link, not a claim that one determines the other.</x:v>
      </x:c>
      <x:c r="I1164" s="10" t="str">
        <x:v>Curated curriculum relationship</x:v>
      </x:c>
    </x:row>
    <x:row r="1165" ht="58" customHeight="1">
      <x:c r="A1165" s="9" t="str">
        <x:v>E1160</x:v>
      </x:c>
      <x:c r="B1165" s="9" t="str">
        <x:v>T22.09</x:v>
      </x:c>
      <x:c r="C1165" s="9" t="str">
        <x:v>Strategic and tactical asset allocation</x:v>
      </x:c>
      <x:c r="D1165" s="15" t="str">
        <x:v>RECOMMENDED_BEFORE</x:v>
      </x:c>
      <x:c r="E1165" s="9" t="str">
        <x:v>T23.17</x:v>
      </x:c>
      <x:c r="F1165" s="9" t="str">
        <x:v>Capital calls, commitments, and the J-curve</x:v>
      </x:c>
      <x:c r="G1165" s="9" t="str">
        <x:v>Suggested starting knowledge: Strategic and tactical asset allocation. It helps you understand asset exposure, fund structures, fees, liquidity and measured performance.</x:v>
      </x:c>
      <x:c r="H1165" s="9" t="str">
        <x:v>Suggested learning order; learners can still explore freely.</x:v>
      </x:c>
      <x:c r="I1165" s="9" t="str">
        <x:v>Curated curriculum relationship</x:v>
      </x:c>
    </x:row>
    <x:row r="1166" ht="58" customHeight="1">
      <x:c r="A1166" s="10" t="str">
        <x:v>E1161</x:v>
      </x:c>
      <x:c r="B1166" s="10" t="str">
        <x:v>T23.18</x:v>
      </x:c>
      <x:c r="C1166" s="10" t="str">
        <x:v>IRR, MOIC, DPI, RVPI, and TVPI</x:v>
      </x:c>
      <x:c r="D1166" s="14" t="str">
        <x:v>PART_OF</x:v>
      </x:c>
      <x:c r="E1166" s="10" t="str">
        <x:v>D23</x:v>
      </x:c>
      <x:c r="F1166" s="10" t="str">
        <x:v>Investment vehicles and alternative assets</x:v>
      </x:c>
      <x:c r="G1166" s="10" t="str">
        <x:v>Curriculum membership. Use this link to move between the topic and its finance area.</x:v>
      </x:c>
      <x:c r="H1166" s="10" t="str">
        <x:v>Classification only; this edge is not a causal or calculation relationship.</x:v>
      </x:c>
      <x:c r="I1166" s="10" t="str">
        <x:v>Curated curriculum relationship</x:v>
      </x:c>
    </x:row>
    <x:row r="1167" ht="58" customHeight="1">
      <x:c r="A1167" s="9" t="str">
        <x:v>E1162</x:v>
      </x:c>
      <x:c r="B1167" s="9" t="str">
        <x:v>T23.18</x:v>
      </x:c>
      <x:c r="C1167" s="9" t="str">
        <x:v>IRR, MOIC, DPI, RVPI, and TVPI</x:v>
      </x:c>
      <x:c r="D1167" s="15" t="str">
        <x:v>EXPLORE_WITH</x:v>
      </x:c>
      <x:c r="E1167" s="9" t="str">
        <x:v>T23.17</x:v>
      </x:c>
      <x:c r="F1167" s="9" t="str">
        <x:v>Capital calls, commitments, and the J-curve</x:v>
      </x:c>
      <x:c r="G1167" s="9" t="str">
        <x:v>Study these together to understand asset exposure, fund structures, fees, liquidity and measured performance.</x:v>
      </x:c>
      <x:c r="H1167" s="9" t="str">
        <x:v>A topical exploration link, not a claim that one determines the other.</x:v>
      </x:c>
      <x:c r="I1167" s="9" t="str">
        <x:v>Curated curriculum relationship</x:v>
      </x:c>
    </x:row>
    <x:row r="1168" ht="58" customHeight="1">
      <x:c r="A1168" s="10" t="str">
        <x:v>E1163</x:v>
      </x:c>
      <x:c r="B1168" s="10" t="str">
        <x:v>T22.09</x:v>
      </x:c>
      <x:c r="C1168" s="10" t="str">
        <x:v>Strategic and tactical asset allocation</x:v>
      </x:c>
      <x:c r="D1168" s="14" t="str">
        <x:v>RECOMMENDED_BEFORE</x:v>
      </x:c>
      <x:c r="E1168" s="10" t="str">
        <x:v>T23.18</x:v>
      </x:c>
      <x:c r="F1168" s="10" t="str">
        <x:v>IRR, MOIC, DPI, RVPI, and TVPI</x:v>
      </x:c>
      <x:c r="G1168" s="10" t="str">
        <x:v>Suggested starting knowledge: Strategic and tactical asset allocation. It helps you understand asset exposure, fund structures, fees, liquidity and measured performance.</x:v>
      </x:c>
      <x:c r="H1168" s="10" t="str">
        <x:v>Suggested learning order; learners can still explore freely.</x:v>
      </x:c>
      <x:c r="I1168" s="10" t="str">
        <x:v>Curated curriculum relationship</x:v>
      </x:c>
    </x:row>
    <x:row r="1169" ht="58" customHeight="1">
      <x:c r="A1169" s="9" t="str">
        <x:v>E1164</x:v>
      </x:c>
      <x:c r="B1169" s="9" t="str">
        <x:v>T23.19</x:v>
      </x:c>
      <x:c r="C1169" s="9" t="str">
        <x:v>Liquidity, valuation, and survivorship bias in private assets</x:v>
      </x:c>
      <x:c r="D1169" s="15" t="str">
        <x:v>PART_OF</x:v>
      </x:c>
      <x:c r="E1169" s="9" t="str">
        <x:v>D23</x:v>
      </x:c>
      <x:c r="F1169" s="9" t="str">
        <x:v>Investment vehicles and alternative assets</x:v>
      </x:c>
      <x:c r="G1169" s="9" t="str">
        <x:v>Curriculum membership. Use this link to move between the topic and its finance area.</x:v>
      </x:c>
      <x:c r="H1169" s="9" t="str">
        <x:v>Classification only; this edge is not a causal or calculation relationship.</x:v>
      </x:c>
      <x:c r="I1169" s="9" t="str">
        <x:v>Curated curriculum relationship</x:v>
      </x:c>
    </x:row>
    <x:row r="1170" ht="58" customHeight="1">
      <x:c r="A1170" s="10" t="str">
        <x:v>E1165</x:v>
      </x:c>
      <x:c r="B1170" s="10" t="str">
        <x:v>T23.19</x:v>
      </x:c>
      <x:c r="C1170" s="10" t="str">
        <x:v>Liquidity, valuation, and survivorship bias in private assets</x:v>
      </x:c>
      <x:c r="D1170" s="14" t="str">
        <x:v>EXPLORE_WITH</x:v>
      </x:c>
      <x:c r="E1170" s="10" t="str">
        <x:v>T23.05</x:v>
      </x:c>
      <x:c r="F1170" s="10" t="str">
        <x:v>Fund selection and manager due diligence</x:v>
      </x:c>
      <x:c r="G1170" s="10" t="str">
        <x:v>Study these together to understand asset exposure, fund structures, fees, liquidity and measured performance.</x:v>
      </x:c>
      <x:c r="H1170" s="10" t="str">
        <x:v>A topical exploration link, not a claim that one determines the other.</x:v>
      </x:c>
      <x:c r="I1170" s="10" t="str">
        <x:v>Curated curriculum relationship</x:v>
      </x:c>
    </x:row>
    <x:row r="1171" ht="58" customHeight="1">
      <x:c r="A1171" s="9" t="str">
        <x:v>E1166</x:v>
      </x:c>
      <x:c r="B1171" s="9" t="str">
        <x:v>T22.09</x:v>
      </x:c>
      <x:c r="C1171" s="9" t="str">
        <x:v>Strategic and tactical asset allocation</x:v>
      </x:c>
      <x:c r="D1171" s="15" t="str">
        <x:v>RECOMMENDED_BEFORE</x:v>
      </x:c>
      <x:c r="E1171" s="9" t="str">
        <x:v>T23.19</x:v>
      </x:c>
      <x:c r="F1171" s="9" t="str">
        <x:v>Liquidity, valuation, and survivorship bias in private assets</x:v>
      </x:c>
      <x:c r="G1171" s="9" t="str">
        <x:v>Suggested starting knowledge: Strategic and tactical asset allocation. It helps you understand asset exposure, fund structures, fees, liquidity and measured performance.</x:v>
      </x:c>
      <x:c r="H1171" s="9" t="str">
        <x:v>Suggested learning order; learners can still explore freely.</x:v>
      </x:c>
      <x:c r="I1171" s="9" t="str">
        <x:v>Curated curriculum relationship</x:v>
      </x:c>
    </x:row>
    <x:row r="1172" ht="58" customHeight="1">
      <x:c r="A1172" s="10" t="str">
        <x:v>E1167</x:v>
      </x:c>
      <x:c r="B1172" s="10" t="str">
        <x:v>T24.01</x:v>
      </x:c>
      <x:c r="C1172" s="10" t="str">
        <x:v>How banks create and intermediate credit</x:v>
      </x:c>
      <x:c r="D1172" s="14" t="str">
        <x:v>PART_OF</x:v>
      </x:c>
      <x:c r="E1172" s="10" t="str">
        <x:v>D24</x:v>
      </x:c>
      <x:c r="F1172" s="10" t="str">
        <x:v>Banking and credit analysis</x:v>
      </x:c>
      <x:c r="G1172" s="10" t="str">
        <x:v>Curriculum membership. Use this link to move between the topic and its finance area.</x:v>
      </x:c>
      <x:c r="H1172" s="10" t="str">
        <x:v>Classification only; this edge is not a causal or calculation relationship.</x:v>
      </x:c>
      <x:c r="I1172" s="10" t="str">
        <x:v>Curated curriculum relationship</x:v>
      </x:c>
    </x:row>
    <x:row r="1173" ht="58" customHeight="1">
      <x:c r="A1173" s="9" t="str">
        <x:v>E1168</x:v>
      </x:c>
      <x:c r="B1173" s="9" t="str">
        <x:v>T24.01</x:v>
      </x:c>
      <x:c r="C1173" s="9" t="str">
        <x:v>How banks create and intermediate credit</x:v>
      </x:c>
      <x:c r="D1173" s="15" t="str">
        <x:v>EXPLORE_WITH</x:v>
      </x:c>
      <x:c r="E1173" s="9" t="str">
        <x:v>T24.03</x:v>
      </x:c>
      <x:c r="F1173" s="9" t="str">
        <x:v>Deposits, lending, and wholesale funding</x:v>
      </x:c>
      <x:c r="G1173" s="9" t="str">
        <x:v>Study these together to connect credit origination, bank funding, loan losses and regulatory capital.</x:v>
      </x:c>
      <x:c r="H1173" s="9" t="str">
        <x:v>A topical exploration link, not a claim that one determines the other.</x:v>
      </x:c>
      <x:c r="I1173" s="9" t="str">
        <x:v>Curated curriculum relationship</x:v>
      </x:c>
    </x:row>
    <x:row r="1174" ht="58" customHeight="1">
      <x:c r="A1174" s="10" t="str">
        <x:v>E1169</x:v>
      </x:c>
      <x:c r="B1174" s="10" t="str">
        <x:v>T01.03</x:v>
      </x:c>
      <x:c r="C1174" s="10" t="str">
        <x:v>The financial system: households, businesses, governments, and intermediaries</x:v>
      </x:c>
      <x:c r="D1174" s="14" t="str">
        <x:v>RECOMMENDED_BEFORE</x:v>
      </x:c>
      <x:c r="E1174" s="10" t="str">
        <x:v>T24.01</x:v>
      </x:c>
      <x:c r="F1174" s="10" t="str">
        <x:v>How banks create and intermediate credit</x:v>
      </x:c>
      <x:c r="G1174" s="10" t="str">
        <x:v>Suggested starting knowledge: The financial system: households, businesses, governments, and intermediaries. It helps you connect credit origination, bank funding, loan losses and regulatory capital.</x:v>
      </x:c>
      <x:c r="H1174" s="10" t="str">
        <x:v>Suggested learning order; learners can still explore freely.</x:v>
      </x:c>
      <x:c r="I1174" s="10" t="str">
        <x:v>Curated curriculum relationship</x:v>
      </x:c>
    </x:row>
    <x:row r="1175" ht="58" customHeight="1">
      <x:c r="A1175" s="9" t="str">
        <x:v>E1170</x:v>
      </x:c>
      <x:c r="B1175" s="9" t="str">
        <x:v>T24.02</x:v>
      </x:c>
      <x:c r="C1175" s="9" t="str">
        <x:v>Bank balance sheets and income statements</x:v>
      </x:c>
      <x:c r="D1175" s="15" t="str">
        <x:v>PART_OF</x:v>
      </x:c>
      <x:c r="E1175" s="9" t="str">
        <x:v>D24</x:v>
      </x:c>
      <x:c r="F1175" s="9" t="str">
        <x:v>Banking and credit analysis</x:v>
      </x:c>
      <x:c r="G1175" s="9" t="str">
        <x:v>Curriculum membership. Use this link to move between the topic and its finance area.</x:v>
      </x:c>
      <x:c r="H1175" s="9" t="str">
        <x:v>Classification only; this edge is not a causal or calculation relationship.</x:v>
      </x:c>
      <x:c r="I1175" s="9" t="str">
        <x:v>Curated curriculum relationship</x:v>
      </x:c>
    </x:row>
    <x:row r="1176" ht="58" customHeight="1">
      <x:c r="A1176" s="10" t="str">
        <x:v>E1171</x:v>
      </x:c>
      <x:c r="B1176" s="10" t="str">
        <x:v>T24.02</x:v>
      </x:c>
      <x:c r="C1176" s="10" t="str">
        <x:v>Bank balance sheets and income statements</x:v>
      </x:c>
      <x:c r="D1176" s="14" t="str">
        <x:v>EXPLORE_WITH</x:v>
      </x:c>
      <x:c r="E1176" s="10" t="str">
        <x:v>T24.04</x:v>
      </x:c>
      <x:c r="F1176" s="10" t="str">
        <x:v>Net interest income and net interest margin</x:v>
      </x:c>
      <x:c r="G1176" s="10" t="str">
        <x:v>Study these together to connect credit origination, bank funding, loan losses and regulatory capital.</x:v>
      </x:c>
      <x:c r="H1176" s="10" t="str">
        <x:v>A topical exploration link, not a claim that one determines the other.</x:v>
      </x:c>
      <x:c r="I1176" s="10" t="str">
        <x:v>Curated curriculum relationship</x:v>
      </x:c>
    </x:row>
    <x:row r="1177" ht="58" customHeight="1">
      <x:c r="A1177" s="9" t="str">
        <x:v>E1172</x:v>
      </x:c>
      <x:c r="B1177" s="9" t="str">
        <x:v>T01.03</x:v>
      </x:c>
      <x:c r="C1177" s="9" t="str">
        <x:v>The financial system: households, businesses, governments, and intermediaries</x:v>
      </x:c>
      <x:c r="D1177" s="15" t="str">
        <x:v>RECOMMENDED_BEFORE</x:v>
      </x:c>
      <x:c r="E1177" s="9" t="str">
        <x:v>T24.02</x:v>
      </x:c>
      <x:c r="F1177" s="9" t="str">
        <x:v>Bank balance sheets and income statements</x:v>
      </x:c>
      <x:c r="G1177" s="9" t="str">
        <x:v>Suggested starting knowledge: The financial system: households, businesses, governments, and intermediaries. It helps you connect credit origination, bank funding, loan losses and regulatory capital.</x:v>
      </x:c>
      <x:c r="H1177" s="9" t="str">
        <x:v>Suggested learning order; learners can still explore freely.</x:v>
      </x:c>
      <x:c r="I1177" s="9" t="str">
        <x:v>Curated curriculum relationship</x:v>
      </x:c>
    </x:row>
    <x:row r="1178" ht="58" customHeight="1">
      <x:c r="A1178" s="10" t="str">
        <x:v>E1173</x:v>
      </x:c>
      <x:c r="B1178" s="10" t="str">
        <x:v>T24.03</x:v>
      </x:c>
      <x:c r="C1178" s="10" t="str">
        <x:v>Deposits, lending, and wholesale funding</x:v>
      </x:c>
      <x:c r="D1178" s="14" t="str">
        <x:v>PART_OF</x:v>
      </x:c>
      <x:c r="E1178" s="10" t="str">
        <x:v>D24</x:v>
      </x:c>
      <x:c r="F1178" s="10" t="str">
        <x:v>Banking and credit analysis</x:v>
      </x:c>
      <x:c r="G1178" s="10" t="str">
        <x:v>Curriculum membership. Use this link to move between the topic and its finance area.</x:v>
      </x:c>
      <x:c r="H1178" s="10" t="str">
        <x:v>Classification only; this edge is not a causal or calculation relationship.</x:v>
      </x:c>
      <x:c r="I1178" s="10" t="str">
        <x:v>Curated curriculum relationship</x:v>
      </x:c>
    </x:row>
    <x:row r="1179" ht="58" customHeight="1">
      <x:c r="A1179" s="9" t="str">
        <x:v>E1174</x:v>
      </x:c>
      <x:c r="B1179" s="9" t="str">
        <x:v>T24.03</x:v>
      </x:c>
      <x:c r="C1179" s="9" t="str">
        <x:v>Deposits, lending, and wholesale funding</x:v>
      </x:c>
      <x:c r="D1179" s="15" t="str">
        <x:v>EXPLORE_WITH</x:v>
      </x:c>
      <x:c r="E1179" s="9" t="str">
        <x:v>T24.08</x:v>
      </x:c>
      <x:c r="F1179" s="9" t="str">
        <x:v>Liquidity and funding risk</x:v>
      </x:c>
      <x:c r="G1179" s="9" t="str">
        <x:v>Study these together to connect credit origination, bank funding, loan losses and regulatory capital.</x:v>
      </x:c>
      <x:c r="H1179" s="9" t="str">
        <x:v>A topical exploration link, not a claim that one determines the other.</x:v>
      </x:c>
      <x:c r="I1179" s="9" t="str">
        <x:v>Curated curriculum relationship</x:v>
      </x:c>
    </x:row>
    <x:row r="1180" ht="58" customHeight="1">
      <x:c r="A1180" s="10" t="str">
        <x:v>E1175</x:v>
      </x:c>
      <x:c r="B1180" s="10" t="str">
        <x:v>T01.03</x:v>
      </x:c>
      <x:c r="C1180" s="10" t="str">
        <x:v>The financial system: households, businesses, governments, and intermediaries</x:v>
      </x:c>
      <x:c r="D1180" s="14" t="str">
        <x:v>RECOMMENDED_BEFORE</x:v>
      </x:c>
      <x:c r="E1180" s="10" t="str">
        <x:v>T24.03</x:v>
      </x:c>
      <x:c r="F1180" s="10" t="str">
        <x:v>Deposits, lending, and wholesale funding</x:v>
      </x:c>
      <x:c r="G1180" s="10" t="str">
        <x:v>Suggested starting knowledge: The financial system: households, businesses, governments, and intermediaries. It helps you connect credit origination, bank funding, loan losses and regulatory capital.</x:v>
      </x:c>
      <x:c r="H1180" s="10" t="str">
        <x:v>Suggested learning order; learners can still explore freely.</x:v>
      </x:c>
      <x:c r="I1180" s="10" t="str">
        <x:v>Curated curriculum relationship</x:v>
      </x:c>
    </x:row>
    <x:row r="1181" ht="58" customHeight="1">
      <x:c r="A1181" s="9" t="str">
        <x:v>E1176</x:v>
      </x:c>
      <x:c r="B1181" s="9" t="str">
        <x:v>T24.04</x:v>
      </x:c>
      <x:c r="C1181" s="9" t="str">
        <x:v>Net interest income and net interest margin</x:v>
      </x:c>
      <x:c r="D1181" s="15" t="str">
        <x:v>PART_OF</x:v>
      </x:c>
      <x:c r="E1181" s="9" t="str">
        <x:v>D24</x:v>
      </x:c>
      <x:c r="F1181" s="9" t="str">
        <x:v>Banking and credit analysis</x:v>
      </x:c>
      <x:c r="G1181" s="9" t="str">
        <x:v>Curriculum membership. Use this link to move between the topic and its finance area.</x:v>
      </x:c>
      <x:c r="H1181" s="9" t="str">
        <x:v>Classification only; this edge is not a causal or calculation relationship.</x:v>
      </x:c>
      <x:c r="I1181" s="9" t="str">
        <x:v>Curated curriculum relationship</x:v>
      </x:c>
    </x:row>
    <x:row r="1182" ht="58" customHeight="1">
      <x:c r="A1182" s="10" t="str">
        <x:v>E1177</x:v>
      </x:c>
      <x:c r="B1182" s="10" t="str">
        <x:v>T24.04</x:v>
      </x:c>
      <x:c r="C1182" s="10" t="str">
        <x:v>Net interest income and net interest margin</x:v>
      </x:c>
      <x:c r="D1182" s="14" t="str">
        <x:v>EXPLORE_WITH</x:v>
      </x:c>
      <x:c r="E1182" s="10" t="str">
        <x:v>T24.05</x:v>
      </x:c>
      <x:c r="F1182" s="10" t="str">
        <x:v>Fee income and operating efficiency</x:v>
      </x:c>
      <x:c r="G1182" s="10" t="str">
        <x:v>Study these together to connect credit origination, bank funding, loan losses and regulatory capital.</x:v>
      </x:c>
      <x:c r="H1182" s="10" t="str">
        <x:v>A topical exploration link, not a claim that one determines the other.</x:v>
      </x:c>
      <x:c r="I1182" s="10" t="str">
        <x:v>Curated curriculum relationship</x:v>
      </x:c>
    </x:row>
    <x:row r="1183" ht="58" customHeight="1">
      <x:c r="A1183" s="9" t="str">
        <x:v>E1178</x:v>
      </x:c>
      <x:c r="B1183" s="9" t="str">
        <x:v>T01.03</x:v>
      </x:c>
      <x:c r="C1183" s="9" t="str">
        <x:v>The financial system: households, businesses, governments, and intermediaries</x:v>
      </x:c>
      <x:c r="D1183" s="15" t="str">
        <x:v>RECOMMENDED_BEFORE</x:v>
      </x:c>
      <x:c r="E1183" s="9" t="str">
        <x:v>T24.04</x:v>
      </x:c>
      <x:c r="F1183" s="9" t="str">
        <x:v>Net interest income and net interest margin</x:v>
      </x:c>
      <x:c r="G1183" s="9" t="str">
        <x:v>Suggested starting knowledge: The financial system: households, businesses, governments, and intermediaries. It helps you connect credit origination, bank funding, loan losses and regulatory capital.</x:v>
      </x:c>
      <x:c r="H1183" s="9" t="str">
        <x:v>Suggested learning order; learners can still explore freely.</x:v>
      </x:c>
      <x:c r="I1183" s="9" t="str">
        <x:v>Curated curriculum relationship</x:v>
      </x:c>
    </x:row>
    <x:row r="1184" ht="58" customHeight="1">
      <x:c r="A1184" s="10" t="str">
        <x:v>E1179</x:v>
      </x:c>
      <x:c r="B1184" s="10" t="str">
        <x:v>T24.05</x:v>
      </x:c>
      <x:c r="C1184" s="10" t="str">
        <x:v>Fee income and operating efficiency</x:v>
      </x:c>
      <x:c r="D1184" s="14" t="str">
        <x:v>PART_OF</x:v>
      </x:c>
      <x:c r="E1184" s="10" t="str">
        <x:v>D24</x:v>
      </x:c>
      <x:c r="F1184" s="10" t="str">
        <x:v>Banking and credit analysis</x:v>
      </x:c>
      <x:c r="G1184" s="10" t="str">
        <x:v>Curriculum membership. Use this link to move between the topic and its finance area.</x:v>
      </x:c>
      <x:c r="H1184" s="10" t="str">
        <x:v>Classification only; this edge is not a causal or calculation relationship.</x:v>
      </x:c>
      <x:c r="I1184" s="10" t="str">
        <x:v>Curated curriculum relationship</x:v>
      </x:c>
    </x:row>
    <x:row r="1185" ht="58" customHeight="1">
      <x:c r="A1185" s="9" t="str">
        <x:v>E1180</x:v>
      </x:c>
      <x:c r="B1185" s="9" t="str">
        <x:v>T24.05</x:v>
      </x:c>
      <x:c r="C1185" s="9" t="str">
        <x:v>Fee income and operating efficiency</x:v>
      </x:c>
      <x:c r="D1185" s="15" t="str">
        <x:v>EXPLORE_WITH</x:v>
      </x:c>
      <x:c r="E1185" s="9" t="str">
        <x:v>T24.04</x:v>
      </x:c>
      <x:c r="F1185" s="9" t="str">
        <x:v>Net interest income and net interest margin</x:v>
      </x:c>
      <x:c r="G1185" s="9" t="str">
        <x:v>Study these together to connect credit origination, bank funding, loan losses and regulatory capital.</x:v>
      </x:c>
      <x:c r="H1185" s="9" t="str">
        <x:v>A topical exploration link, not a claim that one determines the other.</x:v>
      </x:c>
      <x:c r="I1185" s="9" t="str">
        <x:v>Curated curriculum relationship</x:v>
      </x:c>
    </x:row>
    <x:row r="1186" ht="58" customHeight="1">
      <x:c r="A1186" s="10" t="str">
        <x:v>E1181</x:v>
      </x:c>
      <x:c r="B1186" s="10" t="str">
        <x:v>T01.03</x:v>
      </x:c>
      <x:c r="C1186" s="10" t="str">
        <x:v>The financial system: households, businesses, governments, and intermediaries</x:v>
      </x:c>
      <x:c r="D1186" s="14" t="str">
        <x:v>RECOMMENDED_BEFORE</x:v>
      </x:c>
      <x:c r="E1186" s="10" t="str">
        <x:v>T24.05</x:v>
      </x:c>
      <x:c r="F1186" s="10" t="str">
        <x:v>Fee income and operating efficiency</x:v>
      </x:c>
      <x:c r="G1186" s="10" t="str">
        <x:v>Suggested starting knowledge: The financial system: households, businesses, governments, and intermediaries. It helps you connect credit origination, bank funding, loan losses and regulatory capital.</x:v>
      </x:c>
      <x:c r="H1186" s="10" t="str">
        <x:v>Suggested learning order; learners can still explore freely.</x:v>
      </x:c>
      <x:c r="I1186" s="10" t="str">
        <x:v>Curated curriculum relationship</x:v>
      </x:c>
    </x:row>
    <x:row r="1187" ht="58" customHeight="1">
      <x:c r="A1187" s="9" t="str">
        <x:v>E1182</x:v>
      </x:c>
      <x:c r="B1187" s="9" t="str">
        <x:v>T24.06</x:v>
      </x:c>
      <x:c r="C1187" s="9" t="str">
        <x:v>Asset-liability management</x:v>
      </x:c>
      <x:c r="D1187" s="15" t="str">
        <x:v>PART_OF</x:v>
      </x:c>
      <x:c r="E1187" s="9" t="str">
        <x:v>D24</x:v>
      </x:c>
      <x:c r="F1187" s="9" t="str">
        <x:v>Banking and credit analysis</x:v>
      </x:c>
      <x:c r="G1187" s="9" t="str">
        <x:v>Curriculum membership. Use this link to move between the topic and its finance area.</x:v>
      </x:c>
      <x:c r="H1187" s="9" t="str">
        <x:v>Classification only; this edge is not a causal or calculation relationship.</x:v>
      </x:c>
      <x:c r="I1187" s="9" t="str">
        <x:v>Curated curriculum relationship</x:v>
      </x:c>
    </x:row>
    <x:row r="1188" ht="58" customHeight="1">
      <x:c r="A1188" s="10" t="str">
        <x:v>E1183</x:v>
      </x:c>
      <x:c r="B1188" s="10" t="str">
        <x:v>T24.06</x:v>
      </x:c>
      <x:c r="C1188" s="10" t="str">
        <x:v>Asset-liability management</x:v>
      </x:c>
      <x:c r="D1188" s="14" t="str">
        <x:v>EXPLORE_WITH</x:v>
      </x:c>
      <x:c r="E1188" s="10" t="str">
        <x:v>T24.08</x:v>
      </x:c>
      <x:c r="F1188" s="10" t="str">
        <x:v>Liquidity and funding risk</x:v>
      </x:c>
      <x:c r="G1188" s="10" t="str">
        <x:v>Study these together to connect credit origination, bank funding, loan losses and regulatory capital.</x:v>
      </x:c>
      <x:c r="H1188" s="10" t="str">
        <x:v>A topical exploration link, not a claim that one determines the other.</x:v>
      </x:c>
      <x:c r="I1188" s="10" t="str">
        <x:v>Curated curriculum relationship</x:v>
      </x:c>
    </x:row>
    <x:row r="1189" ht="58" customHeight="1">
      <x:c r="A1189" s="9" t="str">
        <x:v>E1184</x:v>
      </x:c>
      <x:c r="B1189" s="9" t="str">
        <x:v>T01.03</x:v>
      </x:c>
      <x:c r="C1189" s="9" t="str">
        <x:v>The financial system: households, businesses, governments, and intermediaries</x:v>
      </x:c>
      <x:c r="D1189" s="15" t="str">
        <x:v>RECOMMENDED_BEFORE</x:v>
      </x:c>
      <x:c r="E1189" s="9" t="str">
        <x:v>T24.06</x:v>
      </x:c>
      <x:c r="F1189" s="9" t="str">
        <x:v>Asset-liability management</x:v>
      </x:c>
      <x:c r="G1189" s="9" t="str">
        <x:v>Suggested starting knowledge: The financial system: households, businesses, governments, and intermediaries. It helps you connect credit origination, bank funding, loan losses and regulatory capital.</x:v>
      </x:c>
      <x:c r="H1189" s="9" t="str">
        <x:v>Suggested learning order; learners can still explore freely.</x:v>
      </x:c>
      <x:c r="I1189" s="9" t="str">
        <x:v>Curated curriculum relationship</x:v>
      </x:c>
    </x:row>
    <x:row r="1190" ht="58" customHeight="1">
      <x:c r="A1190" s="10" t="str">
        <x:v>E1185</x:v>
      </x:c>
      <x:c r="B1190" s="10" t="str">
        <x:v>T24.07</x:v>
      </x:c>
      <x:c r="C1190" s="10" t="str">
        <x:v>Capital adequacy and risk-weighted assets</x:v>
      </x:c>
      <x:c r="D1190" s="14" t="str">
        <x:v>PART_OF</x:v>
      </x:c>
      <x:c r="E1190" s="10" t="str">
        <x:v>D24</x:v>
      </x:c>
      <x:c r="F1190" s="10" t="str">
        <x:v>Banking and credit analysis</x:v>
      </x:c>
      <x:c r="G1190" s="10" t="str">
        <x:v>Curriculum membership. Use this link to move between the topic and its finance area.</x:v>
      </x:c>
      <x:c r="H1190" s="10" t="str">
        <x:v>Classification only; this edge is not a causal or calculation relationship.</x:v>
      </x:c>
      <x:c r="I1190" s="10" t="str">
        <x:v>Curated curriculum relationship</x:v>
      </x:c>
    </x:row>
    <x:row r="1191" ht="58" customHeight="1">
      <x:c r="A1191" s="9" t="str">
        <x:v>E1186</x:v>
      </x:c>
      <x:c r="B1191" s="9" t="str">
        <x:v>T24.07</x:v>
      </x:c>
      <x:c r="C1191" s="9" t="str">
        <x:v>Capital adequacy and risk-weighted assets</x:v>
      </x:c>
      <x:c r="D1191" s="15" t="str">
        <x:v>EXPLORE_WITH</x:v>
      </x:c>
      <x:c r="E1191" s="9" t="str">
        <x:v>T24.08</x:v>
      </x:c>
      <x:c r="F1191" s="9" t="str">
        <x:v>Liquidity and funding risk</x:v>
      </x:c>
      <x:c r="G1191" s="9" t="str">
        <x:v>Study these together to connect credit origination, bank funding, loan losses and regulatory capital.</x:v>
      </x:c>
      <x:c r="H1191" s="9" t="str">
        <x:v>A topical exploration link, not a claim that one determines the other.</x:v>
      </x:c>
      <x:c r="I1191" s="9" t="str">
        <x:v>Curated curriculum relationship</x:v>
      </x:c>
    </x:row>
    <x:row r="1192" ht="58" customHeight="1">
      <x:c r="A1192" s="10" t="str">
        <x:v>E1187</x:v>
      </x:c>
      <x:c r="B1192" s="10" t="str">
        <x:v>T01.03</x:v>
      </x:c>
      <x:c r="C1192" s="10" t="str">
        <x:v>The financial system: households, businesses, governments, and intermediaries</x:v>
      </x:c>
      <x:c r="D1192" s="14" t="str">
        <x:v>RECOMMENDED_BEFORE</x:v>
      </x:c>
      <x:c r="E1192" s="10" t="str">
        <x:v>T24.07</x:v>
      </x:c>
      <x:c r="F1192" s="10" t="str">
        <x:v>Capital adequacy and risk-weighted assets</x:v>
      </x:c>
      <x:c r="G1192" s="10" t="str">
        <x:v>Suggested starting knowledge: The financial system: households, businesses, governments, and intermediaries. It helps you connect credit origination, bank funding, loan losses and regulatory capital.</x:v>
      </x:c>
      <x:c r="H1192" s="10" t="str">
        <x:v>Suggested learning order; learners can still explore freely.</x:v>
      </x:c>
      <x:c r="I1192" s="10" t="str">
        <x:v>Curated curriculum relationship</x:v>
      </x:c>
    </x:row>
    <x:row r="1193" ht="58" customHeight="1">
      <x:c r="A1193" s="9" t="str">
        <x:v>E1188</x:v>
      </x:c>
      <x:c r="B1193" s="9" t="str">
        <x:v>T24.08</x:v>
      </x:c>
      <x:c r="C1193" s="9" t="str">
        <x:v>Liquidity and funding risk</x:v>
      </x:c>
      <x:c r="D1193" s="15" t="str">
        <x:v>PART_OF</x:v>
      </x:c>
      <x:c r="E1193" s="9" t="str">
        <x:v>D24</x:v>
      </x:c>
      <x:c r="F1193" s="9" t="str">
        <x:v>Banking and credit analysis</x:v>
      </x:c>
      <x:c r="G1193" s="9" t="str">
        <x:v>Curriculum membership. Use this link to move between the topic and its finance area.</x:v>
      </x:c>
      <x:c r="H1193" s="9" t="str">
        <x:v>Classification only; this edge is not a causal or calculation relationship.</x:v>
      </x:c>
      <x:c r="I1193" s="9" t="str">
        <x:v>Curated curriculum relationship</x:v>
      </x:c>
    </x:row>
    <x:row r="1194" ht="58" customHeight="1">
      <x:c r="A1194" s="10" t="str">
        <x:v>E1189</x:v>
      </x:c>
      <x:c r="B1194" s="10" t="str">
        <x:v>T24.08</x:v>
      </x:c>
      <x:c r="C1194" s="10" t="str">
        <x:v>Liquidity and funding risk</x:v>
      </x:c>
      <x:c r="D1194" s="14" t="str">
        <x:v>EXPLORE_WITH</x:v>
      </x:c>
      <x:c r="E1194" s="10" t="str">
        <x:v>T24.06</x:v>
      </x:c>
      <x:c r="F1194" s="10" t="str">
        <x:v>Asset-liability management</x:v>
      </x:c>
      <x:c r="G1194" s="10" t="str">
        <x:v>Study these together to connect credit origination, bank funding, loan losses and regulatory capital.</x:v>
      </x:c>
      <x:c r="H1194" s="10" t="str">
        <x:v>A topical exploration link, not a claim that one determines the other.</x:v>
      </x:c>
      <x:c r="I1194" s="10" t="str">
        <x:v>Curated curriculum relationship</x:v>
      </x:c>
    </x:row>
    <x:row r="1195" ht="58" customHeight="1">
      <x:c r="A1195" s="9" t="str">
        <x:v>E1190</x:v>
      </x:c>
      <x:c r="B1195" s="9" t="str">
        <x:v>T01.03</x:v>
      </x:c>
      <x:c r="C1195" s="9" t="str">
        <x:v>The financial system: households, businesses, governments, and intermediaries</x:v>
      </x:c>
      <x:c r="D1195" s="15" t="str">
        <x:v>RECOMMENDED_BEFORE</x:v>
      </x:c>
      <x:c r="E1195" s="9" t="str">
        <x:v>T24.08</x:v>
      </x:c>
      <x:c r="F1195" s="9" t="str">
        <x:v>Liquidity and funding risk</x:v>
      </x:c>
      <x:c r="G1195" s="9" t="str">
        <x:v>Suggested starting knowledge: The financial system: households, businesses, governments, and intermediaries. It helps you connect credit origination, bank funding, loan losses and regulatory capital.</x:v>
      </x:c>
      <x:c r="H1195" s="9" t="str">
        <x:v>Suggested learning order; learners can still explore freely.</x:v>
      </x:c>
      <x:c r="I1195" s="9" t="str">
        <x:v>Curated curriculum relationship</x:v>
      </x:c>
    </x:row>
    <x:row r="1196" ht="58" customHeight="1">
      <x:c r="A1196" s="10" t="str">
        <x:v>E1191</x:v>
      </x:c>
      <x:c r="B1196" s="10" t="str">
        <x:v>T24.09</x:v>
      </x:c>
      <x:c r="C1196" s="10" t="str">
        <x:v>Loan origination and underwriting</x:v>
      </x:c>
      <x:c r="D1196" s="14" t="str">
        <x:v>PART_OF</x:v>
      </x:c>
      <x:c r="E1196" s="10" t="str">
        <x:v>D24</x:v>
      </x:c>
      <x:c r="F1196" s="10" t="str">
        <x:v>Banking and credit analysis</x:v>
      </x:c>
      <x:c r="G1196" s="10" t="str">
        <x:v>Curriculum membership. Use this link to move between the topic and its finance area.</x:v>
      </x:c>
      <x:c r="H1196" s="10" t="str">
        <x:v>Classification only; this edge is not a causal or calculation relationship.</x:v>
      </x:c>
      <x:c r="I1196" s="10" t="str">
        <x:v>Curated curriculum relationship</x:v>
      </x:c>
    </x:row>
    <x:row r="1197" ht="58" customHeight="1">
      <x:c r="A1197" s="9" t="str">
        <x:v>E1192</x:v>
      </x:c>
      <x:c r="B1197" s="9" t="str">
        <x:v>T24.09</x:v>
      </x:c>
      <x:c r="C1197" s="9" t="str">
        <x:v>Loan origination and underwriting</x:v>
      </x:c>
      <x:c r="D1197" s="15" t="str">
        <x:v>EXPLORE_WITH</x:v>
      </x:c>
      <x:c r="E1197" s="9" t="str">
        <x:v>T24.11</x:v>
      </x:c>
      <x:c r="F1197" s="9" t="str">
        <x:v>Credit ratings and credit scoring</x:v>
      </x:c>
      <x:c r="G1197" s="9" t="str">
        <x:v>Study these together to connect credit origination, bank funding, loan losses and regulatory capital.</x:v>
      </x:c>
      <x:c r="H1197" s="9" t="str">
        <x:v>A topical exploration link, not a claim that one determines the other.</x:v>
      </x:c>
      <x:c r="I1197" s="9" t="str">
        <x:v>Curated curriculum relationship</x:v>
      </x:c>
    </x:row>
    <x:row r="1198" ht="58" customHeight="1">
      <x:c r="A1198" s="10" t="str">
        <x:v>E1193</x:v>
      </x:c>
      <x:c r="B1198" s="10" t="str">
        <x:v>T01.03</x:v>
      </x:c>
      <x:c r="C1198" s="10" t="str">
        <x:v>The financial system: households, businesses, governments, and intermediaries</x:v>
      </x:c>
      <x:c r="D1198" s="14" t="str">
        <x:v>RECOMMENDED_BEFORE</x:v>
      </x:c>
      <x:c r="E1198" s="10" t="str">
        <x:v>T24.09</x:v>
      </x:c>
      <x:c r="F1198" s="10" t="str">
        <x:v>Loan origination and underwriting</x:v>
      </x:c>
      <x:c r="G1198" s="10" t="str">
        <x:v>Suggested starting knowledge: The financial system: households, businesses, governments, and intermediaries. It helps you connect credit origination, bank funding, loan losses and regulatory capital.</x:v>
      </x:c>
      <x:c r="H1198" s="10" t="str">
        <x:v>Suggested learning order; learners can still explore freely.</x:v>
      </x:c>
      <x:c r="I1198" s="10" t="str">
        <x:v>Curated curriculum relationship</x:v>
      </x:c>
    </x:row>
    <x:row r="1199" ht="58" customHeight="1">
      <x:c r="A1199" s="9" t="str">
        <x:v>E1194</x:v>
      </x:c>
      <x:c r="B1199" s="9" t="str">
        <x:v>T24.10</x:v>
      </x:c>
      <x:c r="C1199" s="9" t="str">
        <x:v>Retail, SME, and corporate lending</x:v>
      </x:c>
      <x:c r="D1199" s="15" t="str">
        <x:v>PART_OF</x:v>
      </x:c>
      <x:c r="E1199" s="9" t="str">
        <x:v>D24</x:v>
      </x:c>
      <x:c r="F1199" s="9" t="str">
        <x:v>Banking and credit analysis</x:v>
      </x:c>
      <x:c r="G1199" s="9" t="str">
        <x:v>Curriculum membership. Use this link to move between the topic and its finance area.</x:v>
      </x:c>
      <x:c r="H1199" s="9" t="str">
        <x:v>Classification only; this edge is not a causal or calculation relationship.</x:v>
      </x:c>
      <x:c r="I1199" s="9" t="str">
        <x:v>Curated curriculum relationship</x:v>
      </x:c>
    </x:row>
    <x:row r="1200" ht="58" customHeight="1">
      <x:c r="A1200" s="10" t="str">
        <x:v>E1195</x:v>
      </x:c>
      <x:c r="B1200" s="10" t="str">
        <x:v>T24.10</x:v>
      </x:c>
      <x:c r="C1200" s="10" t="str">
        <x:v>Retail, SME, and corporate lending</x:v>
      </x:c>
      <x:c r="D1200" s="14" t="str">
        <x:v>EXPLORE_WITH</x:v>
      </x:c>
      <x:c r="E1200" s="10" t="str">
        <x:v>T24.09</x:v>
      </x:c>
      <x:c r="F1200" s="10" t="str">
        <x:v>Loan origination and underwriting</x:v>
      </x:c>
      <x:c r="G1200" s="10" t="str">
        <x:v>Study these together to connect credit origination, bank funding, loan losses and regulatory capital.</x:v>
      </x:c>
      <x:c r="H1200" s="10" t="str">
        <x:v>A topical exploration link, not a claim that one determines the other.</x:v>
      </x:c>
      <x:c r="I1200" s="10" t="str">
        <x:v>Curated curriculum relationship</x:v>
      </x:c>
    </x:row>
    <x:row r="1201" ht="58" customHeight="1">
      <x:c r="A1201" s="9" t="str">
        <x:v>E1196</x:v>
      </x:c>
      <x:c r="B1201" s="9" t="str">
        <x:v>T01.03</x:v>
      </x:c>
      <x:c r="C1201" s="9" t="str">
        <x:v>The financial system: households, businesses, governments, and intermediaries</x:v>
      </x:c>
      <x:c r="D1201" s="15" t="str">
        <x:v>RECOMMENDED_BEFORE</x:v>
      </x:c>
      <x:c r="E1201" s="9" t="str">
        <x:v>T24.10</x:v>
      </x:c>
      <x:c r="F1201" s="9" t="str">
        <x:v>Retail, SME, and corporate lending</x:v>
      </x:c>
      <x:c r="G1201" s="9" t="str">
        <x:v>Suggested starting knowledge: The financial system: households, businesses, governments, and intermediaries. It helps you connect credit origination, bank funding, loan losses and regulatory capital.</x:v>
      </x:c>
      <x:c r="H1201" s="9" t="str">
        <x:v>Suggested learning order; learners can still explore freely.</x:v>
      </x:c>
      <x:c r="I1201" s="9" t="str">
        <x:v>Curated curriculum relationship</x:v>
      </x:c>
    </x:row>
    <x:row r="1202" ht="58" customHeight="1">
      <x:c r="A1202" s="10" t="str">
        <x:v>E1197</x:v>
      </x:c>
      <x:c r="B1202" s="10" t="str">
        <x:v>T24.11</x:v>
      </x:c>
      <x:c r="C1202" s="10" t="str">
        <x:v>Credit ratings and credit scoring</x:v>
      </x:c>
      <x:c r="D1202" s="14" t="str">
        <x:v>PART_OF</x:v>
      </x:c>
      <x:c r="E1202" s="10" t="str">
        <x:v>D24</x:v>
      </x:c>
      <x:c r="F1202" s="10" t="str">
        <x:v>Banking and credit analysis</x:v>
      </x:c>
      <x:c r="G1202" s="10" t="str">
        <x:v>Curriculum membership. Use this link to move between the topic and its finance area.</x:v>
      </x:c>
      <x:c r="H1202" s="10" t="str">
        <x:v>Classification only; this edge is not a causal or calculation relationship.</x:v>
      </x:c>
      <x:c r="I1202" s="10" t="str">
        <x:v>Curated curriculum relationship</x:v>
      </x:c>
    </x:row>
    <x:row r="1203" ht="58" customHeight="1">
      <x:c r="A1203" s="9" t="str">
        <x:v>E1198</x:v>
      </x:c>
      <x:c r="B1203" s="9" t="str">
        <x:v>T24.11</x:v>
      </x:c>
      <x:c r="C1203" s="9" t="str">
        <x:v>Credit ratings and credit scoring</x:v>
      </x:c>
      <x:c r="D1203" s="15" t="str">
        <x:v>EXPLORE_WITH</x:v>
      </x:c>
      <x:c r="E1203" s="9" t="str">
        <x:v>T24.12</x:v>
      </x:c>
      <x:c r="F1203" s="9" t="str">
        <x:v>Probability of default, loss given default, and exposure at default</x:v>
      </x:c>
      <x:c r="G1203" s="9" t="str">
        <x:v>Study these together to connect credit origination, bank funding, loan losses and regulatory capital.</x:v>
      </x:c>
      <x:c r="H1203" s="9" t="str">
        <x:v>A topical exploration link, not a claim that one determines the other.</x:v>
      </x:c>
      <x:c r="I1203" s="9" t="str">
        <x:v>Curated curriculum relationship</x:v>
      </x:c>
    </x:row>
    <x:row r="1204" ht="58" customHeight="1">
      <x:c r="A1204" s="10" t="str">
        <x:v>E1199</x:v>
      </x:c>
      <x:c r="B1204" s="10" t="str">
        <x:v>T01.03</x:v>
      </x:c>
      <x:c r="C1204" s="10" t="str">
        <x:v>The financial system: households, businesses, governments, and intermediaries</x:v>
      </x:c>
      <x:c r="D1204" s="14" t="str">
        <x:v>RECOMMENDED_BEFORE</x:v>
      </x:c>
      <x:c r="E1204" s="10" t="str">
        <x:v>T24.11</x:v>
      </x:c>
      <x:c r="F1204" s="10" t="str">
        <x:v>Credit ratings and credit scoring</x:v>
      </x:c>
      <x:c r="G1204" s="10" t="str">
        <x:v>Suggested starting knowledge: The financial system: households, businesses, governments, and intermediaries. It helps you connect credit origination, bank funding, loan losses and regulatory capital.</x:v>
      </x:c>
      <x:c r="H1204" s="10" t="str">
        <x:v>Suggested learning order; learners can still explore freely.</x:v>
      </x:c>
      <x:c r="I1204" s="10" t="str">
        <x:v>Curated curriculum relationship</x:v>
      </x:c>
    </x:row>
    <x:row r="1205" ht="58" customHeight="1">
      <x:c r="A1205" s="9" t="str">
        <x:v>E1200</x:v>
      </x:c>
      <x:c r="B1205" s="9" t="str">
        <x:v>T24.12</x:v>
      </x:c>
      <x:c r="C1205" s="9" t="str">
        <x:v>Probability of default, loss given default, and exposure at default</x:v>
      </x:c>
      <x:c r="D1205" s="15" t="str">
        <x:v>PART_OF</x:v>
      </x:c>
      <x:c r="E1205" s="9" t="str">
        <x:v>D24</x:v>
      </x:c>
      <x:c r="F1205" s="9" t="str">
        <x:v>Banking and credit analysis</x:v>
      </x:c>
      <x:c r="G1205" s="9" t="str">
        <x:v>Curriculum membership. Use this link to move between the topic and its finance area.</x:v>
      </x:c>
      <x:c r="H1205" s="9" t="str">
        <x:v>Classification only; this edge is not a causal or calculation relationship.</x:v>
      </x:c>
      <x:c r="I1205" s="9" t="str">
        <x:v>Curated curriculum relationship</x:v>
      </x:c>
    </x:row>
    <x:row r="1206" ht="58" customHeight="1">
      <x:c r="A1206" s="10" t="str">
        <x:v>E1201</x:v>
      </x:c>
      <x:c r="B1206" s="10" t="str">
        <x:v>T24.12</x:v>
      </x:c>
      <x:c r="C1206" s="10" t="str">
        <x:v>Probability of default, loss given default, and exposure at default</x:v>
      </x:c>
      <x:c r="D1206" s="14" t="str">
        <x:v>EXPLORE_WITH</x:v>
      </x:c>
      <x:c r="E1206" s="10" t="str">
        <x:v>T24.11</x:v>
      </x:c>
      <x:c r="F1206" s="10" t="str">
        <x:v>Credit ratings and credit scoring</x:v>
      </x:c>
      <x:c r="G1206" s="10" t="str">
        <x:v>Study these together to connect credit origination, bank funding, loan losses and regulatory capital.</x:v>
      </x:c>
      <x:c r="H1206" s="10" t="str">
        <x:v>A topical exploration link, not a claim that one determines the other.</x:v>
      </x:c>
      <x:c r="I1206" s="10" t="str">
        <x:v>Curated curriculum relationship</x:v>
      </x:c>
    </x:row>
    <x:row r="1207" ht="58" customHeight="1">
      <x:c r="A1207" s="9" t="str">
        <x:v>E1202</x:v>
      </x:c>
      <x:c r="B1207" s="9" t="str">
        <x:v>T01.03</x:v>
      </x:c>
      <x:c r="C1207" s="9" t="str">
        <x:v>The financial system: households, businesses, governments, and intermediaries</x:v>
      </x:c>
      <x:c r="D1207" s="15" t="str">
        <x:v>RECOMMENDED_BEFORE</x:v>
      </x:c>
      <x:c r="E1207" s="9" t="str">
        <x:v>T24.12</x:v>
      </x:c>
      <x:c r="F1207" s="9" t="str">
        <x:v>Probability of default, loss given default, and exposure at default</x:v>
      </x:c>
      <x:c r="G1207" s="9" t="str">
        <x:v>Suggested starting knowledge: The financial system: households, businesses, governments, and intermediaries. It helps you connect credit origination, bank funding, loan losses and regulatory capital.</x:v>
      </x:c>
      <x:c r="H1207" s="9" t="str">
        <x:v>Suggested learning order; learners can still explore freely.</x:v>
      </x:c>
      <x:c r="I1207" s="9" t="str">
        <x:v>Curated curriculum relationship</x:v>
      </x:c>
    </x:row>
    <x:row r="1208" ht="58" customHeight="1">
      <x:c r="A1208" s="10" t="str">
        <x:v>E1203</x:v>
      </x:c>
      <x:c r="B1208" s="10" t="str">
        <x:v>T24.13</x:v>
      </x:c>
      <x:c r="C1208" s="10" t="str">
        <x:v>Collateral, guarantees, and security structures</x:v>
      </x:c>
      <x:c r="D1208" s="14" t="str">
        <x:v>PART_OF</x:v>
      </x:c>
      <x:c r="E1208" s="10" t="str">
        <x:v>D24</x:v>
      </x:c>
      <x:c r="F1208" s="10" t="str">
        <x:v>Banking and credit analysis</x:v>
      </x:c>
      <x:c r="G1208" s="10" t="str">
        <x:v>Curriculum membership. Use this link to move between the topic and its finance area.</x:v>
      </x:c>
      <x:c r="H1208" s="10" t="str">
        <x:v>Classification only; this edge is not a causal or calculation relationship.</x:v>
      </x:c>
      <x:c r="I1208" s="10" t="str">
        <x:v>Curated curriculum relationship</x:v>
      </x:c>
    </x:row>
    <x:row r="1209" ht="58" customHeight="1">
      <x:c r="A1209" s="9" t="str">
        <x:v>E1204</x:v>
      </x:c>
      <x:c r="B1209" s="9" t="str">
        <x:v>T24.13</x:v>
      </x:c>
      <x:c r="C1209" s="9" t="str">
        <x:v>Collateral, guarantees, and security structures</x:v>
      </x:c>
      <x:c r="D1209" s="15" t="str">
        <x:v>EXPLORE_WITH</x:v>
      </x:c>
      <x:c r="E1209" s="9" t="str">
        <x:v>T24.14</x:v>
      </x:c>
      <x:c r="F1209" s="9" t="str">
        <x:v>Covenants and debt service capacity</x:v>
      </x:c>
      <x:c r="G1209" s="9" t="str">
        <x:v>Study these together to connect credit origination, bank funding, loan losses and regulatory capital.</x:v>
      </x:c>
      <x:c r="H1209" s="9" t="str">
        <x:v>A topical exploration link, not a claim that one determines the other.</x:v>
      </x:c>
      <x:c r="I1209" s="9" t="str">
        <x:v>Curated curriculum relationship</x:v>
      </x:c>
    </x:row>
    <x:row r="1210" ht="58" customHeight="1">
      <x:c r="A1210" s="10" t="str">
        <x:v>E1205</x:v>
      </x:c>
      <x:c r="B1210" s="10" t="str">
        <x:v>T01.03</x:v>
      </x:c>
      <x:c r="C1210" s="10" t="str">
        <x:v>The financial system: households, businesses, governments, and intermediaries</x:v>
      </x:c>
      <x:c r="D1210" s="14" t="str">
        <x:v>RECOMMENDED_BEFORE</x:v>
      </x:c>
      <x:c r="E1210" s="10" t="str">
        <x:v>T24.13</x:v>
      </x:c>
      <x:c r="F1210" s="10" t="str">
        <x:v>Collateral, guarantees, and security structures</x:v>
      </x:c>
      <x:c r="G1210" s="10" t="str">
        <x:v>Suggested starting knowledge: The financial system: households, businesses, governments, and intermediaries. It helps you connect credit origination, bank funding, loan losses and regulatory capital.</x:v>
      </x:c>
      <x:c r="H1210" s="10" t="str">
        <x:v>Suggested learning order; learners can still explore freely.</x:v>
      </x:c>
      <x:c r="I1210" s="10" t="str">
        <x:v>Curated curriculum relationship</x:v>
      </x:c>
    </x:row>
    <x:row r="1211" ht="58" customHeight="1">
      <x:c r="A1211" s="9" t="str">
        <x:v>E1206</x:v>
      </x:c>
      <x:c r="B1211" s="9" t="str">
        <x:v>T24.14</x:v>
      </x:c>
      <x:c r="C1211" s="9" t="str">
        <x:v>Covenants and debt service capacity</x:v>
      </x:c>
      <x:c r="D1211" s="15" t="str">
        <x:v>PART_OF</x:v>
      </x:c>
      <x:c r="E1211" s="9" t="str">
        <x:v>D24</x:v>
      </x:c>
      <x:c r="F1211" s="9" t="str">
        <x:v>Banking and credit analysis</x:v>
      </x:c>
      <x:c r="G1211" s="9" t="str">
        <x:v>Curriculum membership. Use this link to move between the topic and its finance area.</x:v>
      </x:c>
      <x:c r="H1211" s="9" t="str">
        <x:v>Classification only; this edge is not a causal or calculation relationship.</x:v>
      </x:c>
      <x:c r="I1211" s="9" t="str">
        <x:v>Curated curriculum relationship</x:v>
      </x:c>
    </x:row>
    <x:row r="1212" ht="58" customHeight="1">
      <x:c r="A1212" s="10" t="str">
        <x:v>E1207</x:v>
      </x:c>
      <x:c r="B1212" s="10" t="str">
        <x:v>T24.14</x:v>
      </x:c>
      <x:c r="C1212" s="10" t="str">
        <x:v>Covenants and debt service capacity</x:v>
      </x:c>
      <x:c r="D1212" s="14" t="str">
        <x:v>EXPLORE_WITH</x:v>
      </x:c>
      <x:c r="E1212" s="10" t="str">
        <x:v>T24.13</x:v>
      </x:c>
      <x:c r="F1212" s="10" t="str">
        <x:v>Collateral, guarantees, and security structures</x:v>
      </x:c>
      <x:c r="G1212" s="10" t="str">
        <x:v>Study these together to connect credit origination, bank funding, loan losses and regulatory capital.</x:v>
      </x:c>
      <x:c r="H1212" s="10" t="str">
        <x:v>A topical exploration link, not a claim that one determines the other.</x:v>
      </x:c>
      <x:c r="I1212" s="10" t="str">
        <x:v>Curated curriculum relationship</x:v>
      </x:c>
    </x:row>
    <x:row r="1213" ht="58" customHeight="1">
      <x:c r="A1213" s="9" t="str">
        <x:v>E1208</x:v>
      </x:c>
      <x:c r="B1213" s="9" t="str">
        <x:v>T01.03</x:v>
      </x:c>
      <x:c r="C1213" s="9" t="str">
        <x:v>The financial system: households, businesses, governments, and intermediaries</x:v>
      </x:c>
      <x:c r="D1213" s="15" t="str">
        <x:v>RECOMMENDED_BEFORE</x:v>
      </x:c>
      <x:c r="E1213" s="9" t="str">
        <x:v>T24.14</x:v>
      </x:c>
      <x:c r="F1213" s="9" t="str">
        <x:v>Covenants and debt service capacity</x:v>
      </x:c>
      <x:c r="G1213" s="9" t="str">
        <x:v>Suggested starting knowledge: The financial system: households, businesses, governments, and intermediaries. It helps you connect credit origination, bank funding, loan losses and regulatory capital.</x:v>
      </x:c>
      <x:c r="H1213" s="9" t="str">
        <x:v>Suggested learning order; learners can still explore freely.</x:v>
      </x:c>
      <x:c r="I1213" s="9" t="str">
        <x:v>Curated curriculum relationship</x:v>
      </x:c>
    </x:row>
    <x:row r="1214" ht="58" customHeight="1">
      <x:c r="A1214" s="10" t="str">
        <x:v>E1209</x:v>
      </x:c>
      <x:c r="B1214" s="10" t="str">
        <x:v>T24.15</x:v>
      </x:c>
      <x:c r="C1214" s="10" t="str">
        <x:v>Non-performing assets and provisioning</x:v>
      </x:c>
      <x:c r="D1214" s="14" t="str">
        <x:v>PART_OF</x:v>
      </x:c>
      <x:c r="E1214" s="10" t="str">
        <x:v>D24</x:v>
      </x:c>
      <x:c r="F1214" s="10" t="str">
        <x:v>Banking and credit analysis</x:v>
      </x:c>
      <x:c r="G1214" s="10" t="str">
        <x:v>Curriculum membership. Use this link to move between the topic and its finance area.</x:v>
      </x:c>
      <x:c r="H1214" s="10" t="str">
        <x:v>Classification only; this edge is not a causal or calculation relationship.</x:v>
      </x:c>
      <x:c r="I1214" s="10" t="str">
        <x:v>Curated curriculum relationship</x:v>
      </x:c>
    </x:row>
    <x:row r="1215" ht="58" customHeight="1">
      <x:c r="A1215" s="9" t="str">
        <x:v>E1210</x:v>
      </x:c>
      <x:c r="B1215" s="9" t="str">
        <x:v>T24.15</x:v>
      </x:c>
      <x:c r="C1215" s="9" t="str">
        <x:v>Non-performing assets and provisioning</x:v>
      </x:c>
      <x:c r="D1215" s="15" t="str">
        <x:v>EXPLORE_WITH</x:v>
      </x:c>
      <x:c r="E1215" s="9" t="str">
        <x:v>T24.16</x:v>
      </x:c>
      <x:c r="F1215" s="9" t="str">
        <x:v>Expected credit losses</x:v>
      </x:c>
      <x:c r="G1215" s="9" t="str">
        <x:v>Study these together to connect credit origination, bank funding, loan losses and regulatory capital.</x:v>
      </x:c>
      <x:c r="H1215" s="9" t="str">
        <x:v>A topical exploration link, not a claim that one determines the other.</x:v>
      </x:c>
      <x:c r="I1215" s="9" t="str">
        <x:v>Curated curriculum relationship</x:v>
      </x:c>
    </x:row>
    <x:row r="1216" ht="58" customHeight="1">
      <x:c r="A1216" s="10" t="str">
        <x:v>E1211</x:v>
      </x:c>
      <x:c r="B1216" s="10" t="str">
        <x:v>T01.03</x:v>
      </x:c>
      <x:c r="C1216" s="10" t="str">
        <x:v>The financial system: households, businesses, governments, and intermediaries</x:v>
      </x:c>
      <x:c r="D1216" s="14" t="str">
        <x:v>RECOMMENDED_BEFORE</x:v>
      </x:c>
      <x:c r="E1216" s="10" t="str">
        <x:v>T24.15</x:v>
      </x:c>
      <x:c r="F1216" s="10" t="str">
        <x:v>Non-performing assets and provisioning</x:v>
      </x:c>
      <x:c r="G1216" s="10" t="str">
        <x:v>Suggested starting knowledge: The financial system: households, businesses, governments, and intermediaries. It helps you connect credit origination, bank funding, loan losses and regulatory capital.</x:v>
      </x:c>
      <x:c r="H1216" s="10" t="str">
        <x:v>Suggested learning order; learners can still explore freely.</x:v>
      </x:c>
      <x:c r="I1216" s="10" t="str">
        <x:v>Curated curriculum relationship</x:v>
      </x:c>
    </x:row>
    <x:row r="1217" ht="58" customHeight="1">
      <x:c r="A1217" s="9" t="str">
        <x:v>E1212</x:v>
      </x:c>
      <x:c r="B1217" s="9" t="str">
        <x:v>T24.16</x:v>
      </x:c>
      <x:c r="C1217" s="9" t="str">
        <x:v>Expected credit losses</x:v>
      </x:c>
      <x:c r="D1217" s="15" t="str">
        <x:v>PART_OF</x:v>
      </x:c>
      <x:c r="E1217" s="9" t="str">
        <x:v>D24</x:v>
      </x:c>
      <x:c r="F1217" s="9" t="str">
        <x:v>Banking and credit analysis</x:v>
      </x:c>
      <x:c r="G1217" s="9" t="str">
        <x:v>Curriculum membership. Use this link to move between the topic and its finance area.</x:v>
      </x:c>
      <x:c r="H1217" s="9" t="str">
        <x:v>Classification only; this edge is not a causal or calculation relationship.</x:v>
      </x:c>
      <x:c r="I1217" s="9" t="str">
        <x:v>Curated curriculum relationship</x:v>
      </x:c>
    </x:row>
    <x:row r="1218" ht="58" customHeight="1">
      <x:c r="A1218" s="10" t="str">
        <x:v>E1213</x:v>
      </x:c>
      <x:c r="B1218" s="10" t="str">
        <x:v>T24.16</x:v>
      </x:c>
      <x:c r="C1218" s="10" t="str">
        <x:v>Expected credit losses</x:v>
      </x:c>
      <x:c r="D1218" s="14" t="str">
        <x:v>EXPLORE_WITH</x:v>
      </x:c>
      <x:c r="E1218" s="10" t="str">
        <x:v>T24.15</x:v>
      </x:c>
      <x:c r="F1218" s="10" t="str">
        <x:v>Non-performing assets and provisioning</x:v>
      </x:c>
      <x:c r="G1218" s="10" t="str">
        <x:v>Study these together to connect credit origination, bank funding, loan losses and regulatory capital.</x:v>
      </x:c>
      <x:c r="H1218" s="10" t="str">
        <x:v>A topical exploration link, not a claim that one determines the other.</x:v>
      </x:c>
      <x:c r="I1218" s="10" t="str">
        <x:v>Curated curriculum relationship</x:v>
      </x:c>
    </x:row>
    <x:row r="1219" ht="58" customHeight="1">
      <x:c r="A1219" s="9" t="str">
        <x:v>E1214</x:v>
      </x:c>
      <x:c r="B1219" s="9" t="str">
        <x:v>T01.03</x:v>
      </x:c>
      <x:c r="C1219" s="9" t="str">
        <x:v>The financial system: households, businesses, governments, and intermediaries</x:v>
      </x:c>
      <x:c r="D1219" s="15" t="str">
        <x:v>RECOMMENDED_BEFORE</x:v>
      </x:c>
      <x:c r="E1219" s="9" t="str">
        <x:v>T24.16</x:v>
      </x:c>
      <x:c r="F1219" s="9" t="str">
        <x:v>Expected credit losses</x:v>
      </x:c>
      <x:c r="G1219" s="9" t="str">
        <x:v>Suggested starting knowledge: The financial system: households, businesses, governments, and intermediaries. It helps you connect credit origination, bank funding, loan losses and regulatory capital.</x:v>
      </x:c>
      <x:c r="H1219" s="9" t="str">
        <x:v>Suggested learning order; learners can still explore freely.</x:v>
      </x:c>
      <x:c r="I1219" s="9" t="str">
        <x:v>Curated curriculum relationship</x:v>
      </x:c>
    </x:row>
    <x:row r="1220" ht="58" customHeight="1">
      <x:c r="A1220" s="10" t="str">
        <x:v>E1215</x:v>
      </x:c>
      <x:c r="B1220" s="10" t="str">
        <x:v>T24.17</x:v>
      </x:c>
      <x:c r="C1220" s="10" t="str">
        <x:v>Loan restructuring and recovery</x:v>
      </x:c>
      <x:c r="D1220" s="14" t="str">
        <x:v>PART_OF</x:v>
      </x:c>
      <x:c r="E1220" s="10" t="str">
        <x:v>D24</x:v>
      </x:c>
      <x:c r="F1220" s="10" t="str">
        <x:v>Banking and credit analysis</x:v>
      </x:c>
      <x:c r="G1220" s="10" t="str">
        <x:v>Curriculum membership. Use this link to move between the topic and its finance area.</x:v>
      </x:c>
      <x:c r="H1220" s="10" t="str">
        <x:v>Classification only; this edge is not a causal or calculation relationship.</x:v>
      </x:c>
      <x:c r="I1220" s="10" t="str">
        <x:v>Curated curriculum relationship</x:v>
      </x:c>
    </x:row>
    <x:row r="1221" ht="58" customHeight="1">
      <x:c r="A1221" s="9" t="str">
        <x:v>E1216</x:v>
      </x:c>
      <x:c r="B1221" s="9" t="str">
        <x:v>T24.17</x:v>
      </x:c>
      <x:c r="C1221" s="9" t="str">
        <x:v>Loan restructuring and recovery</x:v>
      </x:c>
      <x:c r="D1221" s="15" t="str">
        <x:v>EXPLORE_WITH</x:v>
      </x:c>
      <x:c r="E1221" s="9" t="str">
        <x:v>T24.15</x:v>
      </x:c>
      <x:c r="F1221" s="9" t="str">
        <x:v>Non-performing assets and provisioning</x:v>
      </x:c>
      <x:c r="G1221" s="9" t="str">
        <x:v>Study these together to connect credit origination, bank funding, loan losses and regulatory capital.</x:v>
      </x:c>
      <x:c r="H1221" s="9" t="str">
        <x:v>A topical exploration link, not a claim that one determines the other.</x:v>
      </x:c>
      <x:c r="I1221" s="9" t="str">
        <x:v>Curated curriculum relationship</x:v>
      </x:c>
    </x:row>
    <x:row r="1222" ht="58" customHeight="1">
      <x:c r="A1222" s="10" t="str">
        <x:v>E1217</x:v>
      </x:c>
      <x:c r="B1222" s="10" t="str">
        <x:v>T01.03</x:v>
      </x:c>
      <x:c r="C1222" s="10" t="str">
        <x:v>The financial system: households, businesses, governments, and intermediaries</x:v>
      </x:c>
      <x:c r="D1222" s="14" t="str">
        <x:v>RECOMMENDED_BEFORE</x:v>
      </x:c>
      <x:c r="E1222" s="10" t="str">
        <x:v>T24.17</x:v>
      </x:c>
      <x:c r="F1222" s="10" t="str">
        <x:v>Loan restructuring and recovery</x:v>
      </x:c>
      <x:c r="G1222" s="10" t="str">
        <x:v>Suggested starting knowledge: The financial system: households, businesses, governments, and intermediaries. It helps you connect credit origination, bank funding, loan losses and regulatory capital.</x:v>
      </x:c>
      <x:c r="H1222" s="10" t="str">
        <x:v>Suggested learning order; learners can still explore freely.</x:v>
      </x:c>
      <x:c r="I1222" s="10" t="str">
        <x:v>Curated curriculum relationship</x:v>
      </x:c>
    </x:row>
    <x:row r="1223" ht="58" customHeight="1">
      <x:c r="A1223" s="9" t="str">
        <x:v>E1218</x:v>
      </x:c>
      <x:c r="B1223" s="9" t="str">
        <x:v>T24.18</x:v>
      </x:c>
      <x:c r="C1223" s="9" t="str">
        <x:v>NBFCs, microfinance, and housing finance</x:v>
      </x:c>
      <x:c r="D1223" s="15" t="str">
        <x:v>PART_OF</x:v>
      </x:c>
      <x:c r="E1223" s="9" t="str">
        <x:v>D24</x:v>
      </x:c>
      <x:c r="F1223" s="9" t="str">
        <x:v>Banking and credit analysis</x:v>
      </x:c>
      <x:c r="G1223" s="9" t="str">
        <x:v>Curriculum membership. Use this link to move between the topic and its finance area.</x:v>
      </x:c>
      <x:c r="H1223" s="9" t="str">
        <x:v>Classification only; this edge is not a causal or calculation relationship.</x:v>
      </x:c>
      <x:c r="I1223" s="9" t="str">
        <x:v>Curated curriculum relationship</x:v>
      </x:c>
    </x:row>
    <x:row r="1224" ht="58" customHeight="1">
      <x:c r="A1224" s="10" t="str">
        <x:v>E1219</x:v>
      </x:c>
      <x:c r="B1224" s="10" t="str">
        <x:v>T24.18</x:v>
      </x:c>
      <x:c r="C1224" s="10" t="str">
        <x:v>NBFCs, microfinance, and housing finance</x:v>
      </x:c>
      <x:c r="D1224" s="14" t="str">
        <x:v>EXPLORE_WITH</x:v>
      </x:c>
      <x:c r="E1224" s="10" t="str">
        <x:v>T24.09</x:v>
      </x:c>
      <x:c r="F1224" s="10" t="str">
        <x:v>Loan origination and underwriting</x:v>
      </x:c>
      <x:c r="G1224" s="10" t="str">
        <x:v>Study these together to connect credit origination, bank funding, loan losses and regulatory capital.</x:v>
      </x:c>
      <x:c r="H1224" s="10" t="str">
        <x:v>A topical exploration link, not a claim that one determines the other.</x:v>
      </x:c>
      <x:c r="I1224" s="10" t="str">
        <x:v>Curated curriculum relationship</x:v>
      </x:c>
    </x:row>
    <x:row r="1225" ht="58" customHeight="1">
      <x:c r="A1225" s="9" t="str">
        <x:v>E1220</x:v>
      </x:c>
      <x:c r="B1225" s="9" t="str">
        <x:v>T01.03</x:v>
      </x:c>
      <x:c r="C1225" s="9" t="str">
        <x:v>The financial system: households, businesses, governments, and intermediaries</x:v>
      </x:c>
      <x:c r="D1225" s="15" t="str">
        <x:v>RECOMMENDED_BEFORE</x:v>
      </x:c>
      <x:c r="E1225" s="9" t="str">
        <x:v>T24.18</x:v>
      </x:c>
      <x:c r="F1225" s="9" t="str">
        <x:v>NBFCs, microfinance, and housing finance</x:v>
      </x:c>
      <x:c r="G1225" s="9" t="str">
        <x:v>Suggested starting knowledge: The financial system: households, businesses, governments, and intermediaries. It helps you connect credit origination, bank funding, loan losses and regulatory capital.</x:v>
      </x:c>
      <x:c r="H1225" s="9" t="str">
        <x:v>Suggested learning order; learners can still explore freely.</x:v>
      </x:c>
      <x:c r="I1225" s="9" t="str">
        <x:v>Curated curriculum relationship</x:v>
      </x:c>
    </x:row>
    <x:row r="1226" ht="58" customHeight="1">
      <x:c r="A1226" s="10" t="str">
        <x:v>E1221</x:v>
      </x:c>
      <x:c r="B1226" s="10" t="str">
        <x:v>T24.19</x:v>
      </x:c>
      <x:c r="C1226" s="10" t="str">
        <x:v>Securitisation and loan sales</x:v>
      </x:c>
      <x:c r="D1226" s="14" t="str">
        <x:v>PART_OF</x:v>
      </x:c>
      <x:c r="E1226" s="10" t="str">
        <x:v>D24</x:v>
      </x:c>
      <x:c r="F1226" s="10" t="str">
        <x:v>Banking and credit analysis</x:v>
      </x:c>
      <x:c r="G1226" s="10" t="str">
        <x:v>Curriculum membership. Use this link to move between the topic and its finance area.</x:v>
      </x:c>
      <x:c r="H1226" s="10" t="str">
        <x:v>Classification only; this edge is not a causal or calculation relationship.</x:v>
      </x:c>
      <x:c r="I1226" s="10" t="str">
        <x:v>Curated curriculum relationship</x:v>
      </x:c>
    </x:row>
    <x:row r="1227" ht="58" customHeight="1">
      <x:c r="A1227" s="9" t="str">
        <x:v>E1222</x:v>
      </x:c>
      <x:c r="B1227" s="9" t="str">
        <x:v>T24.19</x:v>
      </x:c>
      <x:c r="C1227" s="9" t="str">
        <x:v>Securitisation and loan sales</x:v>
      </x:c>
      <x:c r="D1227" s="15" t="str">
        <x:v>EXPLORE_WITH</x:v>
      </x:c>
      <x:c r="E1227" s="9" t="str">
        <x:v>T24.03</x:v>
      </x:c>
      <x:c r="F1227" s="9" t="str">
        <x:v>Deposits, lending, and wholesale funding</x:v>
      </x:c>
      <x:c r="G1227" s="9" t="str">
        <x:v>Study these together to connect credit origination, bank funding, loan losses and regulatory capital.</x:v>
      </x:c>
      <x:c r="H1227" s="9" t="str">
        <x:v>A topical exploration link, not a claim that one determines the other.</x:v>
      </x:c>
      <x:c r="I1227" s="9" t="str">
        <x:v>Curated curriculum relationship</x:v>
      </x:c>
    </x:row>
    <x:row r="1228" ht="58" customHeight="1">
      <x:c r="A1228" s="10" t="str">
        <x:v>E1223</x:v>
      </x:c>
      <x:c r="B1228" s="10" t="str">
        <x:v>T01.03</x:v>
      </x:c>
      <x:c r="C1228" s="10" t="str">
        <x:v>The financial system: households, businesses, governments, and intermediaries</x:v>
      </x:c>
      <x:c r="D1228" s="14" t="str">
        <x:v>RECOMMENDED_BEFORE</x:v>
      </x:c>
      <x:c r="E1228" s="10" t="str">
        <x:v>T24.19</x:v>
      </x:c>
      <x:c r="F1228" s="10" t="str">
        <x:v>Securitisation and loan sales</x:v>
      </x:c>
      <x:c r="G1228" s="10" t="str">
        <x:v>Suggested starting knowledge: The financial system: households, businesses, governments, and intermediaries. It helps you connect credit origination, bank funding, loan losses and regulatory capital.</x:v>
      </x:c>
      <x:c r="H1228" s="10" t="str">
        <x:v>Suggested learning order; learners can still explore freely.</x:v>
      </x:c>
      <x:c r="I1228" s="10" t="str">
        <x:v>Curated curriculum relationship</x:v>
      </x:c>
    </x:row>
    <x:row r="1229" ht="58" customHeight="1">
      <x:c r="A1229" s="9" t="str">
        <x:v>E1224</x:v>
      </x:c>
      <x:c r="B1229" s="9" t="str">
        <x:v>T25.01</x:v>
      </x:c>
      <x:c r="C1229" s="9" t="str">
        <x:v>Market, credit, liquidity, and operational risk</x:v>
      </x:c>
      <x:c r="D1229" s="15" t="str">
        <x:v>PART_OF</x:v>
      </x:c>
      <x:c r="E1229" s="9" t="str">
        <x:v>D25</x:v>
      </x:c>
      <x:c r="F1229" s="9" t="str">
        <x:v>Financial risk management</x:v>
      </x:c>
      <x:c r="G1229" s="9" t="str">
        <x:v>Curriculum membership. Use this link to move between the topic and its finance area.</x:v>
      </x:c>
      <x:c r="H1229" s="9" t="str">
        <x:v>Classification only; this edge is not a causal or calculation relationship.</x:v>
      </x:c>
      <x:c r="I1229" s="9" t="str">
        <x:v>Curated curriculum relationship</x:v>
      </x:c>
    </x:row>
    <x:row r="1230" ht="58" customHeight="1">
      <x:c r="A1230" s="10" t="str">
        <x:v>E1225</x:v>
      </x:c>
      <x:c r="B1230" s="10" t="str">
        <x:v>T25.01</x:v>
      </x:c>
      <x:c r="C1230" s="10" t="str">
        <x:v>Market, credit, liquidity, and operational risk</x:v>
      </x:c>
      <x:c r="D1230" s="14" t="str">
        <x:v>EXPLORE_WITH</x:v>
      </x:c>
      <x:c r="E1230" s="10" t="str">
        <x:v>T25.09</x:v>
      </x:c>
      <x:c r="F1230" s="10" t="str">
        <x:v>Risk limits, risk appetite, and risk governance</x:v>
      </x:c>
      <x:c r="G1230" s="10" t="str">
        <x:v>Study these together to identify exposures, measure losses and design governance and controls.</x:v>
      </x:c>
      <x:c r="H1230" s="10" t="str">
        <x:v>A topical exploration link, not a claim that one determines the other.</x:v>
      </x:c>
      <x:c r="I1230" s="10" t="str">
        <x:v>Curated curriculum relationship</x:v>
      </x:c>
    </x:row>
    <x:row r="1231" ht="58" customHeight="1">
      <x:c r="A1231" s="9" t="str">
        <x:v>E1226</x:v>
      </x:c>
      <x:c r="B1231" s="9" t="str">
        <x:v>T02.08</x:v>
      </x:c>
      <x:c r="C1231" s="9" t="str">
        <x:v>Expected value, variance, standard deviation, and covariance</x:v>
      </x:c>
      <x:c r="D1231" s="15" t="str">
        <x:v>RECOMMENDED_BEFORE</x:v>
      </x:c>
      <x:c r="E1231" s="9" t="str">
        <x:v>T25.01</x:v>
      </x:c>
      <x:c r="F1231" s="9" t="str">
        <x:v>Market, credit, liquidity, and operational risk</x:v>
      </x:c>
      <x:c r="G1231" s="9" t="str">
        <x:v>Suggested starting knowledge: Expected value, variance, standard deviation, and covariance. It helps you identify exposures, measure losses and design governance and controls.</x:v>
      </x:c>
      <x:c r="H1231" s="9" t="str">
        <x:v>Suggested learning order; learners can still explore freely.</x:v>
      </x:c>
      <x:c r="I1231" s="9" t="str">
        <x:v>Curated curriculum relationship</x:v>
      </x:c>
    </x:row>
    <x:row r="1232" ht="58" customHeight="1">
      <x:c r="A1232" s="10" t="str">
        <x:v>E1227</x:v>
      </x:c>
      <x:c r="B1232" s="10" t="str">
        <x:v>T25.02</x:v>
      </x:c>
      <x:c r="C1232" s="10" t="str">
        <x:v>Business, strategic, and reputational risk</x:v>
      </x:c>
      <x:c r="D1232" s="14" t="str">
        <x:v>PART_OF</x:v>
      </x:c>
      <x:c r="E1232" s="10" t="str">
        <x:v>D25</x:v>
      </x:c>
      <x:c r="F1232" s="10" t="str">
        <x:v>Financial risk management</x:v>
      </x:c>
      <x:c r="G1232" s="10" t="str">
        <x:v>Curriculum membership. Use this link to move between the topic and its finance area.</x:v>
      </x:c>
      <x:c r="H1232" s="10" t="str">
        <x:v>Classification only; this edge is not a causal or calculation relationship.</x:v>
      </x:c>
      <x:c r="I1232" s="10" t="str">
        <x:v>Curated curriculum relationship</x:v>
      </x:c>
    </x:row>
    <x:row r="1233" ht="58" customHeight="1">
      <x:c r="A1233" s="9" t="str">
        <x:v>E1228</x:v>
      </x:c>
      <x:c r="B1233" s="9" t="str">
        <x:v>T25.02</x:v>
      </x:c>
      <x:c r="C1233" s="9" t="str">
        <x:v>Business, strategic, and reputational risk</x:v>
      </x:c>
      <x:c r="D1233" s="15" t="str">
        <x:v>EXPLORE_WITH</x:v>
      </x:c>
      <x:c r="E1233" s="9" t="str">
        <x:v>T25.14</x:v>
      </x:c>
      <x:c r="F1233" s="9" t="str">
        <x:v>Enterprise risk management</x:v>
      </x:c>
      <x:c r="G1233" s="9" t="str">
        <x:v>Study these together to identify exposures, measure losses and design governance and controls.</x:v>
      </x:c>
      <x:c r="H1233" s="9" t="str">
        <x:v>A topical exploration link, not a claim that one determines the other.</x:v>
      </x:c>
      <x:c r="I1233" s="9" t="str">
        <x:v>Curated curriculum relationship</x:v>
      </x:c>
    </x:row>
    <x:row r="1234" ht="58" customHeight="1">
      <x:c r="A1234" s="10" t="str">
        <x:v>E1229</x:v>
      </x:c>
      <x:c r="B1234" s="10" t="str">
        <x:v>T02.08</x:v>
      </x:c>
      <x:c r="C1234" s="10" t="str">
        <x:v>Expected value, variance, standard deviation, and covariance</x:v>
      </x:c>
      <x:c r="D1234" s="14" t="str">
        <x:v>RECOMMENDED_BEFORE</x:v>
      </x:c>
      <x:c r="E1234" s="10" t="str">
        <x:v>T25.02</x:v>
      </x:c>
      <x:c r="F1234" s="10" t="str">
        <x:v>Business, strategic, and reputational risk</x:v>
      </x:c>
      <x:c r="G1234" s="10" t="str">
        <x:v>Suggested starting knowledge: Expected value, variance, standard deviation, and covariance. It helps you identify exposures, measure losses and design governance and controls.</x:v>
      </x:c>
      <x:c r="H1234" s="10" t="str">
        <x:v>Suggested learning order; learners can still explore freely.</x:v>
      </x:c>
      <x:c r="I1234" s="10" t="str">
        <x:v>Curated curriculum relationship</x:v>
      </x:c>
    </x:row>
    <x:row r="1235" ht="58" customHeight="1">
      <x:c r="A1235" s="9" t="str">
        <x:v>E1230</x:v>
      </x:c>
      <x:c r="B1235" s="9" t="str">
        <x:v>T25.03</x:v>
      </x:c>
      <x:c r="C1235" s="9" t="str">
        <x:v>Counterparty and settlement risk</x:v>
      </x:c>
      <x:c r="D1235" s="15" t="str">
        <x:v>PART_OF</x:v>
      </x:c>
      <x:c r="E1235" s="9" t="str">
        <x:v>D25</x:v>
      </x:c>
      <x:c r="F1235" s="9" t="str">
        <x:v>Financial risk management</x:v>
      </x:c>
      <x:c r="G1235" s="9" t="str">
        <x:v>Curriculum membership. Use this link to move between the topic and its finance area.</x:v>
      </x:c>
      <x:c r="H1235" s="9" t="str">
        <x:v>Classification only; this edge is not a causal or calculation relationship.</x:v>
      </x:c>
      <x:c r="I1235" s="9" t="str">
        <x:v>Curated curriculum relationship</x:v>
      </x:c>
    </x:row>
    <x:row r="1236" ht="58" customHeight="1">
      <x:c r="A1236" s="10" t="str">
        <x:v>E1231</x:v>
      </x:c>
      <x:c r="B1236" s="10" t="str">
        <x:v>T25.03</x:v>
      </x:c>
      <x:c r="C1236" s="10" t="str">
        <x:v>Counterparty and settlement risk</x:v>
      </x:c>
      <x:c r="D1236" s="14" t="str">
        <x:v>EXPLORE_WITH</x:v>
      </x:c>
      <x:c r="E1236" s="10" t="str">
        <x:v>T25.01</x:v>
      </x:c>
      <x:c r="F1236" s="10" t="str">
        <x:v>Market, credit, liquidity, and operational risk</x:v>
      </x:c>
      <x:c r="G1236" s="10" t="str">
        <x:v>Study these together to identify exposures, measure losses and design governance and controls.</x:v>
      </x:c>
      <x:c r="H1236" s="10" t="str">
        <x:v>A topical exploration link, not a claim that one determines the other.</x:v>
      </x:c>
      <x:c r="I1236" s="10" t="str">
        <x:v>Curated curriculum relationship</x:v>
      </x:c>
    </x:row>
    <x:row r="1237" ht="58" customHeight="1">
      <x:c r="A1237" s="9" t="str">
        <x:v>E1232</x:v>
      </x:c>
      <x:c r="B1237" s="9" t="str">
        <x:v>T02.08</x:v>
      </x:c>
      <x:c r="C1237" s="9" t="str">
        <x:v>Expected value, variance, standard deviation, and covariance</x:v>
      </x:c>
      <x:c r="D1237" s="15" t="str">
        <x:v>RECOMMENDED_BEFORE</x:v>
      </x:c>
      <x:c r="E1237" s="9" t="str">
        <x:v>T25.03</x:v>
      </x:c>
      <x:c r="F1237" s="9" t="str">
        <x:v>Counterparty and settlement risk</x:v>
      </x:c>
      <x:c r="G1237" s="9" t="str">
        <x:v>Suggested starting knowledge: Expected value, variance, standard deviation, and covariance. It helps you identify exposures, measure losses and design governance and controls.</x:v>
      </x:c>
      <x:c r="H1237" s="9" t="str">
        <x:v>Suggested learning order; learners can still explore freely.</x:v>
      </x:c>
      <x:c r="I1237" s="9" t="str">
        <x:v>Curated curriculum relationship</x:v>
      </x:c>
    </x:row>
    <x:row r="1238" ht="58" customHeight="1">
      <x:c r="A1238" s="10" t="str">
        <x:v>E1233</x:v>
      </x:c>
      <x:c r="B1238" s="10" t="str">
        <x:v>T25.04</x:v>
      </x:c>
      <x:c r="C1238" s="10" t="str">
        <x:v>Concentration and contagion risk</x:v>
      </x:c>
      <x:c r="D1238" s="14" t="str">
        <x:v>PART_OF</x:v>
      </x:c>
      <x:c r="E1238" s="10" t="str">
        <x:v>D25</x:v>
      </x:c>
      <x:c r="F1238" s="10" t="str">
        <x:v>Financial risk management</x:v>
      </x:c>
      <x:c r="G1238" s="10" t="str">
        <x:v>Curriculum membership. Use this link to move between the topic and its finance area.</x:v>
      </x:c>
      <x:c r="H1238" s="10" t="str">
        <x:v>Classification only; this edge is not a causal or calculation relationship.</x:v>
      </x:c>
      <x:c r="I1238" s="10" t="str">
        <x:v>Curated curriculum relationship</x:v>
      </x:c>
    </x:row>
    <x:row r="1239" ht="58" customHeight="1">
      <x:c r="A1239" s="9" t="str">
        <x:v>E1234</x:v>
      </x:c>
      <x:c r="B1239" s="9" t="str">
        <x:v>T25.04</x:v>
      </x:c>
      <x:c r="C1239" s="9" t="str">
        <x:v>Concentration and contagion risk</x:v>
      </x:c>
      <x:c r="D1239" s="15" t="str">
        <x:v>EXPLORE_WITH</x:v>
      </x:c>
      <x:c r="E1239" s="9" t="str">
        <x:v>T25.16</x:v>
      </x:c>
      <x:c r="F1239" s="9" t="str">
        <x:v>Systemic risk and financial crises</x:v>
      </x:c>
      <x:c r="G1239" s="9" t="str">
        <x:v>Study these together to identify exposures, measure losses and design governance and controls.</x:v>
      </x:c>
      <x:c r="H1239" s="9" t="str">
        <x:v>A topical exploration link, not a claim that one determines the other.</x:v>
      </x:c>
      <x:c r="I1239" s="9" t="str">
        <x:v>Curated curriculum relationship</x:v>
      </x:c>
    </x:row>
    <x:row r="1240" ht="58" customHeight="1">
      <x:c r="A1240" s="10" t="str">
        <x:v>E1235</x:v>
      </x:c>
      <x:c r="B1240" s="10" t="str">
        <x:v>T02.08</x:v>
      </x:c>
      <x:c r="C1240" s="10" t="str">
        <x:v>Expected value, variance, standard deviation, and covariance</x:v>
      </x:c>
      <x:c r="D1240" s="14" t="str">
        <x:v>RECOMMENDED_BEFORE</x:v>
      </x:c>
      <x:c r="E1240" s="10" t="str">
        <x:v>T25.04</x:v>
      </x:c>
      <x:c r="F1240" s="10" t="str">
        <x:v>Concentration and contagion risk</x:v>
      </x:c>
      <x:c r="G1240" s="10" t="str">
        <x:v>Suggested starting knowledge: Expected value, variance, standard deviation, and covariance. It helps you identify exposures, measure losses and design governance and controls.</x:v>
      </x:c>
      <x:c r="H1240" s="10" t="str">
        <x:v>Suggested learning order; learners can still explore freely.</x:v>
      </x:c>
      <x:c r="I1240" s="10" t="str">
        <x:v>Curated curriculum relationship</x:v>
      </x:c>
    </x:row>
    <x:row r="1241" ht="58" customHeight="1">
      <x:c r="A1241" s="9" t="str">
        <x:v>E1236</x:v>
      </x:c>
      <x:c r="B1241" s="9" t="str">
        <x:v>T25.05</x:v>
      </x:c>
      <x:c r="C1241" s="9" t="str">
        <x:v>Value at Risk and expected shortfall</x:v>
      </x:c>
      <x:c r="D1241" s="15" t="str">
        <x:v>PART_OF</x:v>
      </x:c>
      <x:c r="E1241" s="9" t="str">
        <x:v>D25</x:v>
      </x:c>
      <x:c r="F1241" s="9" t="str">
        <x:v>Financial risk management</x:v>
      </x:c>
      <x:c r="G1241" s="9" t="str">
        <x:v>Curriculum membership. Use this link to move between the topic and its finance area.</x:v>
      </x:c>
      <x:c r="H1241" s="9" t="str">
        <x:v>Classification only; this edge is not a causal or calculation relationship.</x:v>
      </x:c>
      <x:c r="I1241" s="9" t="str">
        <x:v>Curated curriculum relationship</x:v>
      </x:c>
    </x:row>
    <x:row r="1242" ht="58" customHeight="1">
      <x:c r="A1242" s="10" t="str">
        <x:v>E1237</x:v>
      </x:c>
      <x:c r="B1242" s="10" t="str">
        <x:v>T25.05</x:v>
      </x:c>
      <x:c r="C1242" s="10" t="str">
        <x:v>Value at Risk and expected shortfall</x:v>
      </x:c>
      <x:c r="D1242" s="14" t="str">
        <x:v>EXPLORE_WITH</x:v>
      </x:c>
      <x:c r="E1242" s="10" t="str">
        <x:v>T25.06</x:v>
      </x:c>
      <x:c r="F1242" s="10" t="str">
        <x:v>Historical, parametric, and Monte Carlo methods</x:v>
      </x:c>
      <x:c r="G1242" s="10" t="str">
        <x:v>Study these together to identify exposures, measure losses and design governance and controls.</x:v>
      </x:c>
      <x:c r="H1242" s="10" t="str">
        <x:v>A topical exploration link, not a claim that one determines the other.</x:v>
      </x:c>
      <x:c r="I1242" s="10" t="str">
        <x:v>Curated curriculum relationship</x:v>
      </x:c>
    </x:row>
    <x:row r="1243" ht="58" customHeight="1">
      <x:c r="A1243" s="9" t="str">
        <x:v>E1238</x:v>
      </x:c>
      <x:c r="B1243" s="9" t="str">
        <x:v>T02.08</x:v>
      </x:c>
      <x:c r="C1243" s="9" t="str">
        <x:v>Expected value, variance, standard deviation, and covariance</x:v>
      </x:c>
      <x:c r="D1243" s="15" t="str">
        <x:v>RECOMMENDED_BEFORE</x:v>
      </x:c>
      <x:c r="E1243" s="9" t="str">
        <x:v>T25.05</x:v>
      </x:c>
      <x:c r="F1243" s="9" t="str">
        <x:v>Value at Risk and expected shortfall</x:v>
      </x:c>
      <x:c r="G1243" s="9" t="str">
        <x:v>Suggested starting knowledge: Expected value, variance, standard deviation, and covariance. It helps you identify exposures, measure losses and design governance and controls.</x:v>
      </x:c>
      <x:c r="H1243" s="9" t="str">
        <x:v>Suggested learning order; learners can still explore freely.</x:v>
      </x:c>
      <x:c r="I1243" s="9" t="str">
        <x:v>Curated curriculum relationship</x:v>
      </x:c>
    </x:row>
    <x:row r="1244" ht="58" customHeight="1">
      <x:c r="A1244" s="10" t="str">
        <x:v>E1239</x:v>
      </x:c>
      <x:c r="B1244" s="10" t="str">
        <x:v>T25.06</x:v>
      </x:c>
      <x:c r="C1244" s="10" t="str">
        <x:v>Historical, parametric, and Monte Carlo methods</x:v>
      </x:c>
      <x:c r="D1244" s="14" t="str">
        <x:v>PART_OF</x:v>
      </x:c>
      <x:c r="E1244" s="10" t="str">
        <x:v>D25</x:v>
      </x:c>
      <x:c r="F1244" s="10" t="str">
        <x:v>Financial risk management</x:v>
      </x:c>
      <x:c r="G1244" s="10" t="str">
        <x:v>Curriculum membership. Use this link to move between the topic and its finance area.</x:v>
      </x:c>
      <x:c r="H1244" s="10" t="str">
        <x:v>Classification only; this edge is not a causal or calculation relationship.</x:v>
      </x:c>
      <x:c r="I1244" s="10" t="str">
        <x:v>Curated curriculum relationship</x:v>
      </x:c>
    </x:row>
    <x:row r="1245" ht="58" customHeight="1">
      <x:c r="A1245" s="9" t="str">
        <x:v>E1240</x:v>
      </x:c>
      <x:c r="B1245" s="9" t="str">
        <x:v>T25.06</x:v>
      </x:c>
      <x:c r="C1245" s="9" t="str">
        <x:v>Historical, parametric, and Monte Carlo methods</x:v>
      </x:c>
      <x:c r="D1245" s="15" t="str">
        <x:v>EXPLORE_WITH</x:v>
      </x:c>
      <x:c r="E1245" s="9" t="str">
        <x:v>T25.05</x:v>
      </x:c>
      <x:c r="F1245" s="9" t="str">
        <x:v>Value at Risk and expected shortfall</x:v>
      </x:c>
      <x:c r="G1245" s="9" t="str">
        <x:v>Study these together to identify exposures, measure losses and design governance and controls.</x:v>
      </x:c>
      <x:c r="H1245" s="9" t="str">
        <x:v>A topical exploration link, not a claim that one determines the other.</x:v>
      </x:c>
      <x:c r="I1245" s="9" t="str">
        <x:v>Curated curriculum relationship</x:v>
      </x:c>
    </x:row>
    <x:row r="1246" ht="58" customHeight="1">
      <x:c r="A1246" s="10" t="str">
        <x:v>E1241</x:v>
      </x:c>
      <x:c r="B1246" s="10" t="str">
        <x:v>T02.08</x:v>
      </x:c>
      <x:c r="C1246" s="10" t="str">
        <x:v>Expected value, variance, standard deviation, and covariance</x:v>
      </x:c>
      <x:c r="D1246" s="14" t="str">
        <x:v>RECOMMENDED_BEFORE</x:v>
      </x:c>
      <x:c r="E1246" s="10" t="str">
        <x:v>T25.06</x:v>
      </x:c>
      <x:c r="F1246" s="10" t="str">
        <x:v>Historical, parametric, and Monte Carlo methods</x:v>
      </x:c>
      <x:c r="G1246" s="10" t="str">
        <x:v>Suggested starting knowledge: Expected value, variance, standard deviation, and covariance. It helps you identify exposures, measure losses and design governance and controls.</x:v>
      </x:c>
      <x:c r="H1246" s="10" t="str">
        <x:v>Suggested learning order; learners can still explore freely.</x:v>
      </x:c>
      <x:c r="I1246" s="10" t="str">
        <x:v>Curated curriculum relationship</x:v>
      </x:c>
    </x:row>
    <x:row r="1247" ht="58" customHeight="1">
      <x:c r="A1247" s="9" t="str">
        <x:v>E1242</x:v>
      </x:c>
      <x:c r="B1247" s="9" t="str">
        <x:v>T25.07</x:v>
      </x:c>
      <x:c r="C1247" s="9" t="str">
        <x:v>Stress testing and reverse stress testing</x:v>
      </x:c>
      <x:c r="D1247" s="15" t="str">
        <x:v>PART_OF</x:v>
      </x:c>
      <x:c r="E1247" s="9" t="str">
        <x:v>D25</x:v>
      </x:c>
      <x:c r="F1247" s="9" t="str">
        <x:v>Financial risk management</x:v>
      </x:c>
      <x:c r="G1247" s="9" t="str">
        <x:v>Curriculum membership. Use this link to move between the topic and its finance area.</x:v>
      </x:c>
      <x:c r="H1247" s="9" t="str">
        <x:v>Classification only; this edge is not a causal or calculation relationship.</x:v>
      </x:c>
      <x:c r="I1247" s="9" t="str">
        <x:v>Curated curriculum relationship</x:v>
      </x:c>
    </x:row>
    <x:row r="1248" ht="58" customHeight="1">
      <x:c r="A1248" s="10" t="str">
        <x:v>E1243</x:v>
      </x:c>
      <x:c r="B1248" s="10" t="str">
        <x:v>T25.07</x:v>
      </x:c>
      <x:c r="C1248" s="10" t="str">
        <x:v>Stress testing and reverse stress testing</x:v>
      </x:c>
      <x:c r="D1248" s="14" t="str">
        <x:v>EXPLORE_WITH</x:v>
      </x:c>
      <x:c r="E1248" s="10" t="str">
        <x:v>T25.08</x:v>
      </x:c>
      <x:c r="F1248" s="10" t="str">
        <x:v>Scenario design</x:v>
      </x:c>
      <x:c r="G1248" s="10" t="str">
        <x:v>Study these together to identify exposures, measure losses and design governance and controls.</x:v>
      </x:c>
      <x:c r="H1248" s="10" t="str">
        <x:v>A topical exploration link, not a claim that one determines the other.</x:v>
      </x:c>
      <x:c r="I1248" s="10" t="str">
        <x:v>Curated curriculum relationship</x:v>
      </x:c>
    </x:row>
    <x:row r="1249" ht="58" customHeight="1">
      <x:c r="A1249" s="9" t="str">
        <x:v>E1244</x:v>
      </x:c>
      <x:c r="B1249" s="9" t="str">
        <x:v>T02.08</x:v>
      </x:c>
      <x:c r="C1249" s="9" t="str">
        <x:v>Expected value, variance, standard deviation, and covariance</x:v>
      </x:c>
      <x:c r="D1249" s="15" t="str">
        <x:v>RECOMMENDED_BEFORE</x:v>
      </x:c>
      <x:c r="E1249" s="9" t="str">
        <x:v>T25.07</x:v>
      </x:c>
      <x:c r="F1249" s="9" t="str">
        <x:v>Stress testing and reverse stress testing</x:v>
      </x:c>
      <x:c r="G1249" s="9" t="str">
        <x:v>Suggested starting knowledge: Expected value, variance, standard deviation, and covariance. It helps you identify exposures, measure losses and design governance and controls.</x:v>
      </x:c>
      <x:c r="H1249" s="9" t="str">
        <x:v>Suggested learning order; learners can still explore freely.</x:v>
      </x:c>
      <x:c r="I1249" s="9" t="str">
        <x:v>Curated curriculum relationship</x:v>
      </x:c>
    </x:row>
    <x:row r="1250" ht="58" customHeight="1">
      <x:c r="A1250" s="10" t="str">
        <x:v>E1245</x:v>
      </x:c>
      <x:c r="B1250" s="10" t="str">
        <x:v>T25.08</x:v>
      </x:c>
      <x:c r="C1250" s="10" t="str">
        <x:v>Scenario design</x:v>
      </x:c>
      <x:c r="D1250" s="14" t="str">
        <x:v>PART_OF</x:v>
      </x:c>
      <x:c r="E1250" s="10" t="str">
        <x:v>D25</x:v>
      </x:c>
      <x:c r="F1250" s="10" t="str">
        <x:v>Financial risk management</x:v>
      </x:c>
      <x:c r="G1250" s="10" t="str">
        <x:v>Curriculum membership. Use this link to move between the topic and its finance area.</x:v>
      </x:c>
      <x:c r="H1250" s="10" t="str">
        <x:v>Classification only; this edge is not a causal or calculation relationship.</x:v>
      </x:c>
      <x:c r="I1250" s="10" t="str">
        <x:v>Curated curriculum relationship</x:v>
      </x:c>
    </x:row>
    <x:row r="1251" ht="58" customHeight="1">
      <x:c r="A1251" s="9" t="str">
        <x:v>E1246</x:v>
      </x:c>
      <x:c r="B1251" s="9" t="str">
        <x:v>T25.08</x:v>
      </x:c>
      <x:c r="C1251" s="9" t="str">
        <x:v>Scenario design</x:v>
      </x:c>
      <x:c r="D1251" s="15" t="str">
        <x:v>EXPLORE_WITH</x:v>
      </x:c>
      <x:c r="E1251" s="9" t="str">
        <x:v>T25.07</x:v>
      </x:c>
      <x:c r="F1251" s="9" t="str">
        <x:v>Stress testing and reverse stress testing</x:v>
      </x:c>
      <x:c r="G1251" s="9" t="str">
        <x:v>Study these together to identify exposures, measure losses and design governance and controls.</x:v>
      </x:c>
      <x:c r="H1251" s="9" t="str">
        <x:v>A topical exploration link, not a claim that one determines the other.</x:v>
      </x:c>
      <x:c r="I1251" s="9" t="str">
        <x:v>Curated curriculum relationship</x:v>
      </x:c>
    </x:row>
    <x:row r="1252" ht="58" customHeight="1">
      <x:c r="A1252" s="10" t="str">
        <x:v>E1247</x:v>
      </x:c>
      <x:c r="B1252" s="10" t="str">
        <x:v>T02.08</x:v>
      </x:c>
      <x:c r="C1252" s="10" t="str">
        <x:v>Expected value, variance, standard deviation, and covariance</x:v>
      </x:c>
      <x:c r="D1252" s="14" t="str">
        <x:v>RECOMMENDED_BEFORE</x:v>
      </x:c>
      <x:c r="E1252" s="10" t="str">
        <x:v>T25.08</x:v>
      </x:c>
      <x:c r="F1252" s="10" t="str">
        <x:v>Scenario design</x:v>
      </x:c>
      <x:c r="G1252" s="10" t="str">
        <x:v>Suggested starting knowledge: Expected value, variance, standard deviation, and covariance. It helps you identify exposures, measure losses and design governance and controls.</x:v>
      </x:c>
      <x:c r="H1252" s="10" t="str">
        <x:v>Suggested learning order; learners can still explore freely.</x:v>
      </x:c>
      <x:c r="I1252" s="10" t="str">
        <x:v>Curated curriculum relationship</x:v>
      </x:c>
    </x:row>
    <x:row r="1253" ht="58" customHeight="1">
      <x:c r="A1253" s="9" t="str">
        <x:v>E1248</x:v>
      </x:c>
      <x:c r="B1253" s="9" t="str">
        <x:v>T25.09</x:v>
      </x:c>
      <x:c r="C1253" s="9" t="str">
        <x:v>Risk limits, risk appetite, and risk governance</x:v>
      </x:c>
      <x:c r="D1253" s="15" t="str">
        <x:v>PART_OF</x:v>
      </x:c>
      <x:c r="E1253" s="9" t="str">
        <x:v>D25</x:v>
      </x:c>
      <x:c r="F1253" s="9" t="str">
        <x:v>Financial risk management</x:v>
      </x:c>
      <x:c r="G1253" s="9" t="str">
        <x:v>Curriculum membership. Use this link to move between the topic and its finance area.</x:v>
      </x:c>
      <x:c r="H1253" s="9" t="str">
        <x:v>Classification only; this edge is not a causal or calculation relationship.</x:v>
      </x:c>
      <x:c r="I1253" s="9" t="str">
        <x:v>Curated curriculum relationship</x:v>
      </x:c>
    </x:row>
    <x:row r="1254" ht="58" customHeight="1">
      <x:c r="A1254" s="10" t="str">
        <x:v>E1249</x:v>
      </x:c>
      <x:c r="B1254" s="10" t="str">
        <x:v>T25.09</x:v>
      </x:c>
      <x:c r="C1254" s="10" t="str">
        <x:v>Risk limits, risk appetite, and risk governance</x:v>
      </x:c>
      <x:c r="D1254" s="14" t="str">
        <x:v>EXPLORE_WITH</x:v>
      </x:c>
      <x:c r="E1254" s="10" t="str">
        <x:v>T25.14</x:v>
      </x:c>
      <x:c r="F1254" s="10" t="str">
        <x:v>Enterprise risk management</x:v>
      </x:c>
      <x:c r="G1254" s="10" t="str">
        <x:v>Study these together to identify exposures, measure losses and design governance and controls.</x:v>
      </x:c>
      <x:c r="H1254" s="10" t="str">
        <x:v>A topical exploration link, not a claim that one determines the other.</x:v>
      </x:c>
      <x:c r="I1254" s="10" t="str">
        <x:v>Curated curriculum relationship</x:v>
      </x:c>
    </x:row>
    <x:row r="1255" ht="58" customHeight="1">
      <x:c r="A1255" s="9" t="str">
        <x:v>E1250</x:v>
      </x:c>
      <x:c r="B1255" s="9" t="str">
        <x:v>T02.08</x:v>
      </x:c>
      <x:c r="C1255" s="9" t="str">
        <x:v>Expected value, variance, standard deviation, and covariance</x:v>
      </x:c>
      <x:c r="D1255" s="15" t="str">
        <x:v>RECOMMENDED_BEFORE</x:v>
      </x:c>
      <x:c r="E1255" s="9" t="str">
        <x:v>T25.09</x:v>
      </x:c>
      <x:c r="F1255" s="9" t="str">
        <x:v>Risk limits, risk appetite, and risk governance</x:v>
      </x:c>
      <x:c r="G1255" s="9" t="str">
        <x:v>Suggested starting knowledge: Expected value, variance, standard deviation, and covariance. It helps you identify exposures, measure losses and design governance and controls.</x:v>
      </x:c>
      <x:c r="H1255" s="9" t="str">
        <x:v>Suggested learning order; learners can still explore freely.</x:v>
      </x:c>
      <x:c r="I1255" s="9" t="str">
        <x:v>Curated curriculum relationship</x:v>
      </x:c>
    </x:row>
    <x:row r="1256" ht="58" customHeight="1">
      <x:c r="A1256" s="10" t="str">
        <x:v>E1251</x:v>
      </x:c>
      <x:c r="B1256" s="10" t="str">
        <x:v>T25.10</x:v>
      </x:c>
      <x:c r="C1256" s="10" t="str">
        <x:v>Credit portfolio risk</x:v>
      </x:c>
      <x:c r="D1256" s="14" t="str">
        <x:v>PART_OF</x:v>
      </x:c>
      <x:c r="E1256" s="10" t="str">
        <x:v>D25</x:v>
      </x:c>
      <x:c r="F1256" s="10" t="str">
        <x:v>Financial risk management</x:v>
      </x:c>
      <x:c r="G1256" s="10" t="str">
        <x:v>Curriculum membership. Use this link to move between the topic and its finance area.</x:v>
      </x:c>
      <x:c r="H1256" s="10" t="str">
        <x:v>Classification only; this edge is not a causal or calculation relationship.</x:v>
      </x:c>
      <x:c r="I1256" s="10" t="str">
        <x:v>Curated curriculum relationship</x:v>
      </x:c>
    </x:row>
    <x:row r="1257" ht="58" customHeight="1">
      <x:c r="A1257" s="9" t="str">
        <x:v>E1252</x:v>
      </x:c>
      <x:c r="B1257" s="9" t="str">
        <x:v>T25.10</x:v>
      </x:c>
      <x:c r="C1257" s="9" t="str">
        <x:v>Credit portfolio risk</x:v>
      </x:c>
      <x:c r="D1257" s="15" t="str">
        <x:v>EXPLORE_WITH</x:v>
      </x:c>
      <x:c r="E1257" s="9" t="str">
        <x:v>T25.04</x:v>
      </x:c>
      <x:c r="F1257" s="9" t="str">
        <x:v>Concentration and contagion risk</x:v>
      </x:c>
      <x:c r="G1257" s="9" t="str">
        <x:v>Study these together to identify exposures, measure losses and design governance and controls.</x:v>
      </x:c>
      <x:c r="H1257" s="9" t="str">
        <x:v>A topical exploration link, not a claim that one determines the other.</x:v>
      </x:c>
      <x:c r="I1257" s="9" t="str">
        <x:v>Curated curriculum relationship</x:v>
      </x:c>
    </x:row>
    <x:row r="1258" ht="58" customHeight="1">
      <x:c r="A1258" s="10" t="str">
        <x:v>E1253</x:v>
      </x:c>
      <x:c r="B1258" s="10" t="str">
        <x:v>T02.08</x:v>
      </x:c>
      <x:c r="C1258" s="10" t="str">
        <x:v>Expected value, variance, standard deviation, and covariance</x:v>
      </x:c>
      <x:c r="D1258" s="14" t="str">
        <x:v>RECOMMENDED_BEFORE</x:v>
      </x:c>
      <x:c r="E1258" s="10" t="str">
        <x:v>T25.10</x:v>
      </x:c>
      <x:c r="F1258" s="10" t="str">
        <x:v>Credit portfolio risk</x:v>
      </x:c>
      <x:c r="G1258" s="10" t="str">
        <x:v>Suggested starting knowledge: Expected value, variance, standard deviation, and covariance. It helps you identify exposures, measure losses and design governance and controls.</x:v>
      </x:c>
      <x:c r="H1258" s="10" t="str">
        <x:v>Suggested learning order; learners can still explore freely.</x:v>
      </x:c>
      <x:c r="I1258" s="10" t="str">
        <x:v>Curated curriculum relationship</x:v>
      </x:c>
    </x:row>
    <x:row r="1259" ht="58" customHeight="1">
      <x:c r="A1259" s="9" t="str">
        <x:v>E1254</x:v>
      </x:c>
      <x:c r="B1259" s="9" t="str">
        <x:v>T25.11</x:v>
      </x:c>
      <x:c r="C1259" s="9" t="str">
        <x:v>Asset-liability mismatches</x:v>
      </x:c>
      <x:c r="D1259" s="15" t="str">
        <x:v>PART_OF</x:v>
      </x:c>
      <x:c r="E1259" s="9" t="str">
        <x:v>D25</x:v>
      </x:c>
      <x:c r="F1259" s="9" t="str">
        <x:v>Financial risk management</x:v>
      </x:c>
      <x:c r="G1259" s="9" t="str">
        <x:v>Curriculum membership. Use this link to move between the topic and its finance area.</x:v>
      </x:c>
      <x:c r="H1259" s="9" t="str">
        <x:v>Classification only; this edge is not a causal or calculation relationship.</x:v>
      </x:c>
      <x:c r="I1259" s="9" t="str">
        <x:v>Curated curriculum relationship</x:v>
      </x:c>
    </x:row>
    <x:row r="1260" ht="58" customHeight="1">
      <x:c r="A1260" s="10" t="str">
        <x:v>E1255</x:v>
      </x:c>
      <x:c r="B1260" s="10" t="str">
        <x:v>T25.11</x:v>
      </x:c>
      <x:c r="C1260" s="10" t="str">
        <x:v>Asset-liability mismatches</x:v>
      </x:c>
      <x:c r="D1260" s="14" t="str">
        <x:v>EXPLORE_WITH</x:v>
      </x:c>
      <x:c r="E1260" s="10" t="str">
        <x:v>T25.01</x:v>
      </x:c>
      <x:c r="F1260" s="10" t="str">
        <x:v>Market, credit, liquidity, and operational risk</x:v>
      </x:c>
      <x:c r="G1260" s="10" t="str">
        <x:v>Study these together to identify exposures, measure losses and design governance and controls.</x:v>
      </x:c>
      <x:c r="H1260" s="10" t="str">
        <x:v>A topical exploration link, not a claim that one determines the other.</x:v>
      </x:c>
      <x:c r="I1260" s="10" t="str">
        <x:v>Curated curriculum relationship</x:v>
      </x:c>
    </x:row>
    <x:row r="1261" ht="58" customHeight="1">
      <x:c r="A1261" s="9" t="str">
        <x:v>E1256</x:v>
      </x:c>
      <x:c r="B1261" s="9" t="str">
        <x:v>T02.08</x:v>
      </x:c>
      <x:c r="C1261" s="9" t="str">
        <x:v>Expected value, variance, standard deviation, and covariance</x:v>
      </x:c>
      <x:c r="D1261" s="15" t="str">
        <x:v>RECOMMENDED_BEFORE</x:v>
      </x:c>
      <x:c r="E1261" s="9" t="str">
        <x:v>T25.11</x:v>
      </x:c>
      <x:c r="F1261" s="9" t="str">
        <x:v>Asset-liability mismatches</x:v>
      </x:c>
      <x:c r="G1261" s="9" t="str">
        <x:v>Suggested starting knowledge: Expected value, variance, standard deviation, and covariance. It helps you identify exposures, measure losses and design governance and controls.</x:v>
      </x:c>
      <x:c r="H1261" s="9" t="str">
        <x:v>Suggested learning order; learners can still explore freely.</x:v>
      </x:c>
      <x:c r="I1261" s="9" t="str">
        <x:v>Curated curriculum relationship</x:v>
      </x:c>
    </x:row>
    <x:row r="1262" ht="58" customHeight="1">
      <x:c r="A1262" s="10" t="str">
        <x:v>E1257</x:v>
      </x:c>
      <x:c r="B1262" s="10" t="str">
        <x:v>T25.12</x:v>
      </x:c>
      <x:c r="C1262" s="10" t="str">
        <x:v>Model risk and validation</x:v>
      </x:c>
      <x:c r="D1262" s="14" t="str">
        <x:v>PART_OF</x:v>
      </x:c>
      <x:c r="E1262" s="10" t="str">
        <x:v>D25</x:v>
      </x:c>
      <x:c r="F1262" s="10" t="str">
        <x:v>Financial risk management</x:v>
      </x:c>
      <x:c r="G1262" s="10" t="str">
        <x:v>Curriculum membership. Use this link to move between the topic and its finance area.</x:v>
      </x:c>
      <x:c r="H1262" s="10" t="str">
        <x:v>Classification only; this edge is not a causal or calculation relationship.</x:v>
      </x:c>
      <x:c r="I1262" s="10" t="str">
        <x:v>Curated curriculum relationship</x:v>
      </x:c>
    </x:row>
    <x:row r="1263" ht="58" customHeight="1">
      <x:c r="A1263" s="9" t="str">
        <x:v>E1258</x:v>
      </x:c>
      <x:c r="B1263" s="9" t="str">
        <x:v>T25.12</x:v>
      </x:c>
      <x:c r="C1263" s="9" t="str">
        <x:v>Model risk and validation</x:v>
      </x:c>
      <x:c r="D1263" s="15" t="str">
        <x:v>EXPLORE_WITH</x:v>
      </x:c>
      <x:c r="E1263" s="9" t="str">
        <x:v>T25.08</x:v>
      </x:c>
      <x:c r="F1263" s="9" t="str">
        <x:v>Scenario design</x:v>
      </x:c>
      <x:c r="G1263" s="9" t="str">
        <x:v>Study these together to identify exposures, measure losses and design governance and controls.</x:v>
      </x:c>
      <x:c r="H1263" s="9" t="str">
        <x:v>A topical exploration link, not a claim that one determines the other.</x:v>
      </x:c>
      <x:c r="I1263" s="9" t="str">
        <x:v>Curated curriculum relationship</x:v>
      </x:c>
    </x:row>
    <x:row r="1264" ht="58" customHeight="1">
      <x:c r="A1264" s="10" t="str">
        <x:v>E1259</x:v>
      </x:c>
      <x:c r="B1264" s="10" t="str">
        <x:v>T02.08</x:v>
      </x:c>
      <x:c r="C1264" s="10" t="str">
        <x:v>Expected value, variance, standard deviation, and covariance</x:v>
      </x:c>
      <x:c r="D1264" s="14" t="str">
        <x:v>RECOMMENDED_BEFORE</x:v>
      </x:c>
      <x:c r="E1264" s="10" t="str">
        <x:v>T25.12</x:v>
      </x:c>
      <x:c r="F1264" s="10" t="str">
        <x:v>Model risk and validation</x:v>
      </x:c>
      <x:c r="G1264" s="10" t="str">
        <x:v>Suggested starting knowledge: Expected value, variance, standard deviation, and covariance. It helps you identify exposures, measure losses and design governance and controls.</x:v>
      </x:c>
      <x:c r="H1264" s="10" t="str">
        <x:v>Suggested learning order; learners can still explore freely.</x:v>
      </x:c>
      <x:c r="I1264" s="10" t="str">
        <x:v>Curated curriculum relationship</x:v>
      </x:c>
    </x:row>
    <x:row r="1265" ht="58" customHeight="1">
      <x:c r="A1265" s="9" t="str">
        <x:v>E1260</x:v>
      </x:c>
      <x:c r="B1265" s="9" t="str">
        <x:v>T25.13</x:v>
      </x:c>
      <x:c r="C1265" s="9" t="str">
        <x:v>Operational losses, cyber risk, and fraud risk</x:v>
      </x:c>
      <x:c r="D1265" s="15" t="str">
        <x:v>PART_OF</x:v>
      </x:c>
      <x:c r="E1265" s="9" t="str">
        <x:v>D25</x:v>
      </x:c>
      <x:c r="F1265" s="9" t="str">
        <x:v>Financial risk management</x:v>
      </x:c>
      <x:c r="G1265" s="9" t="str">
        <x:v>Curriculum membership. Use this link to move between the topic and its finance area.</x:v>
      </x:c>
      <x:c r="H1265" s="9" t="str">
        <x:v>Classification only; this edge is not a causal or calculation relationship.</x:v>
      </x:c>
      <x:c r="I1265" s="9" t="str">
        <x:v>Curated curriculum relationship</x:v>
      </x:c>
    </x:row>
    <x:row r="1266" ht="58" customHeight="1">
      <x:c r="A1266" s="10" t="str">
        <x:v>E1261</x:v>
      </x:c>
      <x:c r="B1266" s="10" t="str">
        <x:v>T25.13</x:v>
      </x:c>
      <x:c r="C1266" s="10" t="str">
        <x:v>Operational losses, cyber risk, and fraud risk</x:v>
      </x:c>
      <x:c r="D1266" s="14" t="str">
        <x:v>EXPLORE_WITH</x:v>
      </x:c>
      <x:c r="E1266" s="10" t="str">
        <x:v>T25.14</x:v>
      </x:c>
      <x:c r="F1266" s="10" t="str">
        <x:v>Enterprise risk management</x:v>
      </x:c>
      <x:c r="G1266" s="10" t="str">
        <x:v>Study these together to identify exposures, measure losses and design governance and controls.</x:v>
      </x:c>
      <x:c r="H1266" s="10" t="str">
        <x:v>A topical exploration link, not a claim that one determines the other.</x:v>
      </x:c>
      <x:c r="I1266" s="10" t="str">
        <x:v>Curated curriculum relationship</x:v>
      </x:c>
    </x:row>
    <x:row r="1267" ht="58" customHeight="1">
      <x:c r="A1267" s="9" t="str">
        <x:v>E1262</x:v>
      </x:c>
      <x:c r="B1267" s="9" t="str">
        <x:v>T02.08</x:v>
      </x:c>
      <x:c r="C1267" s="9" t="str">
        <x:v>Expected value, variance, standard deviation, and covariance</x:v>
      </x:c>
      <x:c r="D1267" s="15" t="str">
        <x:v>RECOMMENDED_BEFORE</x:v>
      </x:c>
      <x:c r="E1267" s="9" t="str">
        <x:v>T25.13</x:v>
      </x:c>
      <x:c r="F1267" s="9" t="str">
        <x:v>Operational losses, cyber risk, and fraud risk</x:v>
      </x:c>
      <x:c r="G1267" s="9" t="str">
        <x:v>Suggested starting knowledge: Expected value, variance, standard deviation, and covariance. It helps you identify exposures, measure losses and design governance and controls.</x:v>
      </x:c>
      <x:c r="H1267" s="9" t="str">
        <x:v>Suggested learning order; learners can still explore freely.</x:v>
      </x:c>
      <x:c r="I1267" s="9" t="str">
        <x:v>Curated curriculum relationship</x:v>
      </x:c>
    </x:row>
    <x:row r="1268" ht="58" customHeight="1">
      <x:c r="A1268" s="10" t="str">
        <x:v>E1263</x:v>
      </x:c>
      <x:c r="B1268" s="10" t="str">
        <x:v>T25.14</x:v>
      </x:c>
      <x:c r="C1268" s="10" t="str">
        <x:v>Enterprise risk management</x:v>
      </x:c>
      <x:c r="D1268" s="14" t="str">
        <x:v>PART_OF</x:v>
      </x:c>
      <x:c r="E1268" s="10" t="str">
        <x:v>D25</x:v>
      </x:c>
      <x:c r="F1268" s="10" t="str">
        <x:v>Financial risk management</x:v>
      </x:c>
      <x:c r="G1268" s="10" t="str">
        <x:v>Curriculum membership. Use this link to move between the topic and its finance area.</x:v>
      </x:c>
      <x:c r="H1268" s="10" t="str">
        <x:v>Classification only; this edge is not a causal or calculation relationship.</x:v>
      </x:c>
      <x:c r="I1268" s="10" t="str">
        <x:v>Curated curriculum relationship</x:v>
      </x:c>
    </x:row>
    <x:row r="1269" ht="58" customHeight="1">
      <x:c r="A1269" s="9" t="str">
        <x:v>E1264</x:v>
      </x:c>
      <x:c r="B1269" s="9" t="str">
        <x:v>T25.14</x:v>
      </x:c>
      <x:c r="C1269" s="9" t="str">
        <x:v>Enterprise risk management</x:v>
      </x:c>
      <x:c r="D1269" s="15" t="str">
        <x:v>EXPLORE_WITH</x:v>
      </x:c>
      <x:c r="E1269" s="9" t="str">
        <x:v>T25.15</x:v>
      </x:c>
      <x:c r="F1269" s="9" t="str">
        <x:v>Economic capital and risk-adjusted performance</x:v>
      </x:c>
      <x:c r="G1269" s="9" t="str">
        <x:v>Study these together to identify exposures, measure losses and design governance and controls.</x:v>
      </x:c>
      <x:c r="H1269" s="9" t="str">
        <x:v>A topical exploration link, not a claim that one determines the other.</x:v>
      </x:c>
      <x:c r="I1269" s="9" t="str">
        <x:v>Curated curriculum relationship</x:v>
      </x:c>
    </x:row>
    <x:row r="1270" ht="58" customHeight="1">
      <x:c r="A1270" s="10" t="str">
        <x:v>E1265</x:v>
      </x:c>
      <x:c r="B1270" s="10" t="str">
        <x:v>T02.08</x:v>
      </x:c>
      <x:c r="C1270" s="10" t="str">
        <x:v>Expected value, variance, standard deviation, and covariance</x:v>
      </x:c>
      <x:c r="D1270" s="14" t="str">
        <x:v>RECOMMENDED_BEFORE</x:v>
      </x:c>
      <x:c r="E1270" s="10" t="str">
        <x:v>T25.14</x:v>
      </x:c>
      <x:c r="F1270" s="10" t="str">
        <x:v>Enterprise risk management</x:v>
      </x:c>
      <x:c r="G1270" s="10" t="str">
        <x:v>Suggested starting knowledge: Expected value, variance, standard deviation, and covariance. It helps you identify exposures, measure losses and design governance and controls.</x:v>
      </x:c>
      <x:c r="H1270" s="10" t="str">
        <x:v>Suggested learning order; learners can still explore freely.</x:v>
      </x:c>
      <x:c r="I1270" s="10" t="str">
        <x:v>Curated curriculum relationship</x:v>
      </x:c>
    </x:row>
    <x:row r="1271" ht="58" customHeight="1">
      <x:c r="A1271" s="9" t="str">
        <x:v>E1266</x:v>
      </x:c>
      <x:c r="B1271" s="9" t="str">
        <x:v>T25.15</x:v>
      </x:c>
      <x:c r="C1271" s="9" t="str">
        <x:v>Economic capital and risk-adjusted performance</x:v>
      </x:c>
      <x:c r="D1271" s="15" t="str">
        <x:v>PART_OF</x:v>
      </x:c>
      <x:c r="E1271" s="9" t="str">
        <x:v>D25</x:v>
      </x:c>
      <x:c r="F1271" s="9" t="str">
        <x:v>Financial risk management</x:v>
      </x:c>
      <x:c r="G1271" s="9" t="str">
        <x:v>Curriculum membership. Use this link to move between the topic and its finance area.</x:v>
      </x:c>
      <x:c r="H1271" s="9" t="str">
        <x:v>Classification only; this edge is not a causal or calculation relationship.</x:v>
      </x:c>
      <x:c r="I1271" s="9" t="str">
        <x:v>Curated curriculum relationship</x:v>
      </x:c>
    </x:row>
    <x:row r="1272" ht="58" customHeight="1">
      <x:c r="A1272" s="10" t="str">
        <x:v>E1267</x:v>
      </x:c>
      <x:c r="B1272" s="10" t="str">
        <x:v>T25.15</x:v>
      </x:c>
      <x:c r="C1272" s="10" t="str">
        <x:v>Economic capital and risk-adjusted performance</x:v>
      </x:c>
      <x:c r="D1272" s="14" t="str">
        <x:v>EXPLORE_WITH</x:v>
      </x:c>
      <x:c r="E1272" s="10" t="str">
        <x:v>T25.14</x:v>
      </x:c>
      <x:c r="F1272" s="10" t="str">
        <x:v>Enterprise risk management</x:v>
      </x:c>
      <x:c r="G1272" s="10" t="str">
        <x:v>Study these together to identify exposures, measure losses and design governance and controls.</x:v>
      </x:c>
      <x:c r="H1272" s="10" t="str">
        <x:v>A topical exploration link, not a claim that one determines the other.</x:v>
      </x:c>
      <x:c r="I1272" s="10" t="str">
        <x:v>Curated curriculum relationship</x:v>
      </x:c>
    </x:row>
    <x:row r="1273" ht="58" customHeight="1">
      <x:c r="A1273" s="9" t="str">
        <x:v>E1268</x:v>
      </x:c>
      <x:c r="B1273" s="9" t="str">
        <x:v>T02.08</x:v>
      </x:c>
      <x:c r="C1273" s="9" t="str">
        <x:v>Expected value, variance, standard deviation, and covariance</x:v>
      </x:c>
      <x:c r="D1273" s="15" t="str">
        <x:v>RECOMMENDED_BEFORE</x:v>
      </x:c>
      <x:c r="E1273" s="9" t="str">
        <x:v>T25.15</x:v>
      </x:c>
      <x:c r="F1273" s="9" t="str">
        <x:v>Economic capital and risk-adjusted performance</x:v>
      </x:c>
      <x:c r="G1273" s="9" t="str">
        <x:v>Suggested starting knowledge: Expected value, variance, standard deviation, and covariance. It helps you identify exposures, measure losses and design governance and controls.</x:v>
      </x:c>
      <x:c r="H1273" s="9" t="str">
        <x:v>Suggested learning order; learners can still explore freely.</x:v>
      </x:c>
      <x:c r="I1273" s="9" t="str">
        <x:v>Curated curriculum relationship</x:v>
      </x:c>
    </x:row>
    <x:row r="1274" ht="58" customHeight="1">
      <x:c r="A1274" s="10" t="str">
        <x:v>E1269</x:v>
      </x:c>
      <x:c r="B1274" s="10" t="str">
        <x:v>T25.16</x:v>
      </x:c>
      <x:c r="C1274" s="10" t="str">
        <x:v>Systemic risk and financial crises</x:v>
      </x:c>
      <x:c r="D1274" s="14" t="str">
        <x:v>PART_OF</x:v>
      </x:c>
      <x:c r="E1274" s="10" t="str">
        <x:v>D25</x:v>
      </x:c>
      <x:c r="F1274" s="10" t="str">
        <x:v>Financial risk management</x:v>
      </x:c>
      <x:c r="G1274" s="10" t="str">
        <x:v>Curriculum membership. Use this link to move between the topic and its finance area.</x:v>
      </x:c>
      <x:c r="H1274" s="10" t="str">
        <x:v>Classification only; this edge is not a causal or calculation relationship.</x:v>
      </x:c>
      <x:c r="I1274" s="10" t="str">
        <x:v>Curated curriculum relationship</x:v>
      </x:c>
    </x:row>
    <x:row r="1275" ht="58" customHeight="1">
      <x:c r="A1275" s="9" t="str">
        <x:v>E1270</x:v>
      </x:c>
      <x:c r="B1275" s="9" t="str">
        <x:v>T25.16</x:v>
      </x:c>
      <x:c r="C1275" s="9" t="str">
        <x:v>Systemic risk and financial crises</x:v>
      </x:c>
      <x:c r="D1275" s="15" t="str">
        <x:v>EXPLORE_WITH</x:v>
      </x:c>
      <x:c r="E1275" s="9" t="str">
        <x:v>T25.04</x:v>
      </x:c>
      <x:c r="F1275" s="9" t="str">
        <x:v>Concentration and contagion risk</x:v>
      </x:c>
      <x:c r="G1275" s="9" t="str">
        <x:v>Study these together to identify exposures, measure losses and design governance and controls.</x:v>
      </x:c>
      <x:c r="H1275" s="9" t="str">
        <x:v>A topical exploration link, not a claim that one determines the other.</x:v>
      </x:c>
      <x:c r="I1275" s="9" t="str">
        <x:v>Curated curriculum relationship</x:v>
      </x:c>
    </x:row>
    <x:row r="1276" ht="58" customHeight="1">
      <x:c r="A1276" s="10" t="str">
        <x:v>E1271</x:v>
      </x:c>
      <x:c r="B1276" s="10" t="str">
        <x:v>T02.08</x:v>
      </x:c>
      <x:c r="C1276" s="10" t="str">
        <x:v>Expected value, variance, standard deviation, and covariance</x:v>
      </x:c>
      <x:c r="D1276" s="14" t="str">
        <x:v>RECOMMENDED_BEFORE</x:v>
      </x:c>
      <x:c r="E1276" s="10" t="str">
        <x:v>T25.16</x:v>
      </x:c>
      <x:c r="F1276" s="10" t="str">
        <x:v>Systemic risk and financial crises</x:v>
      </x:c>
      <x:c r="G1276" s="10" t="str">
        <x:v>Suggested starting knowledge: Expected value, variance, standard deviation, and covariance. It helps you identify exposures, measure losses and design governance and controls.</x:v>
      </x:c>
      <x:c r="H1276" s="10" t="str">
        <x:v>Suggested learning order; learners can still explore freely.</x:v>
      </x:c>
      <x:c r="I1276" s="10" t="str">
        <x:v>Curated curriculum relationship</x:v>
      </x:c>
    </x:row>
    <x:row r="1277" ht="58" customHeight="1">
      <x:c r="A1277" s="9" t="str">
        <x:v>E1272</x:v>
      </x:c>
      <x:c r="B1277" s="9" t="str">
        <x:v>T26.01</x:v>
      </x:c>
      <x:c r="C1277" s="9" t="str">
        <x:v>Strategic rationale for acquisitions</x:v>
      </x:c>
      <x:c r="D1277" s="15" t="str">
        <x:v>PART_OF</x:v>
      </x:c>
      <x:c r="E1277" s="9" t="str">
        <x:v>D26</x:v>
      </x:c>
      <x:c r="F1277" s="9" t="str">
        <x:v>Mergers, acquisitions, and restructuring</x:v>
      </x:c>
      <x:c r="G1277" s="9" t="str">
        <x:v>Curriculum membership. Use this link to move between the topic and its finance area.</x:v>
      </x:c>
      <x:c r="H1277" s="9" t="str">
        <x:v>Classification only; this edge is not a causal or calculation relationship.</x:v>
      </x:c>
      <x:c r="I1277" s="9" t="str">
        <x:v>Curated curriculum relationship</x:v>
      </x:c>
    </x:row>
    <x:row r="1278" ht="58" customHeight="1">
      <x:c r="A1278" s="10" t="str">
        <x:v>E1273</x:v>
      </x:c>
      <x:c r="B1278" s="10" t="str">
        <x:v>T26.01</x:v>
      </x:c>
      <x:c r="C1278" s="10" t="str">
        <x:v>Strategic rationale for acquisitions</x:v>
      </x:c>
      <x:c r="D1278" s="14" t="str">
        <x:v>EXPLORE_WITH</x:v>
      </x:c>
      <x:c r="E1278" s="10" t="str">
        <x:v>T26.04</x:v>
      </x:c>
      <x:c r="F1278" s="10" t="str">
        <x:v>Target screening</x:v>
      </x:c>
      <x:c r="G1278" s="10" t="str">
        <x:v>Study these together to separate operating value, financing, deal terms and execution risk.</x:v>
      </x:c>
      <x:c r="H1278" s="10" t="str">
        <x:v>A topical exploration link, not a claim that one determines the other.</x:v>
      </x:c>
      <x:c r="I1278" s="10" t="str">
        <x:v>Curated curriculum relationship</x:v>
      </x:c>
    </x:row>
    <x:row r="1279" ht="58" customHeight="1">
      <x:c r="A1279" s="9" t="str">
        <x:v>E1274</x:v>
      </x:c>
      <x:c r="B1279" s="9" t="str">
        <x:v>T17.03</x:v>
      </x:c>
      <x:c r="C1279" s="9" t="str">
        <x:v>Enterprise value versus equity value</x:v>
      </x:c>
      <x:c r="D1279" s="15" t="str">
        <x:v>RECOMMENDED_BEFORE</x:v>
      </x:c>
      <x:c r="E1279" s="9" t="str">
        <x:v>T26.01</x:v>
      </x:c>
      <x:c r="F1279" s="9" t="str">
        <x:v>Strategic rationale for acquisitions</x:v>
      </x:c>
      <x:c r="G1279" s="9" t="str">
        <x:v>Suggested starting knowledge: Enterprise value versus equity value. It helps you separate operating value, financing, deal terms and execution risk.</x:v>
      </x:c>
      <x:c r="H1279" s="9" t="str">
        <x:v>Suggested learning order; learners can still explore freely.</x:v>
      </x:c>
      <x:c r="I1279" s="9" t="str">
        <x:v>Curated curriculum relationship</x:v>
      </x:c>
    </x:row>
    <x:row r="1280" ht="58" customHeight="1">
      <x:c r="A1280" s="10" t="str">
        <x:v>E1275</x:v>
      </x:c>
      <x:c r="B1280" s="10" t="str">
        <x:v>T26.02</x:v>
      </x:c>
      <x:c r="C1280" s="10" t="str">
        <x:v>Horizontal, vertical, and conglomerate transactions</x:v>
      </x:c>
      <x:c r="D1280" s="14" t="str">
        <x:v>PART_OF</x:v>
      </x:c>
      <x:c r="E1280" s="10" t="str">
        <x:v>D26</x:v>
      </x:c>
      <x:c r="F1280" s="10" t="str">
        <x:v>Mergers, acquisitions, and restructuring</x:v>
      </x:c>
      <x:c r="G1280" s="10" t="str">
        <x:v>Curriculum membership. Use this link to move between the topic and its finance area.</x:v>
      </x:c>
      <x:c r="H1280" s="10" t="str">
        <x:v>Classification only; this edge is not a causal or calculation relationship.</x:v>
      </x:c>
      <x:c r="I1280" s="10" t="str">
        <x:v>Curated curriculum relationship</x:v>
      </x:c>
    </x:row>
    <x:row r="1281" ht="58" customHeight="1">
      <x:c r="A1281" s="9" t="str">
        <x:v>E1276</x:v>
      </x:c>
      <x:c r="B1281" s="9" t="str">
        <x:v>T26.02</x:v>
      </x:c>
      <x:c r="C1281" s="9" t="str">
        <x:v>Horizontal, vertical, and conglomerate transactions</x:v>
      </x:c>
      <x:c r="D1281" s="15" t="str">
        <x:v>EXPLORE_WITH</x:v>
      </x:c>
      <x:c r="E1281" s="9" t="str">
        <x:v>T26.01</x:v>
      </x:c>
      <x:c r="F1281" s="9" t="str">
        <x:v>Strategic rationale for acquisitions</x:v>
      </x:c>
      <x:c r="G1281" s="9" t="str">
        <x:v>Study these together to separate operating value, financing, deal terms and execution risk.</x:v>
      </x:c>
      <x:c r="H1281" s="9" t="str">
        <x:v>A topical exploration link, not a claim that one determines the other.</x:v>
      </x:c>
      <x:c r="I1281" s="9" t="str">
        <x:v>Curated curriculum relationship</x:v>
      </x:c>
    </x:row>
    <x:row r="1282" ht="58" customHeight="1">
      <x:c r="A1282" s="10" t="str">
        <x:v>E1277</x:v>
      </x:c>
      <x:c r="B1282" s="10" t="str">
        <x:v>T17.03</x:v>
      </x:c>
      <x:c r="C1282" s="10" t="str">
        <x:v>Enterprise value versus equity value</x:v>
      </x:c>
      <x:c r="D1282" s="14" t="str">
        <x:v>RECOMMENDED_BEFORE</x:v>
      </x:c>
      <x:c r="E1282" s="10" t="str">
        <x:v>T26.02</x:v>
      </x:c>
      <x:c r="F1282" s="10" t="str">
        <x:v>Horizontal, vertical, and conglomerate transactions</x:v>
      </x:c>
      <x:c r="G1282" s="10" t="str">
        <x:v>Suggested starting knowledge: Enterprise value versus equity value. It helps you separate operating value, financing, deal terms and execution risk.</x:v>
      </x:c>
      <x:c r="H1282" s="10" t="str">
        <x:v>Suggested learning order; learners can still explore freely.</x:v>
      </x:c>
      <x:c r="I1282" s="10" t="str">
        <x:v>Curated curriculum relationship</x:v>
      </x:c>
    </x:row>
    <x:row r="1283" ht="58" customHeight="1">
      <x:c r="A1283" s="9" t="str">
        <x:v>E1278</x:v>
      </x:c>
      <x:c r="B1283" s="9" t="str">
        <x:v>T26.03</x:v>
      </x:c>
      <x:c r="C1283" s="9" t="str">
        <x:v>Buy-side and sell-side processes</x:v>
      </x:c>
      <x:c r="D1283" s="15" t="str">
        <x:v>PART_OF</x:v>
      </x:c>
      <x:c r="E1283" s="9" t="str">
        <x:v>D26</x:v>
      </x:c>
      <x:c r="F1283" s="9" t="str">
        <x:v>Mergers, acquisitions, and restructuring</x:v>
      </x:c>
      <x:c r="G1283" s="9" t="str">
        <x:v>Curriculum membership. Use this link to move between the topic and its finance area.</x:v>
      </x:c>
      <x:c r="H1283" s="9" t="str">
        <x:v>Classification only; this edge is not a causal or calculation relationship.</x:v>
      </x:c>
      <x:c r="I1283" s="9" t="str">
        <x:v>Curated curriculum relationship</x:v>
      </x:c>
    </x:row>
    <x:row r="1284" ht="58" customHeight="1">
      <x:c r="A1284" s="10" t="str">
        <x:v>E1279</x:v>
      </x:c>
      <x:c r="B1284" s="10" t="str">
        <x:v>T26.03</x:v>
      </x:c>
      <x:c r="C1284" s="10" t="str">
        <x:v>Buy-side and sell-side processes</x:v>
      </x:c>
      <x:c r="D1284" s="14" t="str">
        <x:v>EXPLORE_WITH</x:v>
      </x:c>
      <x:c r="E1284" s="10" t="str">
        <x:v>T26.05</x:v>
      </x:c>
      <x:c r="F1284" s="10" t="str">
        <x:v>Financial, commercial, tax, and legal due diligence</x:v>
      </x:c>
      <x:c r="G1284" s="10" t="str">
        <x:v>Study these together to separate operating value, financing, deal terms and execution risk.</x:v>
      </x:c>
      <x:c r="H1284" s="10" t="str">
        <x:v>A topical exploration link, not a claim that one determines the other.</x:v>
      </x:c>
      <x:c r="I1284" s="10" t="str">
        <x:v>Curated curriculum relationship</x:v>
      </x:c>
    </x:row>
    <x:row r="1285" ht="58" customHeight="1">
      <x:c r="A1285" s="9" t="str">
        <x:v>E1280</x:v>
      </x:c>
      <x:c r="B1285" s="9" t="str">
        <x:v>T17.03</x:v>
      </x:c>
      <x:c r="C1285" s="9" t="str">
        <x:v>Enterprise value versus equity value</x:v>
      </x:c>
      <x:c r="D1285" s="15" t="str">
        <x:v>RECOMMENDED_BEFORE</x:v>
      </x:c>
      <x:c r="E1285" s="9" t="str">
        <x:v>T26.03</x:v>
      </x:c>
      <x:c r="F1285" s="9" t="str">
        <x:v>Buy-side and sell-side processes</x:v>
      </x:c>
      <x:c r="G1285" s="9" t="str">
        <x:v>Suggested starting knowledge: Enterprise value versus equity value. It helps you separate operating value, financing, deal terms and execution risk.</x:v>
      </x:c>
      <x:c r="H1285" s="9" t="str">
        <x:v>Suggested learning order; learners can still explore freely.</x:v>
      </x:c>
      <x:c r="I1285" s="9" t="str">
        <x:v>Curated curriculum relationship</x:v>
      </x:c>
    </x:row>
    <x:row r="1286" ht="58" customHeight="1">
      <x:c r="A1286" s="10" t="str">
        <x:v>E1281</x:v>
      </x:c>
      <x:c r="B1286" s="10" t="str">
        <x:v>T26.04</x:v>
      </x:c>
      <x:c r="C1286" s="10" t="str">
        <x:v>Target screening</x:v>
      </x:c>
      <x:c r="D1286" s="14" t="str">
        <x:v>PART_OF</x:v>
      </x:c>
      <x:c r="E1286" s="10" t="str">
        <x:v>D26</x:v>
      </x:c>
      <x:c r="F1286" s="10" t="str">
        <x:v>Mergers, acquisitions, and restructuring</x:v>
      </x:c>
      <x:c r="G1286" s="10" t="str">
        <x:v>Curriculum membership. Use this link to move between the topic and its finance area.</x:v>
      </x:c>
      <x:c r="H1286" s="10" t="str">
        <x:v>Classification only; this edge is not a causal or calculation relationship.</x:v>
      </x:c>
      <x:c r="I1286" s="10" t="str">
        <x:v>Curated curriculum relationship</x:v>
      </x:c>
    </x:row>
    <x:row r="1287" ht="58" customHeight="1">
      <x:c r="A1287" s="9" t="str">
        <x:v>E1282</x:v>
      </x:c>
      <x:c r="B1287" s="9" t="str">
        <x:v>T26.04</x:v>
      </x:c>
      <x:c r="C1287" s="9" t="str">
        <x:v>Target screening</x:v>
      </x:c>
      <x:c r="D1287" s="15" t="str">
        <x:v>EXPLORE_WITH</x:v>
      </x:c>
      <x:c r="E1287" s="9" t="str">
        <x:v>T26.01</x:v>
      </x:c>
      <x:c r="F1287" s="9" t="str">
        <x:v>Strategic rationale for acquisitions</x:v>
      </x:c>
      <x:c r="G1287" s="9" t="str">
        <x:v>Study these together to separate operating value, financing, deal terms and execution risk.</x:v>
      </x:c>
      <x:c r="H1287" s="9" t="str">
        <x:v>A topical exploration link, not a claim that one determines the other.</x:v>
      </x:c>
      <x:c r="I1287" s="9" t="str">
        <x:v>Curated curriculum relationship</x:v>
      </x:c>
    </x:row>
    <x:row r="1288" ht="58" customHeight="1">
      <x:c r="A1288" s="10" t="str">
        <x:v>E1283</x:v>
      </x:c>
      <x:c r="B1288" s="10" t="str">
        <x:v>T17.03</x:v>
      </x:c>
      <x:c r="C1288" s="10" t="str">
        <x:v>Enterprise value versus equity value</x:v>
      </x:c>
      <x:c r="D1288" s="14" t="str">
        <x:v>RECOMMENDED_BEFORE</x:v>
      </x:c>
      <x:c r="E1288" s="10" t="str">
        <x:v>T26.04</x:v>
      </x:c>
      <x:c r="F1288" s="10" t="str">
        <x:v>Target screening</x:v>
      </x:c>
      <x:c r="G1288" s="10" t="str">
        <x:v>Suggested starting knowledge: Enterprise value versus equity value. It helps you separate operating value, financing, deal terms and execution risk.</x:v>
      </x:c>
      <x:c r="H1288" s="10" t="str">
        <x:v>Suggested learning order; learners can still explore freely.</x:v>
      </x:c>
      <x:c r="I1288" s="10" t="str">
        <x:v>Curated curriculum relationship</x:v>
      </x:c>
    </x:row>
    <x:row r="1289" ht="58" customHeight="1">
      <x:c r="A1289" s="9" t="str">
        <x:v>E1284</x:v>
      </x:c>
      <x:c r="B1289" s="9" t="str">
        <x:v>T26.05</x:v>
      </x:c>
      <x:c r="C1289" s="9" t="str">
        <x:v>Financial, commercial, tax, and legal due diligence</x:v>
      </x:c>
      <x:c r="D1289" s="15" t="str">
        <x:v>PART_OF</x:v>
      </x:c>
      <x:c r="E1289" s="9" t="str">
        <x:v>D26</x:v>
      </x:c>
      <x:c r="F1289" s="9" t="str">
        <x:v>Mergers, acquisitions, and restructuring</x:v>
      </x:c>
      <x:c r="G1289" s="9" t="str">
        <x:v>Curriculum membership. Use this link to move between the topic and its finance area.</x:v>
      </x:c>
      <x:c r="H1289" s="9" t="str">
        <x:v>Classification only; this edge is not a causal or calculation relationship.</x:v>
      </x:c>
      <x:c r="I1289" s="9" t="str">
        <x:v>Curated curriculum relationship</x:v>
      </x:c>
    </x:row>
    <x:row r="1290" ht="58" customHeight="1">
      <x:c r="A1290" s="10" t="str">
        <x:v>E1285</x:v>
      </x:c>
      <x:c r="B1290" s="10" t="str">
        <x:v>T26.05</x:v>
      </x:c>
      <x:c r="C1290" s="10" t="str">
        <x:v>Financial, commercial, tax, and legal due diligence</x:v>
      </x:c>
      <x:c r="D1290" s="14" t="str">
        <x:v>EXPLORE_WITH</x:v>
      </x:c>
      <x:c r="E1290" s="10" t="str">
        <x:v>T26.06</x:v>
      </x:c>
      <x:c r="F1290" s="10" t="str">
        <x:v>Transaction valuation</x:v>
      </x:c>
      <x:c r="G1290" s="10" t="str">
        <x:v>Study these together to separate operating value, financing, deal terms and execution risk.</x:v>
      </x:c>
      <x:c r="H1290" s="10" t="str">
        <x:v>A topical exploration link, not a claim that one determines the other.</x:v>
      </x:c>
      <x:c r="I1290" s="10" t="str">
        <x:v>Curated curriculum relationship</x:v>
      </x:c>
    </x:row>
    <x:row r="1291" ht="58" customHeight="1">
      <x:c r="A1291" s="9" t="str">
        <x:v>E1286</x:v>
      </x:c>
      <x:c r="B1291" s="9" t="str">
        <x:v>T17.03</x:v>
      </x:c>
      <x:c r="C1291" s="9" t="str">
        <x:v>Enterprise value versus equity value</x:v>
      </x:c>
      <x:c r="D1291" s="15" t="str">
        <x:v>RECOMMENDED_BEFORE</x:v>
      </x:c>
      <x:c r="E1291" s="9" t="str">
        <x:v>T26.05</x:v>
      </x:c>
      <x:c r="F1291" s="9" t="str">
        <x:v>Financial, commercial, tax, and legal due diligence</x:v>
      </x:c>
      <x:c r="G1291" s="9" t="str">
        <x:v>Suggested starting knowledge: Enterprise value versus equity value. It helps you separate operating value, financing, deal terms and execution risk.</x:v>
      </x:c>
      <x:c r="H1291" s="9" t="str">
        <x:v>Suggested learning order; learners can still explore freely.</x:v>
      </x:c>
      <x:c r="I1291" s="9" t="str">
        <x:v>Curated curriculum relationship</x:v>
      </x:c>
    </x:row>
    <x:row r="1292" ht="58" customHeight="1">
      <x:c r="A1292" s="10" t="str">
        <x:v>E1287</x:v>
      </x:c>
      <x:c r="B1292" s="10" t="str">
        <x:v>T26.06</x:v>
      </x:c>
      <x:c r="C1292" s="10" t="str">
        <x:v>Transaction valuation</x:v>
      </x:c>
      <x:c r="D1292" s="14" t="str">
        <x:v>PART_OF</x:v>
      </x:c>
      <x:c r="E1292" s="10" t="str">
        <x:v>D26</x:v>
      </x:c>
      <x:c r="F1292" s="10" t="str">
        <x:v>Mergers, acquisitions, and restructuring</x:v>
      </x:c>
      <x:c r="G1292" s="10" t="str">
        <x:v>Curriculum membership. Use this link to move between the topic and its finance area.</x:v>
      </x:c>
      <x:c r="H1292" s="10" t="str">
        <x:v>Classification only; this edge is not a causal or calculation relationship.</x:v>
      </x:c>
      <x:c r="I1292" s="10" t="str">
        <x:v>Curated curriculum relationship</x:v>
      </x:c>
    </x:row>
    <x:row r="1293" ht="58" customHeight="1">
      <x:c r="A1293" s="9" t="str">
        <x:v>E1288</x:v>
      </x:c>
      <x:c r="B1293" s="9" t="str">
        <x:v>T26.06</x:v>
      </x:c>
      <x:c r="C1293" s="9" t="str">
        <x:v>Transaction valuation</x:v>
      </x:c>
      <x:c r="D1293" s="15" t="str">
        <x:v>EXPLORE_WITH</x:v>
      </x:c>
      <x:c r="E1293" s="9" t="str">
        <x:v>T26.07</x:v>
      </x:c>
      <x:c r="F1293" s="9" t="str">
        <x:v>Synergies, dis-synergies, and integration costs</x:v>
      </x:c>
      <x:c r="G1293" s="9" t="str">
        <x:v>Study these together to separate operating value, financing, deal terms and execution risk.</x:v>
      </x:c>
      <x:c r="H1293" s="9" t="str">
        <x:v>A topical exploration link, not a claim that one determines the other.</x:v>
      </x:c>
      <x:c r="I1293" s="9" t="str">
        <x:v>Curated curriculum relationship</x:v>
      </x:c>
    </x:row>
    <x:row r="1294" ht="58" customHeight="1">
      <x:c r="A1294" s="10" t="str">
        <x:v>E1289</x:v>
      </x:c>
      <x:c r="B1294" s="10" t="str">
        <x:v>T17.03</x:v>
      </x:c>
      <x:c r="C1294" s="10" t="str">
        <x:v>Enterprise value versus equity value</x:v>
      </x:c>
      <x:c r="D1294" s="14" t="str">
        <x:v>RECOMMENDED_BEFORE</x:v>
      </x:c>
      <x:c r="E1294" s="10" t="str">
        <x:v>T26.06</x:v>
      </x:c>
      <x:c r="F1294" s="10" t="str">
        <x:v>Transaction valuation</x:v>
      </x:c>
      <x:c r="G1294" s="10" t="str">
        <x:v>Suggested starting knowledge: Enterprise value versus equity value. It helps you separate operating value, financing, deal terms and execution risk.</x:v>
      </x:c>
      <x:c r="H1294" s="10" t="str">
        <x:v>Suggested learning order; learners can still explore freely.</x:v>
      </x:c>
      <x:c r="I1294" s="10" t="str">
        <x:v>Curated curriculum relationship</x:v>
      </x:c>
    </x:row>
    <x:row r="1295" ht="58" customHeight="1">
      <x:c r="A1295" s="9" t="str">
        <x:v>E1290</x:v>
      </x:c>
      <x:c r="B1295" s="9" t="str">
        <x:v>T26.07</x:v>
      </x:c>
      <x:c r="C1295" s="9" t="str">
        <x:v>Synergies, dis-synergies, and integration costs</x:v>
      </x:c>
      <x:c r="D1295" s="15" t="str">
        <x:v>PART_OF</x:v>
      </x:c>
      <x:c r="E1295" s="9" t="str">
        <x:v>D26</x:v>
      </x:c>
      <x:c r="F1295" s="9" t="str">
        <x:v>Mergers, acquisitions, and restructuring</x:v>
      </x:c>
      <x:c r="G1295" s="9" t="str">
        <x:v>Curriculum membership. Use this link to move between the topic and its finance area.</x:v>
      </x:c>
      <x:c r="H1295" s="9" t="str">
        <x:v>Classification only; this edge is not a causal or calculation relationship.</x:v>
      </x:c>
      <x:c r="I1295" s="9" t="str">
        <x:v>Curated curriculum relationship</x:v>
      </x:c>
    </x:row>
    <x:row r="1296" ht="58" customHeight="1">
      <x:c r="A1296" s="10" t="str">
        <x:v>E1291</x:v>
      </x:c>
      <x:c r="B1296" s="10" t="str">
        <x:v>T26.07</x:v>
      </x:c>
      <x:c r="C1296" s="10" t="str">
        <x:v>Synergies, dis-synergies, and integration costs</x:v>
      </x:c>
      <x:c r="D1296" s="14" t="str">
        <x:v>EXPLORE_WITH</x:v>
      </x:c>
      <x:c r="E1296" s="10" t="str">
        <x:v>T26.19</x:v>
      </x:c>
      <x:c r="F1296" s="10" t="str">
        <x:v>Post-merger integration and value tracking</x:v>
      </x:c>
      <x:c r="G1296" s="10" t="str">
        <x:v>Study these together to separate operating value, financing, deal terms and execution risk.</x:v>
      </x:c>
      <x:c r="H1296" s="10" t="str">
        <x:v>A topical exploration link, not a claim that one determines the other.</x:v>
      </x:c>
      <x:c r="I1296" s="10" t="str">
        <x:v>Curated curriculum relationship</x:v>
      </x:c>
    </x:row>
    <x:row r="1297" ht="58" customHeight="1">
      <x:c r="A1297" s="9" t="str">
        <x:v>E1292</x:v>
      </x:c>
      <x:c r="B1297" s="9" t="str">
        <x:v>T17.03</x:v>
      </x:c>
      <x:c r="C1297" s="9" t="str">
        <x:v>Enterprise value versus equity value</x:v>
      </x:c>
      <x:c r="D1297" s="15" t="str">
        <x:v>RECOMMENDED_BEFORE</x:v>
      </x:c>
      <x:c r="E1297" s="9" t="str">
        <x:v>T26.07</x:v>
      </x:c>
      <x:c r="F1297" s="9" t="str">
        <x:v>Synergies, dis-synergies, and integration costs</x:v>
      </x:c>
      <x:c r="G1297" s="9" t="str">
        <x:v>Suggested starting knowledge: Enterprise value versus equity value. It helps you separate operating value, financing, deal terms and execution risk.</x:v>
      </x:c>
      <x:c r="H1297" s="9" t="str">
        <x:v>Suggested learning order; learners can still explore freely.</x:v>
      </x:c>
      <x:c r="I1297" s="9" t="str">
        <x:v>Curated curriculum relationship</x:v>
      </x:c>
    </x:row>
    <x:row r="1298" ht="58" customHeight="1">
      <x:c r="A1298" s="10" t="str">
        <x:v>E1293</x:v>
      </x:c>
      <x:c r="B1298" s="10" t="str">
        <x:v>T26.08</x:v>
      </x:c>
      <x:c r="C1298" s="10" t="str">
        <x:v>Cash, stock, and mixed consideration</x:v>
      </x:c>
      <x:c r="D1298" s="14" t="str">
        <x:v>PART_OF</x:v>
      </x:c>
      <x:c r="E1298" s="10" t="str">
        <x:v>D26</x:v>
      </x:c>
      <x:c r="F1298" s="10" t="str">
        <x:v>Mergers, acquisitions, and restructuring</x:v>
      </x:c>
      <x:c r="G1298" s="10" t="str">
        <x:v>Curriculum membership. Use this link to move between the topic and its finance area.</x:v>
      </x:c>
      <x:c r="H1298" s="10" t="str">
        <x:v>Classification only; this edge is not a causal or calculation relationship.</x:v>
      </x:c>
      <x:c r="I1298" s="10" t="str">
        <x:v>Curated curriculum relationship</x:v>
      </x:c>
    </x:row>
    <x:row r="1299" ht="58" customHeight="1">
      <x:c r="A1299" s="9" t="str">
        <x:v>E1294</x:v>
      </x:c>
      <x:c r="B1299" s="9" t="str">
        <x:v>T26.08</x:v>
      </x:c>
      <x:c r="C1299" s="9" t="str">
        <x:v>Cash, stock, and mixed consideration</x:v>
      </x:c>
      <x:c r="D1299" s="15" t="str">
        <x:v>EXPLORE_WITH</x:v>
      </x:c>
      <x:c r="E1299" s="9" t="str">
        <x:v>T26.09</x:v>
      </x:c>
      <x:c r="F1299" s="9" t="str">
        <x:v>Acquisition financing</x:v>
      </x:c>
      <x:c r="G1299" s="9" t="str">
        <x:v>Study these together to separate operating value, financing, deal terms and execution risk.</x:v>
      </x:c>
      <x:c r="H1299" s="9" t="str">
        <x:v>A topical exploration link, not a claim that one determines the other.</x:v>
      </x:c>
      <x:c r="I1299" s="9" t="str">
        <x:v>Curated curriculum relationship</x:v>
      </x:c>
    </x:row>
    <x:row r="1300" ht="58" customHeight="1">
      <x:c r="A1300" s="10" t="str">
        <x:v>E1295</x:v>
      </x:c>
      <x:c r="B1300" s="10" t="str">
        <x:v>T17.03</x:v>
      </x:c>
      <x:c r="C1300" s="10" t="str">
        <x:v>Enterprise value versus equity value</x:v>
      </x:c>
      <x:c r="D1300" s="14" t="str">
        <x:v>RECOMMENDED_BEFORE</x:v>
      </x:c>
      <x:c r="E1300" s="10" t="str">
        <x:v>T26.08</x:v>
      </x:c>
      <x:c r="F1300" s="10" t="str">
        <x:v>Cash, stock, and mixed consideration</x:v>
      </x:c>
      <x:c r="G1300" s="10" t="str">
        <x:v>Suggested starting knowledge: Enterprise value versus equity value. It helps you separate operating value, financing, deal terms and execution risk.</x:v>
      </x:c>
      <x:c r="H1300" s="10" t="str">
        <x:v>Suggested learning order; learners can still explore freely.</x:v>
      </x:c>
      <x:c r="I1300" s="10" t="str">
        <x:v>Curated curriculum relationship</x:v>
      </x:c>
    </x:row>
    <x:row r="1301" ht="58" customHeight="1">
      <x:c r="A1301" s="9" t="str">
        <x:v>E1296</x:v>
      </x:c>
      <x:c r="B1301" s="9" t="str">
        <x:v>T26.09</x:v>
      </x:c>
      <x:c r="C1301" s="9" t="str">
        <x:v>Acquisition financing</x:v>
      </x:c>
      <x:c r="D1301" s="15" t="str">
        <x:v>PART_OF</x:v>
      </x:c>
      <x:c r="E1301" s="9" t="str">
        <x:v>D26</x:v>
      </x:c>
      <x:c r="F1301" s="9" t="str">
        <x:v>Mergers, acquisitions, and restructuring</x:v>
      </x:c>
      <x:c r="G1301" s="9" t="str">
        <x:v>Curriculum membership. Use this link to move between the topic and its finance area.</x:v>
      </x:c>
      <x:c r="H1301" s="9" t="str">
        <x:v>Classification only; this edge is not a causal or calculation relationship.</x:v>
      </x:c>
      <x:c r="I1301" s="9" t="str">
        <x:v>Curated curriculum relationship</x:v>
      </x:c>
    </x:row>
    <x:row r="1302" ht="58" customHeight="1">
      <x:c r="A1302" s="10" t="str">
        <x:v>E1297</x:v>
      </x:c>
      <x:c r="B1302" s="10" t="str">
        <x:v>T26.09</x:v>
      </x:c>
      <x:c r="C1302" s="10" t="str">
        <x:v>Acquisition financing</x:v>
      </x:c>
      <x:c r="D1302" s="14" t="str">
        <x:v>EXPLORE_WITH</x:v>
      </x:c>
      <x:c r="E1302" s="10" t="str">
        <x:v>T26.08</x:v>
      </x:c>
      <x:c r="F1302" s="10" t="str">
        <x:v>Cash, stock, and mixed consideration</x:v>
      </x:c>
      <x:c r="G1302" s="10" t="str">
        <x:v>Study these together to separate operating value, financing, deal terms and execution risk.</x:v>
      </x:c>
      <x:c r="H1302" s="10" t="str">
        <x:v>A topical exploration link, not a claim that one determines the other.</x:v>
      </x:c>
      <x:c r="I1302" s="10" t="str">
        <x:v>Curated curriculum relationship</x:v>
      </x:c>
    </x:row>
    <x:row r="1303" ht="58" customHeight="1">
      <x:c r="A1303" s="9" t="str">
        <x:v>E1298</x:v>
      </x:c>
      <x:c r="B1303" s="9" t="str">
        <x:v>T17.03</x:v>
      </x:c>
      <x:c r="C1303" s="9" t="str">
        <x:v>Enterprise value versus equity value</x:v>
      </x:c>
      <x:c r="D1303" s="15" t="str">
        <x:v>RECOMMENDED_BEFORE</x:v>
      </x:c>
      <x:c r="E1303" s="9" t="str">
        <x:v>T26.09</x:v>
      </x:c>
      <x:c r="F1303" s="9" t="str">
        <x:v>Acquisition financing</x:v>
      </x:c>
      <x:c r="G1303" s="9" t="str">
        <x:v>Suggested starting knowledge: Enterprise value versus equity value. It helps you separate operating value, financing, deal terms and execution risk.</x:v>
      </x:c>
      <x:c r="H1303" s="9" t="str">
        <x:v>Suggested learning order; learners can still explore freely.</x:v>
      </x:c>
      <x:c r="I1303" s="9" t="str">
        <x:v>Curated curriculum relationship</x:v>
      </x:c>
    </x:row>
    <x:row r="1304" ht="58" customHeight="1">
      <x:c r="A1304" s="10" t="str">
        <x:v>E1299</x:v>
      </x:c>
      <x:c r="B1304" s="10" t="str">
        <x:v>T26.10</x:v>
      </x:c>
      <x:c r="C1304" s="10" t="str">
        <x:v>Accretion and dilution</x:v>
      </x:c>
      <x:c r="D1304" s="14" t="str">
        <x:v>PART_OF</x:v>
      </x:c>
      <x:c r="E1304" s="10" t="str">
        <x:v>D26</x:v>
      </x:c>
      <x:c r="F1304" s="10" t="str">
        <x:v>Mergers, acquisitions, and restructuring</x:v>
      </x:c>
      <x:c r="G1304" s="10" t="str">
        <x:v>Curriculum membership. Use this link to move between the topic and its finance area.</x:v>
      </x:c>
      <x:c r="H1304" s="10" t="str">
        <x:v>Classification only; this edge is not a causal or calculation relationship.</x:v>
      </x:c>
      <x:c r="I1304" s="10" t="str">
        <x:v>Curated curriculum relationship</x:v>
      </x:c>
    </x:row>
    <x:row r="1305" ht="58" customHeight="1">
      <x:c r="A1305" s="9" t="str">
        <x:v>E1300</x:v>
      </x:c>
      <x:c r="B1305" s="9" t="str">
        <x:v>T26.10</x:v>
      </x:c>
      <x:c r="C1305" s="9" t="str">
        <x:v>Accretion and dilution</x:v>
      </x:c>
      <x:c r="D1305" s="15" t="str">
        <x:v>EXPLORE_WITH</x:v>
      </x:c>
      <x:c r="E1305" s="9" t="str">
        <x:v>T26.11</x:v>
      </x:c>
      <x:c r="F1305" s="9" t="str">
        <x:v>Merger models</x:v>
      </x:c>
      <x:c r="G1305" s="9" t="str">
        <x:v>Study these together to separate operating value, financing, deal terms and execution risk.</x:v>
      </x:c>
      <x:c r="H1305" s="9" t="str">
        <x:v>A topical exploration link, not a claim that one determines the other.</x:v>
      </x:c>
      <x:c r="I1305" s="9" t="str">
        <x:v>Curated curriculum relationship</x:v>
      </x:c>
    </x:row>
    <x:row r="1306" ht="58" customHeight="1">
      <x:c r="A1306" s="10" t="str">
        <x:v>E1301</x:v>
      </x:c>
      <x:c r="B1306" s="10" t="str">
        <x:v>T17.03</x:v>
      </x:c>
      <x:c r="C1306" s="10" t="str">
        <x:v>Enterprise value versus equity value</x:v>
      </x:c>
      <x:c r="D1306" s="14" t="str">
        <x:v>RECOMMENDED_BEFORE</x:v>
      </x:c>
      <x:c r="E1306" s="10" t="str">
        <x:v>T26.10</x:v>
      </x:c>
      <x:c r="F1306" s="10" t="str">
        <x:v>Accretion and dilution</x:v>
      </x:c>
      <x:c r="G1306" s="10" t="str">
        <x:v>Suggested starting knowledge: Enterprise value versus equity value. It helps you separate operating value, financing, deal terms and execution risk.</x:v>
      </x:c>
      <x:c r="H1306" s="10" t="str">
        <x:v>Suggested learning order; learners can still explore freely.</x:v>
      </x:c>
      <x:c r="I1306" s="10" t="str">
        <x:v>Curated curriculum relationship</x:v>
      </x:c>
    </x:row>
    <x:row r="1307" ht="58" customHeight="1">
      <x:c r="A1307" s="9" t="str">
        <x:v>E1302</x:v>
      </x:c>
      <x:c r="B1307" s="9" t="str">
        <x:v>T26.11</x:v>
      </x:c>
      <x:c r="C1307" s="9" t="str">
        <x:v>Merger models</x:v>
      </x:c>
      <x:c r="D1307" s="15" t="str">
        <x:v>PART_OF</x:v>
      </x:c>
      <x:c r="E1307" s="9" t="str">
        <x:v>D26</x:v>
      </x:c>
      <x:c r="F1307" s="9" t="str">
        <x:v>Mergers, acquisitions, and restructuring</x:v>
      </x:c>
      <x:c r="G1307" s="9" t="str">
        <x:v>Curriculum membership. Use this link to move between the topic and its finance area.</x:v>
      </x:c>
      <x:c r="H1307" s="9" t="str">
        <x:v>Classification only; this edge is not a causal or calculation relationship.</x:v>
      </x:c>
      <x:c r="I1307" s="9" t="str">
        <x:v>Curated curriculum relationship</x:v>
      </x:c>
    </x:row>
    <x:row r="1308" ht="58" customHeight="1">
      <x:c r="A1308" s="10" t="str">
        <x:v>E1303</x:v>
      </x:c>
      <x:c r="B1308" s="10" t="str">
        <x:v>T26.11</x:v>
      </x:c>
      <x:c r="C1308" s="10" t="str">
        <x:v>Merger models</x:v>
      </x:c>
      <x:c r="D1308" s="14" t="str">
        <x:v>EXPLORE_WITH</x:v>
      </x:c>
      <x:c r="E1308" s="10" t="str">
        <x:v>T26.10</x:v>
      </x:c>
      <x:c r="F1308" s="10" t="str">
        <x:v>Accretion and dilution</x:v>
      </x:c>
      <x:c r="G1308" s="10" t="str">
        <x:v>Study these together to separate operating value, financing, deal terms and execution risk.</x:v>
      </x:c>
      <x:c r="H1308" s="10" t="str">
        <x:v>A topical exploration link, not a claim that one determines the other.</x:v>
      </x:c>
      <x:c r="I1308" s="10" t="str">
        <x:v>Curated curriculum relationship</x:v>
      </x:c>
    </x:row>
    <x:row r="1309" ht="58" customHeight="1">
      <x:c r="A1309" s="9" t="str">
        <x:v>E1304</x:v>
      </x:c>
      <x:c r="B1309" s="9" t="str">
        <x:v>T17.03</x:v>
      </x:c>
      <x:c r="C1309" s="9" t="str">
        <x:v>Enterprise value versus equity value</x:v>
      </x:c>
      <x:c r="D1309" s="15" t="str">
        <x:v>RECOMMENDED_BEFORE</x:v>
      </x:c>
      <x:c r="E1309" s="9" t="str">
        <x:v>T26.11</x:v>
      </x:c>
      <x:c r="F1309" s="9" t="str">
        <x:v>Merger models</x:v>
      </x:c>
      <x:c r="G1309" s="9" t="str">
        <x:v>Suggested starting knowledge: Enterprise value versus equity value. It helps you separate operating value, financing, deal terms and execution risk.</x:v>
      </x:c>
      <x:c r="H1309" s="9" t="str">
        <x:v>Suggested learning order; learners can still explore freely.</x:v>
      </x:c>
      <x:c r="I1309" s="9" t="str">
        <x:v>Curated curriculum relationship</x:v>
      </x:c>
    </x:row>
    <x:row r="1310" ht="58" customHeight="1">
      <x:c r="A1310" s="10" t="str">
        <x:v>E1305</x:v>
      </x:c>
      <x:c r="B1310" s="10" t="str">
        <x:v>T26.12</x:v>
      </x:c>
      <x:c r="C1310" s="10" t="str">
        <x:v>Purchase-price adjustments and working-capital mechanisms</x:v>
      </x:c>
      <x:c r="D1310" s="14" t="str">
        <x:v>PART_OF</x:v>
      </x:c>
      <x:c r="E1310" s="10" t="str">
        <x:v>D26</x:v>
      </x:c>
      <x:c r="F1310" s="10" t="str">
        <x:v>Mergers, acquisitions, and restructuring</x:v>
      </x:c>
      <x:c r="G1310" s="10" t="str">
        <x:v>Curriculum membership. Use this link to move between the topic and its finance area.</x:v>
      </x:c>
      <x:c r="H1310" s="10" t="str">
        <x:v>Classification only; this edge is not a causal or calculation relationship.</x:v>
      </x:c>
      <x:c r="I1310" s="10" t="str">
        <x:v>Curated curriculum relationship</x:v>
      </x:c>
    </x:row>
    <x:row r="1311" ht="58" customHeight="1">
      <x:c r="A1311" s="9" t="str">
        <x:v>E1306</x:v>
      </x:c>
      <x:c r="B1311" s="9" t="str">
        <x:v>T26.12</x:v>
      </x:c>
      <x:c r="C1311" s="9" t="str">
        <x:v>Purchase-price adjustments and working-capital mechanisms</x:v>
      </x:c>
      <x:c r="D1311" s="15" t="str">
        <x:v>EXPLORE_WITH</x:v>
      </x:c>
      <x:c r="E1311" s="9" t="str">
        <x:v>T26.06</x:v>
      </x:c>
      <x:c r="F1311" s="9" t="str">
        <x:v>Transaction valuation</x:v>
      </x:c>
      <x:c r="G1311" s="9" t="str">
        <x:v>Study these together to separate operating value, financing, deal terms and execution risk.</x:v>
      </x:c>
      <x:c r="H1311" s="9" t="str">
        <x:v>A topical exploration link, not a claim that one determines the other.</x:v>
      </x:c>
      <x:c r="I1311" s="9" t="str">
        <x:v>Curated curriculum relationship</x:v>
      </x:c>
    </x:row>
    <x:row r="1312" ht="58" customHeight="1">
      <x:c r="A1312" s="10" t="str">
        <x:v>E1307</x:v>
      </x:c>
      <x:c r="B1312" s="10" t="str">
        <x:v>T17.03</x:v>
      </x:c>
      <x:c r="C1312" s="10" t="str">
        <x:v>Enterprise value versus equity value</x:v>
      </x:c>
      <x:c r="D1312" s="14" t="str">
        <x:v>RECOMMENDED_BEFORE</x:v>
      </x:c>
      <x:c r="E1312" s="10" t="str">
        <x:v>T26.12</x:v>
      </x:c>
      <x:c r="F1312" s="10" t="str">
        <x:v>Purchase-price adjustments and working-capital mechanisms</x:v>
      </x:c>
      <x:c r="G1312" s="10" t="str">
        <x:v>Suggested starting knowledge: Enterprise value versus equity value. It helps you separate operating value, financing, deal terms and execution risk.</x:v>
      </x:c>
      <x:c r="H1312" s="10" t="str">
        <x:v>Suggested learning order; learners can still explore freely.</x:v>
      </x:c>
      <x:c r="I1312" s="10" t="str">
        <x:v>Curated curriculum relationship</x:v>
      </x:c>
    </x:row>
    <x:row r="1313" ht="58" customHeight="1">
      <x:c r="A1313" s="9" t="str">
        <x:v>E1308</x:v>
      </x:c>
      <x:c r="B1313" s="9" t="str">
        <x:v>T26.13</x:v>
      </x:c>
      <x:c r="C1313" s="9" t="str">
        <x:v>Earn-outs and contingent consideration</x:v>
      </x:c>
      <x:c r="D1313" s="15" t="str">
        <x:v>PART_OF</x:v>
      </x:c>
      <x:c r="E1313" s="9" t="str">
        <x:v>D26</x:v>
      </x:c>
      <x:c r="F1313" s="9" t="str">
        <x:v>Mergers, acquisitions, and restructuring</x:v>
      </x:c>
      <x:c r="G1313" s="9" t="str">
        <x:v>Curriculum membership. Use this link to move between the topic and its finance area.</x:v>
      </x:c>
      <x:c r="H1313" s="9" t="str">
        <x:v>Classification only; this edge is not a causal or calculation relationship.</x:v>
      </x:c>
      <x:c r="I1313" s="9" t="str">
        <x:v>Curated curriculum relationship</x:v>
      </x:c>
    </x:row>
    <x:row r="1314" ht="58" customHeight="1">
      <x:c r="A1314" s="10" t="str">
        <x:v>E1309</x:v>
      </x:c>
      <x:c r="B1314" s="10" t="str">
        <x:v>T26.13</x:v>
      </x:c>
      <x:c r="C1314" s="10" t="str">
        <x:v>Earn-outs and contingent consideration</x:v>
      </x:c>
      <x:c r="D1314" s="14" t="str">
        <x:v>EXPLORE_WITH</x:v>
      </x:c>
      <x:c r="E1314" s="10" t="str">
        <x:v>T26.08</x:v>
      </x:c>
      <x:c r="F1314" s="10" t="str">
        <x:v>Cash, stock, and mixed consideration</x:v>
      </x:c>
      <x:c r="G1314" s="10" t="str">
        <x:v>Study these together to separate operating value, financing, deal terms and execution risk.</x:v>
      </x:c>
      <x:c r="H1314" s="10" t="str">
        <x:v>A topical exploration link, not a claim that one determines the other.</x:v>
      </x:c>
      <x:c r="I1314" s="10" t="str">
        <x:v>Curated curriculum relationship</x:v>
      </x:c>
    </x:row>
    <x:row r="1315" ht="58" customHeight="1">
      <x:c r="A1315" s="9" t="str">
        <x:v>E1310</x:v>
      </x:c>
      <x:c r="B1315" s="9" t="str">
        <x:v>T17.03</x:v>
      </x:c>
      <x:c r="C1315" s="9" t="str">
        <x:v>Enterprise value versus equity value</x:v>
      </x:c>
      <x:c r="D1315" s="15" t="str">
        <x:v>RECOMMENDED_BEFORE</x:v>
      </x:c>
      <x:c r="E1315" s="9" t="str">
        <x:v>T26.13</x:v>
      </x:c>
      <x:c r="F1315" s="9" t="str">
        <x:v>Earn-outs and contingent consideration</x:v>
      </x:c>
      <x:c r="G1315" s="9" t="str">
        <x:v>Suggested starting knowledge: Enterprise value versus equity value. It helps you separate operating value, financing, deal terms and execution risk.</x:v>
      </x:c>
      <x:c r="H1315" s="9" t="str">
        <x:v>Suggested learning order; learners can still explore freely.</x:v>
      </x:c>
      <x:c r="I1315" s="9" t="str">
        <x:v>Curated curriculum relationship</x:v>
      </x:c>
    </x:row>
    <x:row r="1316" ht="58" customHeight="1">
      <x:c r="A1316" s="10" t="str">
        <x:v>E1311</x:v>
      </x:c>
      <x:c r="B1316" s="10" t="str">
        <x:v>T26.14</x:v>
      </x:c>
      <x:c r="C1316" s="10" t="str">
        <x:v>Leveraged and management buyouts</x:v>
      </x:c>
      <x:c r="D1316" s="14" t="str">
        <x:v>PART_OF</x:v>
      </x:c>
      <x:c r="E1316" s="10" t="str">
        <x:v>D26</x:v>
      </x:c>
      <x:c r="F1316" s="10" t="str">
        <x:v>Mergers, acquisitions, and restructuring</x:v>
      </x:c>
      <x:c r="G1316" s="10" t="str">
        <x:v>Curriculum membership. Use this link to move between the topic and its finance area.</x:v>
      </x:c>
      <x:c r="H1316" s="10" t="str">
        <x:v>Classification only; this edge is not a causal or calculation relationship.</x:v>
      </x:c>
      <x:c r="I1316" s="10" t="str">
        <x:v>Curated curriculum relationship</x:v>
      </x:c>
    </x:row>
    <x:row r="1317" ht="58" customHeight="1">
      <x:c r="A1317" s="9" t="str">
        <x:v>E1312</x:v>
      </x:c>
      <x:c r="B1317" s="9" t="str">
        <x:v>T26.14</x:v>
      </x:c>
      <x:c r="C1317" s="9" t="str">
        <x:v>Leveraged and management buyouts</x:v>
      </x:c>
      <x:c r="D1317" s="15" t="str">
        <x:v>EXPLORE_WITH</x:v>
      </x:c>
      <x:c r="E1317" s="9" t="str">
        <x:v>T26.09</x:v>
      </x:c>
      <x:c r="F1317" s="9" t="str">
        <x:v>Acquisition financing</x:v>
      </x:c>
      <x:c r="G1317" s="9" t="str">
        <x:v>Study these together to separate operating value, financing, deal terms and execution risk.</x:v>
      </x:c>
      <x:c r="H1317" s="9" t="str">
        <x:v>A topical exploration link, not a claim that one determines the other.</x:v>
      </x:c>
      <x:c r="I1317" s="9" t="str">
        <x:v>Curated curriculum relationship</x:v>
      </x:c>
    </x:row>
    <x:row r="1318" ht="58" customHeight="1">
      <x:c r="A1318" s="10" t="str">
        <x:v>E1313</x:v>
      </x:c>
      <x:c r="B1318" s="10" t="str">
        <x:v>T17.03</x:v>
      </x:c>
      <x:c r="C1318" s="10" t="str">
        <x:v>Enterprise value versus equity value</x:v>
      </x:c>
      <x:c r="D1318" s="14" t="str">
        <x:v>RECOMMENDED_BEFORE</x:v>
      </x:c>
      <x:c r="E1318" s="10" t="str">
        <x:v>T26.14</x:v>
      </x:c>
      <x:c r="F1318" s="10" t="str">
        <x:v>Leveraged and management buyouts</x:v>
      </x:c>
      <x:c r="G1318" s="10" t="str">
        <x:v>Suggested starting knowledge: Enterprise value versus equity value. It helps you separate operating value, financing, deal terms and execution risk.</x:v>
      </x:c>
      <x:c r="H1318" s="10" t="str">
        <x:v>Suggested learning order; learners can still explore freely.</x:v>
      </x:c>
      <x:c r="I1318" s="10" t="str">
        <x:v>Curated curriculum relationship</x:v>
      </x:c>
    </x:row>
    <x:row r="1319" ht="58" customHeight="1">
      <x:c r="A1319" s="9" t="str">
        <x:v>E1314</x:v>
      </x:c>
      <x:c r="B1319" s="9" t="str">
        <x:v>T26.15</x:v>
      </x:c>
      <x:c r="C1319" s="9" t="str">
        <x:v>Divestitures, carve-outs, spin-offs, and split-offs</x:v>
      </x:c>
      <x:c r="D1319" s="15" t="str">
        <x:v>PART_OF</x:v>
      </x:c>
      <x:c r="E1319" s="9" t="str">
        <x:v>D26</x:v>
      </x:c>
      <x:c r="F1319" s="9" t="str">
        <x:v>Mergers, acquisitions, and restructuring</x:v>
      </x:c>
      <x:c r="G1319" s="9" t="str">
        <x:v>Curriculum membership. Use this link to move between the topic and its finance area.</x:v>
      </x:c>
      <x:c r="H1319" s="9" t="str">
        <x:v>Classification only; this edge is not a causal or calculation relationship.</x:v>
      </x:c>
      <x:c r="I1319" s="9" t="str">
        <x:v>Curated curriculum relationship</x:v>
      </x:c>
    </x:row>
    <x:row r="1320" ht="58" customHeight="1">
      <x:c r="A1320" s="10" t="str">
        <x:v>E1315</x:v>
      </x:c>
      <x:c r="B1320" s="10" t="str">
        <x:v>T26.15</x:v>
      </x:c>
      <x:c r="C1320" s="10" t="str">
        <x:v>Divestitures, carve-outs, spin-offs, and split-offs</x:v>
      </x:c>
      <x:c r="D1320" s="14" t="str">
        <x:v>EXPLORE_WITH</x:v>
      </x:c>
      <x:c r="E1320" s="10" t="str">
        <x:v>T26.01</x:v>
      </x:c>
      <x:c r="F1320" s="10" t="str">
        <x:v>Strategic rationale for acquisitions</x:v>
      </x:c>
      <x:c r="G1320" s="10" t="str">
        <x:v>Study these together to separate operating value, financing, deal terms and execution risk.</x:v>
      </x:c>
      <x:c r="H1320" s="10" t="str">
        <x:v>A topical exploration link, not a claim that one determines the other.</x:v>
      </x:c>
      <x:c r="I1320" s="10" t="str">
        <x:v>Curated curriculum relationship</x:v>
      </x:c>
    </x:row>
    <x:row r="1321" ht="58" customHeight="1">
      <x:c r="A1321" s="9" t="str">
        <x:v>E1316</x:v>
      </x:c>
      <x:c r="B1321" s="9" t="str">
        <x:v>T17.03</x:v>
      </x:c>
      <x:c r="C1321" s="9" t="str">
        <x:v>Enterprise value versus equity value</x:v>
      </x:c>
      <x:c r="D1321" s="15" t="str">
        <x:v>RECOMMENDED_BEFORE</x:v>
      </x:c>
      <x:c r="E1321" s="9" t="str">
        <x:v>T26.15</x:v>
      </x:c>
      <x:c r="F1321" s="9" t="str">
        <x:v>Divestitures, carve-outs, spin-offs, and split-offs</x:v>
      </x:c>
      <x:c r="G1321" s="9" t="str">
        <x:v>Suggested starting knowledge: Enterprise value versus equity value. It helps you separate operating value, financing, deal terms and execution risk.</x:v>
      </x:c>
      <x:c r="H1321" s="9" t="str">
        <x:v>Suggested learning order; learners can still explore freely.</x:v>
      </x:c>
      <x:c r="I1321" s="9" t="str">
        <x:v>Curated curriculum relationship</x:v>
      </x:c>
    </x:row>
    <x:row r="1322" ht="58" customHeight="1">
      <x:c r="A1322" s="10" t="str">
        <x:v>E1317</x:v>
      </x:c>
      <x:c r="B1322" s="10" t="str">
        <x:v>T26.16</x:v>
      </x:c>
      <x:c r="C1322" s="10" t="str">
        <x:v>Takeover defences and shareholder activism</x:v>
      </x:c>
      <x:c r="D1322" s="14" t="str">
        <x:v>PART_OF</x:v>
      </x:c>
      <x:c r="E1322" s="10" t="str">
        <x:v>D26</x:v>
      </x:c>
      <x:c r="F1322" s="10" t="str">
        <x:v>Mergers, acquisitions, and restructuring</x:v>
      </x:c>
      <x:c r="G1322" s="10" t="str">
        <x:v>Curriculum membership. Use this link to move between the topic and its finance area.</x:v>
      </x:c>
      <x:c r="H1322" s="10" t="str">
        <x:v>Classification only; this edge is not a causal or calculation relationship.</x:v>
      </x:c>
      <x:c r="I1322" s="10" t="str">
        <x:v>Curated curriculum relationship</x:v>
      </x:c>
    </x:row>
    <x:row r="1323" ht="58" customHeight="1">
      <x:c r="A1323" s="9" t="str">
        <x:v>E1318</x:v>
      </x:c>
      <x:c r="B1323" s="9" t="str">
        <x:v>T26.16</x:v>
      </x:c>
      <x:c r="C1323" s="9" t="str">
        <x:v>Takeover defences and shareholder activism</x:v>
      </x:c>
      <x:c r="D1323" s="15" t="str">
        <x:v>EXPLORE_WITH</x:v>
      </x:c>
      <x:c r="E1323" s="9" t="str">
        <x:v>T26.01</x:v>
      </x:c>
      <x:c r="F1323" s="9" t="str">
        <x:v>Strategic rationale for acquisitions</x:v>
      </x:c>
      <x:c r="G1323" s="9" t="str">
        <x:v>Study these together to separate operating value, financing, deal terms and execution risk.</x:v>
      </x:c>
      <x:c r="H1323" s="9" t="str">
        <x:v>A topical exploration link, not a claim that one determines the other.</x:v>
      </x:c>
      <x:c r="I1323" s="9" t="str">
        <x:v>Curated curriculum relationship</x:v>
      </x:c>
    </x:row>
    <x:row r="1324" ht="58" customHeight="1">
      <x:c r="A1324" s="10" t="str">
        <x:v>E1319</x:v>
      </x:c>
      <x:c r="B1324" s="10" t="str">
        <x:v>T17.03</x:v>
      </x:c>
      <x:c r="C1324" s="10" t="str">
        <x:v>Enterprise value versus equity value</x:v>
      </x:c>
      <x:c r="D1324" s="14" t="str">
        <x:v>RECOMMENDED_BEFORE</x:v>
      </x:c>
      <x:c r="E1324" s="10" t="str">
        <x:v>T26.16</x:v>
      </x:c>
      <x:c r="F1324" s="10" t="str">
        <x:v>Takeover defences and shareholder activism</x:v>
      </x:c>
      <x:c r="G1324" s="10" t="str">
        <x:v>Suggested starting knowledge: Enterprise value versus equity value. It helps you separate operating value, financing, deal terms and execution risk.</x:v>
      </x:c>
      <x:c r="H1324" s="10" t="str">
        <x:v>Suggested learning order; learners can still explore freely.</x:v>
      </x:c>
      <x:c r="I1324" s="10" t="str">
        <x:v>Curated curriculum relationship</x:v>
      </x:c>
    </x:row>
    <x:row r="1325" ht="58" customHeight="1">
      <x:c r="A1325" s="9" t="str">
        <x:v>E1320</x:v>
      </x:c>
      <x:c r="B1325" s="9" t="str">
        <x:v>T26.17</x:v>
      </x:c>
      <x:c r="C1325" s="9" t="str">
        <x:v>Financial restructuring and debt exchanges</x:v>
      </x:c>
      <x:c r="D1325" s="15" t="str">
        <x:v>PART_OF</x:v>
      </x:c>
      <x:c r="E1325" s="9" t="str">
        <x:v>D26</x:v>
      </x:c>
      <x:c r="F1325" s="9" t="str">
        <x:v>Mergers, acquisitions, and restructuring</x:v>
      </x:c>
      <x:c r="G1325" s="9" t="str">
        <x:v>Curriculum membership. Use this link to move between the topic and its finance area.</x:v>
      </x:c>
      <x:c r="H1325" s="9" t="str">
        <x:v>Classification only; this edge is not a causal or calculation relationship.</x:v>
      </x:c>
      <x:c r="I1325" s="9" t="str">
        <x:v>Curated curriculum relationship</x:v>
      </x:c>
    </x:row>
    <x:row r="1326" ht="58" customHeight="1">
      <x:c r="A1326" s="10" t="str">
        <x:v>E1321</x:v>
      </x:c>
      <x:c r="B1326" s="10" t="str">
        <x:v>T26.17</x:v>
      </x:c>
      <x:c r="C1326" s="10" t="str">
        <x:v>Financial restructuring and debt exchanges</x:v>
      </x:c>
      <x:c r="D1326" s="14" t="str">
        <x:v>EXPLORE_WITH</x:v>
      </x:c>
      <x:c r="E1326" s="10" t="str">
        <x:v>T26.18</x:v>
      </x:c>
      <x:c r="F1326" s="10" t="str">
        <x:v>Bankruptcy, insolvency, and recovery waterfalls</x:v>
      </x:c>
      <x:c r="G1326" s="10" t="str">
        <x:v>Study these together to separate operating value, financing, deal terms and execution risk.</x:v>
      </x:c>
      <x:c r="H1326" s="10" t="str">
        <x:v>A topical exploration link, not a claim that one determines the other.</x:v>
      </x:c>
      <x:c r="I1326" s="10" t="str">
        <x:v>Curated curriculum relationship</x:v>
      </x:c>
    </x:row>
    <x:row r="1327" ht="58" customHeight="1">
      <x:c r="A1327" s="9" t="str">
        <x:v>E1322</x:v>
      </x:c>
      <x:c r="B1327" s="9" t="str">
        <x:v>T17.03</x:v>
      </x:c>
      <x:c r="C1327" s="9" t="str">
        <x:v>Enterprise value versus equity value</x:v>
      </x:c>
      <x:c r="D1327" s="15" t="str">
        <x:v>RECOMMENDED_BEFORE</x:v>
      </x:c>
      <x:c r="E1327" s="9" t="str">
        <x:v>T26.17</x:v>
      </x:c>
      <x:c r="F1327" s="9" t="str">
        <x:v>Financial restructuring and debt exchanges</x:v>
      </x:c>
      <x:c r="G1327" s="9" t="str">
        <x:v>Suggested starting knowledge: Enterprise value versus equity value. It helps you separate operating value, financing, deal terms and execution risk.</x:v>
      </x:c>
      <x:c r="H1327" s="9" t="str">
        <x:v>Suggested learning order; learners can still explore freely.</x:v>
      </x:c>
      <x:c r="I1327" s="9" t="str">
        <x:v>Curated curriculum relationship</x:v>
      </x:c>
    </x:row>
    <x:row r="1328" ht="58" customHeight="1">
      <x:c r="A1328" s="10" t="str">
        <x:v>E1323</x:v>
      </x:c>
      <x:c r="B1328" s="10" t="str">
        <x:v>T26.18</x:v>
      </x:c>
      <x:c r="C1328" s="10" t="str">
        <x:v>Bankruptcy, insolvency, and recovery waterfalls</x:v>
      </x:c>
      <x:c r="D1328" s="14" t="str">
        <x:v>PART_OF</x:v>
      </x:c>
      <x:c r="E1328" s="10" t="str">
        <x:v>D26</x:v>
      </x:c>
      <x:c r="F1328" s="10" t="str">
        <x:v>Mergers, acquisitions, and restructuring</x:v>
      </x:c>
      <x:c r="G1328" s="10" t="str">
        <x:v>Curriculum membership. Use this link to move between the topic and its finance area.</x:v>
      </x:c>
      <x:c r="H1328" s="10" t="str">
        <x:v>Classification only; this edge is not a causal or calculation relationship.</x:v>
      </x:c>
      <x:c r="I1328" s="10" t="str">
        <x:v>Curated curriculum relationship</x:v>
      </x:c>
    </x:row>
    <x:row r="1329" ht="58" customHeight="1">
      <x:c r="A1329" s="9" t="str">
        <x:v>E1324</x:v>
      </x:c>
      <x:c r="B1329" s="9" t="str">
        <x:v>T26.18</x:v>
      </x:c>
      <x:c r="C1329" s="9" t="str">
        <x:v>Bankruptcy, insolvency, and recovery waterfalls</x:v>
      </x:c>
      <x:c r="D1329" s="15" t="str">
        <x:v>EXPLORE_WITH</x:v>
      </x:c>
      <x:c r="E1329" s="9" t="str">
        <x:v>T26.17</x:v>
      </x:c>
      <x:c r="F1329" s="9" t="str">
        <x:v>Financial restructuring and debt exchanges</x:v>
      </x:c>
      <x:c r="G1329" s="9" t="str">
        <x:v>Study these together to separate operating value, financing, deal terms and execution risk.</x:v>
      </x:c>
      <x:c r="H1329" s="9" t="str">
        <x:v>A topical exploration link, not a claim that one determines the other.</x:v>
      </x:c>
      <x:c r="I1329" s="9" t="str">
        <x:v>Curated curriculum relationship</x:v>
      </x:c>
    </x:row>
    <x:row r="1330" ht="58" customHeight="1">
      <x:c r="A1330" s="10" t="str">
        <x:v>E1325</x:v>
      </x:c>
      <x:c r="B1330" s="10" t="str">
        <x:v>T17.03</x:v>
      </x:c>
      <x:c r="C1330" s="10" t="str">
        <x:v>Enterprise value versus equity value</x:v>
      </x:c>
      <x:c r="D1330" s="14" t="str">
        <x:v>RECOMMENDED_BEFORE</x:v>
      </x:c>
      <x:c r="E1330" s="10" t="str">
        <x:v>T26.18</x:v>
      </x:c>
      <x:c r="F1330" s="10" t="str">
        <x:v>Bankruptcy, insolvency, and recovery waterfalls</x:v>
      </x:c>
      <x:c r="G1330" s="10" t="str">
        <x:v>Suggested starting knowledge: Enterprise value versus equity value. It helps you separate operating value, financing, deal terms and execution risk.</x:v>
      </x:c>
      <x:c r="H1330" s="10" t="str">
        <x:v>Suggested learning order; learners can still explore freely.</x:v>
      </x:c>
      <x:c r="I1330" s="10" t="str">
        <x:v>Curated curriculum relationship</x:v>
      </x:c>
    </x:row>
    <x:row r="1331" ht="58" customHeight="1">
      <x:c r="A1331" s="9" t="str">
        <x:v>E1326</x:v>
      </x:c>
      <x:c r="B1331" s="9" t="str">
        <x:v>T26.19</x:v>
      </x:c>
      <x:c r="C1331" s="9" t="str">
        <x:v>Post-merger integration and value tracking</x:v>
      </x:c>
      <x:c r="D1331" s="15" t="str">
        <x:v>PART_OF</x:v>
      </x:c>
      <x:c r="E1331" s="9" t="str">
        <x:v>D26</x:v>
      </x:c>
      <x:c r="F1331" s="9" t="str">
        <x:v>Mergers, acquisitions, and restructuring</x:v>
      </x:c>
      <x:c r="G1331" s="9" t="str">
        <x:v>Curriculum membership. Use this link to move between the topic and its finance area.</x:v>
      </x:c>
      <x:c r="H1331" s="9" t="str">
        <x:v>Classification only; this edge is not a causal or calculation relationship.</x:v>
      </x:c>
      <x:c r="I1331" s="9" t="str">
        <x:v>Curated curriculum relationship</x:v>
      </x:c>
    </x:row>
    <x:row r="1332" ht="58" customHeight="1">
      <x:c r="A1332" s="10" t="str">
        <x:v>E1327</x:v>
      </x:c>
      <x:c r="B1332" s="10" t="str">
        <x:v>T26.19</x:v>
      </x:c>
      <x:c r="C1332" s="10" t="str">
        <x:v>Post-merger integration and value tracking</x:v>
      </x:c>
      <x:c r="D1332" s="14" t="str">
        <x:v>EXPLORE_WITH</x:v>
      </x:c>
      <x:c r="E1332" s="10" t="str">
        <x:v>T26.07</x:v>
      </x:c>
      <x:c r="F1332" s="10" t="str">
        <x:v>Synergies, dis-synergies, and integration costs</x:v>
      </x:c>
      <x:c r="G1332" s="10" t="str">
        <x:v>Study these together to separate operating value, financing, deal terms and execution risk.</x:v>
      </x:c>
      <x:c r="H1332" s="10" t="str">
        <x:v>A topical exploration link, not a claim that one determines the other.</x:v>
      </x:c>
      <x:c r="I1332" s="10" t="str">
        <x:v>Curated curriculum relationship</x:v>
      </x:c>
    </x:row>
    <x:row r="1333" ht="58" customHeight="1">
      <x:c r="A1333" s="9" t="str">
        <x:v>E1328</x:v>
      </x:c>
      <x:c r="B1333" s="9" t="str">
        <x:v>T17.03</x:v>
      </x:c>
      <x:c r="C1333" s="9" t="str">
        <x:v>Enterprise value versus equity value</x:v>
      </x:c>
      <x:c r="D1333" s="15" t="str">
        <x:v>RECOMMENDED_BEFORE</x:v>
      </x:c>
      <x:c r="E1333" s="9" t="str">
        <x:v>T26.19</x:v>
      </x:c>
      <x:c r="F1333" s="9" t="str">
        <x:v>Post-merger integration and value tracking</x:v>
      </x:c>
      <x:c r="G1333" s="9" t="str">
        <x:v>Suggested starting knowledge: Enterprise value versus equity value. It helps you separate operating value, financing, deal terms and execution risk.</x:v>
      </x:c>
      <x:c r="H1333" s="9" t="str">
        <x:v>Suggested learning order; learners can still explore freely.</x:v>
      </x:c>
      <x:c r="I1333" s="9" t="str">
        <x:v>Curated curriculum relationship</x:v>
      </x:c>
    </x:row>
    <x:row r="1334" ht="58" customHeight="1">
      <x:c r="A1334" s="10" t="str">
        <x:v>E1329</x:v>
      </x:c>
      <x:c r="B1334" s="10" t="str">
        <x:v>T27.01</x:v>
      </x:c>
      <x:c r="C1334" s="10" t="str">
        <x:v>Bootstrapping and startup cash management</x:v>
      </x:c>
      <x:c r="D1334" s="14" t="str">
        <x:v>PART_OF</x:v>
      </x:c>
      <x:c r="E1334" s="10" t="str">
        <x:v>D27</x:v>
      </x:c>
      <x:c r="F1334" s="10" t="str">
        <x:v>Startup and entrepreneurial finance</x:v>
      </x:c>
      <x:c r="G1334" s="10" t="str">
        <x:v>Curriculum membership. Use this link to move between the topic and its finance area.</x:v>
      </x:c>
      <x:c r="H1334" s="10" t="str">
        <x:v>Classification only; this edge is not a causal or calculation relationship.</x:v>
      </x:c>
      <x:c r="I1334" s="10" t="str">
        <x:v>Curated curriculum relationship</x:v>
      </x:c>
    </x:row>
    <x:row r="1335" ht="58" customHeight="1">
      <x:c r="A1335" s="9" t="str">
        <x:v>E1330</x:v>
      </x:c>
      <x:c r="B1335" s="9" t="str">
        <x:v>T27.01</x:v>
      </x:c>
      <x:c r="C1335" s="9" t="str">
        <x:v>Bootstrapping and startup cash management</x:v>
      </x:c>
      <x:c r="D1335" s="15" t="str">
        <x:v>EXPLORE_WITH</x:v>
      </x:c>
      <x:c r="E1335" s="9" t="str">
        <x:v>T27.03</x:v>
      </x:c>
      <x:c r="F1335" s="9" t="str">
        <x:v>Burn rate, net burn, and runway</x:v>
      </x:c>
      <x:c r="G1335" s="9" t="str">
        <x:v>Study these together to connect operating milestones, cash runway, financing terms and founder ownership.</x:v>
      </x:c>
      <x:c r="H1335" s="9" t="str">
        <x:v>A topical exploration link, not a claim that one determines the other.</x:v>
      </x:c>
      <x:c r="I1335" s="9" t="str">
        <x:v>Curated curriculum relationship</x:v>
      </x:c>
    </x:row>
    <x:row r="1336" ht="58" customHeight="1">
      <x:c r="A1336" s="10" t="str">
        <x:v>E1331</x:v>
      </x:c>
      <x:c r="B1336" s="10" t="str">
        <x:v>T11.01</x:v>
      </x:c>
      <x:c r="C1336" s="10" t="str">
        <x:v>Revenue models and cost structures</x:v>
      </x:c>
      <x:c r="D1336" s="14" t="str">
        <x:v>RECOMMENDED_BEFORE</x:v>
      </x:c>
      <x:c r="E1336" s="10" t="str">
        <x:v>T27.01</x:v>
      </x:c>
      <x:c r="F1336" s="10" t="str">
        <x:v>Bootstrapping and startup cash management</x:v>
      </x:c>
      <x:c r="G1336" s="10" t="str">
        <x:v>Suggested starting knowledge: Revenue models and cost structures. It helps you connect operating milestones, cash runway, financing terms and founder ownership.</x:v>
      </x:c>
      <x:c r="H1336" s="10" t="str">
        <x:v>Suggested learning order; learners can still explore freely.</x:v>
      </x:c>
      <x:c r="I1336" s="10" t="str">
        <x:v>Curated curriculum relationship</x:v>
      </x:c>
    </x:row>
    <x:row r="1337" ht="58" customHeight="1">
      <x:c r="A1337" s="9" t="str">
        <x:v>E1332</x:v>
      </x:c>
      <x:c r="B1337" s="9" t="str">
        <x:v>T27.02</x:v>
      </x:c>
      <x:c r="C1337" s="9" t="str">
        <x:v>Business models and startup financial plans</x:v>
      </x:c>
      <x:c r="D1337" s="15" t="str">
        <x:v>PART_OF</x:v>
      </x:c>
      <x:c r="E1337" s="9" t="str">
        <x:v>D27</x:v>
      </x:c>
      <x:c r="F1337" s="9" t="str">
        <x:v>Startup and entrepreneurial finance</x:v>
      </x:c>
      <x:c r="G1337" s="9" t="str">
        <x:v>Curriculum membership. Use this link to move between the topic and its finance area.</x:v>
      </x:c>
      <x:c r="H1337" s="9" t="str">
        <x:v>Classification only; this edge is not a causal or calculation relationship.</x:v>
      </x:c>
      <x:c r="I1337" s="9" t="str">
        <x:v>Curated curriculum relationship</x:v>
      </x:c>
    </x:row>
    <x:row r="1338" ht="58" customHeight="1">
      <x:c r="A1338" s="10" t="str">
        <x:v>E1333</x:v>
      </x:c>
      <x:c r="B1338" s="10" t="str">
        <x:v>T27.02</x:v>
      </x:c>
      <x:c r="C1338" s="10" t="str">
        <x:v>Business models and startup financial plans</x:v>
      </x:c>
      <x:c r="D1338" s="14" t="str">
        <x:v>EXPLORE_WITH</x:v>
      </x:c>
      <x:c r="E1338" s="10" t="str">
        <x:v>T27.15</x:v>
      </x:c>
      <x:c r="F1338" s="10" t="str">
        <x:v>SaaS, marketplace, consumer, and fintech economics</x:v>
      </x:c>
      <x:c r="G1338" s="10" t="str">
        <x:v>Study these together to connect operating milestones, cash runway, financing terms and founder ownership.</x:v>
      </x:c>
      <x:c r="H1338" s="10" t="str">
        <x:v>A topical exploration link, not a claim that one determines the other.</x:v>
      </x:c>
      <x:c r="I1338" s="10" t="str">
        <x:v>Curated curriculum relationship</x:v>
      </x:c>
    </x:row>
    <x:row r="1339" ht="58" customHeight="1">
      <x:c r="A1339" s="9" t="str">
        <x:v>E1334</x:v>
      </x:c>
      <x:c r="B1339" s="9" t="str">
        <x:v>T11.01</x:v>
      </x:c>
      <x:c r="C1339" s="9" t="str">
        <x:v>Revenue models and cost structures</x:v>
      </x:c>
      <x:c r="D1339" s="15" t="str">
        <x:v>RECOMMENDED_BEFORE</x:v>
      </x:c>
      <x:c r="E1339" s="9" t="str">
        <x:v>T27.02</x:v>
      </x:c>
      <x:c r="F1339" s="9" t="str">
        <x:v>Business models and startup financial plans</x:v>
      </x:c>
      <x:c r="G1339" s="9" t="str">
        <x:v>Suggested starting knowledge: Revenue models and cost structures. It helps you connect operating milestones, cash runway, financing terms and founder ownership.</x:v>
      </x:c>
      <x:c r="H1339" s="9" t="str">
        <x:v>Suggested learning order; learners can still explore freely.</x:v>
      </x:c>
      <x:c r="I1339" s="9" t="str">
        <x:v>Curated curriculum relationship</x:v>
      </x:c>
    </x:row>
    <x:row r="1340" ht="58" customHeight="1">
      <x:c r="A1340" s="10" t="str">
        <x:v>E1335</x:v>
      </x:c>
      <x:c r="B1340" s="10" t="str">
        <x:v>T27.03</x:v>
      </x:c>
      <x:c r="C1340" s="10" t="str">
        <x:v>Burn rate, net burn, and runway</x:v>
      </x:c>
      <x:c r="D1340" s="14" t="str">
        <x:v>PART_OF</x:v>
      </x:c>
      <x:c r="E1340" s="10" t="str">
        <x:v>D27</x:v>
      </x:c>
      <x:c r="F1340" s="10" t="str">
        <x:v>Startup and entrepreneurial finance</x:v>
      </x:c>
      <x:c r="G1340" s="10" t="str">
        <x:v>Curriculum membership. Use this link to move between the topic and its finance area.</x:v>
      </x:c>
      <x:c r="H1340" s="10" t="str">
        <x:v>Classification only; this edge is not a causal or calculation relationship.</x:v>
      </x:c>
      <x:c r="I1340" s="10" t="str">
        <x:v>Curated curriculum relationship</x:v>
      </x:c>
    </x:row>
    <x:row r="1341" ht="58" customHeight="1">
      <x:c r="A1341" s="9" t="str">
        <x:v>E1336</x:v>
      </x:c>
      <x:c r="B1341" s="9" t="str">
        <x:v>T27.03</x:v>
      </x:c>
      <x:c r="C1341" s="9" t="str">
        <x:v>Burn rate, net burn, and runway</x:v>
      </x:c>
      <x:c r="D1341" s="15" t="str">
        <x:v>EXPLORE_WITH</x:v>
      </x:c>
      <x:c r="E1341" s="9" t="str">
        <x:v>T27.01</x:v>
      </x:c>
      <x:c r="F1341" s="9" t="str">
        <x:v>Bootstrapping and startup cash management</x:v>
      </x:c>
      <x:c r="G1341" s="9" t="str">
        <x:v>Study these together to connect operating milestones, cash runway, financing terms and founder ownership.</x:v>
      </x:c>
      <x:c r="H1341" s="9" t="str">
        <x:v>A topical exploration link, not a claim that one determines the other.</x:v>
      </x:c>
      <x:c r="I1341" s="9" t="str">
        <x:v>Curated curriculum relationship</x:v>
      </x:c>
    </x:row>
    <x:row r="1342" ht="58" customHeight="1">
      <x:c r="A1342" s="10" t="str">
        <x:v>E1337</x:v>
      </x:c>
      <x:c r="B1342" s="10" t="str">
        <x:v>T11.01</x:v>
      </x:c>
      <x:c r="C1342" s="10" t="str">
        <x:v>Revenue models and cost structures</x:v>
      </x:c>
      <x:c r="D1342" s="14" t="str">
        <x:v>RECOMMENDED_BEFORE</x:v>
      </x:c>
      <x:c r="E1342" s="10" t="str">
        <x:v>T27.03</x:v>
      </x:c>
      <x:c r="F1342" s="10" t="str">
        <x:v>Burn rate, net burn, and runway</x:v>
      </x:c>
      <x:c r="G1342" s="10" t="str">
        <x:v>Suggested starting knowledge: Revenue models and cost structures. It helps you connect operating milestones, cash runway, financing terms and founder ownership.</x:v>
      </x:c>
      <x:c r="H1342" s="10" t="str">
        <x:v>Suggested learning order; learners can still explore freely.</x:v>
      </x:c>
      <x:c r="I1342" s="10" t="str">
        <x:v>Curated curriculum relationship</x:v>
      </x:c>
    </x:row>
    <x:row r="1343" ht="58" customHeight="1">
      <x:c r="A1343" s="9" t="str">
        <x:v>E1338</x:v>
      </x:c>
      <x:c r="B1343" s="9" t="str">
        <x:v>T27.04</x:v>
      </x:c>
      <x:c r="C1343" s="9" t="str">
        <x:v>Product-market fit and financing milestones</x:v>
      </x:c>
      <x:c r="D1343" s="15" t="str">
        <x:v>PART_OF</x:v>
      </x:c>
      <x:c r="E1343" s="9" t="str">
        <x:v>D27</x:v>
      </x:c>
      <x:c r="F1343" s="9" t="str">
        <x:v>Startup and entrepreneurial finance</x:v>
      </x:c>
      <x:c r="G1343" s="9" t="str">
        <x:v>Curriculum membership. Use this link to move between the topic and its finance area.</x:v>
      </x:c>
      <x:c r="H1343" s="9" t="str">
        <x:v>Classification only; this edge is not a causal or calculation relationship.</x:v>
      </x:c>
      <x:c r="I1343" s="9" t="str">
        <x:v>Curated curriculum relationship</x:v>
      </x:c>
    </x:row>
    <x:row r="1344" ht="58" customHeight="1">
      <x:c r="A1344" s="10" t="str">
        <x:v>E1339</x:v>
      </x:c>
      <x:c r="B1344" s="10" t="str">
        <x:v>T27.04</x:v>
      </x:c>
      <x:c r="C1344" s="10" t="str">
        <x:v>Product-market fit and financing milestones</x:v>
      </x:c>
      <x:c r="D1344" s="14" t="str">
        <x:v>EXPLORE_WITH</x:v>
      </x:c>
      <x:c r="E1344" s="10" t="str">
        <x:v>T27.05</x:v>
      </x:c>
      <x:c r="F1344" s="10" t="str">
        <x:v>Angel, seed, venture, and growth funding</x:v>
      </x:c>
      <x:c r="G1344" s="10" t="str">
        <x:v>Study these together to connect operating milestones, cash runway, financing terms and founder ownership.</x:v>
      </x:c>
      <x:c r="H1344" s="10" t="str">
        <x:v>A topical exploration link, not a claim that one determines the other.</x:v>
      </x:c>
      <x:c r="I1344" s="10" t="str">
        <x:v>Curated curriculum relationship</x:v>
      </x:c>
    </x:row>
    <x:row r="1345" ht="58" customHeight="1">
      <x:c r="A1345" s="9" t="str">
        <x:v>E1340</x:v>
      </x:c>
      <x:c r="B1345" s="9" t="str">
        <x:v>T11.01</x:v>
      </x:c>
      <x:c r="C1345" s="9" t="str">
        <x:v>Revenue models and cost structures</x:v>
      </x:c>
      <x:c r="D1345" s="15" t="str">
        <x:v>RECOMMENDED_BEFORE</x:v>
      </x:c>
      <x:c r="E1345" s="9" t="str">
        <x:v>T27.04</x:v>
      </x:c>
      <x:c r="F1345" s="9" t="str">
        <x:v>Product-market fit and financing milestones</x:v>
      </x:c>
      <x:c r="G1345" s="9" t="str">
        <x:v>Suggested starting knowledge: Revenue models and cost structures. It helps you connect operating milestones, cash runway, financing terms and founder ownership.</x:v>
      </x:c>
      <x:c r="H1345" s="9" t="str">
        <x:v>Suggested learning order; learners can still explore freely.</x:v>
      </x:c>
      <x:c r="I1345" s="9" t="str">
        <x:v>Curated curriculum relationship</x:v>
      </x:c>
    </x:row>
    <x:row r="1346" ht="58" customHeight="1">
      <x:c r="A1346" s="10" t="str">
        <x:v>E1341</x:v>
      </x:c>
      <x:c r="B1346" s="10" t="str">
        <x:v>T27.05</x:v>
      </x:c>
      <x:c r="C1346" s="10" t="str">
        <x:v>Angel, seed, venture, and growth funding</x:v>
      </x:c>
      <x:c r="D1346" s="14" t="str">
        <x:v>PART_OF</x:v>
      </x:c>
      <x:c r="E1346" s="10" t="str">
        <x:v>D27</x:v>
      </x:c>
      <x:c r="F1346" s="10" t="str">
        <x:v>Startup and entrepreneurial finance</x:v>
      </x:c>
      <x:c r="G1346" s="10" t="str">
        <x:v>Curriculum membership. Use this link to move between the topic and its finance area.</x:v>
      </x:c>
      <x:c r="H1346" s="10" t="str">
        <x:v>Classification only; this edge is not a causal or calculation relationship.</x:v>
      </x:c>
      <x:c r="I1346" s="10" t="str">
        <x:v>Curated curriculum relationship</x:v>
      </x:c>
    </x:row>
    <x:row r="1347" ht="58" customHeight="1">
      <x:c r="A1347" s="9" t="str">
        <x:v>E1342</x:v>
      </x:c>
      <x:c r="B1347" s="9" t="str">
        <x:v>T27.05</x:v>
      </x:c>
      <x:c r="C1347" s="9" t="str">
        <x:v>Angel, seed, venture, and growth funding</x:v>
      </x:c>
      <x:c r="D1347" s="15" t="str">
        <x:v>EXPLORE_WITH</x:v>
      </x:c>
      <x:c r="E1347" s="9" t="str">
        <x:v>T27.09</x:v>
      </x:c>
      <x:c r="F1347" s="9" t="str">
        <x:v>Term sheets</x:v>
      </x:c>
      <x:c r="G1347" s="9" t="str">
        <x:v>Study these together to connect operating milestones, cash runway, financing terms and founder ownership.</x:v>
      </x:c>
      <x:c r="H1347" s="9" t="str">
        <x:v>A topical exploration link, not a claim that one determines the other.</x:v>
      </x:c>
      <x:c r="I1347" s="9" t="str">
        <x:v>Curated curriculum relationship</x:v>
      </x:c>
    </x:row>
    <x:row r="1348" ht="58" customHeight="1">
      <x:c r="A1348" s="10" t="str">
        <x:v>E1343</x:v>
      </x:c>
      <x:c r="B1348" s="10" t="str">
        <x:v>T11.01</x:v>
      </x:c>
      <x:c r="C1348" s="10" t="str">
        <x:v>Revenue models and cost structures</x:v>
      </x:c>
      <x:c r="D1348" s="14" t="str">
        <x:v>RECOMMENDED_BEFORE</x:v>
      </x:c>
      <x:c r="E1348" s="10" t="str">
        <x:v>T27.05</x:v>
      </x:c>
      <x:c r="F1348" s="10" t="str">
        <x:v>Angel, seed, venture, and growth funding</x:v>
      </x:c>
      <x:c r="G1348" s="10" t="str">
        <x:v>Suggested starting knowledge: Revenue models and cost structures. It helps you connect operating milestones, cash runway, financing terms and founder ownership.</x:v>
      </x:c>
      <x:c r="H1348" s="10" t="str">
        <x:v>Suggested learning order; learners can still explore freely.</x:v>
      </x:c>
      <x:c r="I1348" s="10" t="str">
        <x:v>Curated curriculum relationship</x:v>
      </x:c>
    </x:row>
    <x:row r="1349" ht="58" customHeight="1">
      <x:c r="A1349" s="9" t="str">
        <x:v>E1344</x:v>
      </x:c>
      <x:c r="B1349" s="9" t="str">
        <x:v>T27.06</x:v>
      </x:c>
      <x:c r="C1349" s="9" t="str">
        <x:v>Cap tables and dilution</x:v>
      </x:c>
      <x:c r="D1349" s="15" t="str">
        <x:v>PART_OF</x:v>
      </x:c>
      <x:c r="E1349" s="9" t="str">
        <x:v>D27</x:v>
      </x:c>
      <x:c r="F1349" s="9" t="str">
        <x:v>Startup and entrepreneurial finance</x:v>
      </x:c>
      <x:c r="G1349" s="9" t="str">
        <x:v>Curriculum membership. Use this link to move between the topic and its finance area.</x:v>
      </x:c>
      <x:c r="H1349" s="9" t="str">
        <x:v>Classification only; this edge is not a causal or calculation relationship.</x:v>
      </x:c>
      <x:c r="I1349" s="9" t="str">
        <x:v>Curated curriculum relationship</x:v>
      </x:c>
    </x:row>
    <x:row r="1350" ht="58" customHeight="1">
      <x:c r="A1350" s="10" t="str">
        <x:v>E1345</x:v>
      </x:c>
      <x:c r="B1350" s="10" t="str">
        <x:v>T27.06</x:v>
      </x:c>
      <x:c r="C1350" s="10" t="str">
        <x:v>Cap tables and dilution</x:v>
      </x:c>
      <x:c r="D1350" s="14" t="str">
        <x:v>EXPLORE_WITH</x:v>
      </x:c>
      <x:c r="E1350" s="10" t="str">
        <x:v>T27.07</x:v>
      </x:c>
      <x:c r="F1350" s="10" t="str">
        <x:v>Pre-money and post-money valuation</x:v>
      </x:c>
      <x:c r="G1350" s="10" t="str">
        <x:v>Study these together to connect operating milestones, cash runway, financing terms and founder ownership.</x:v>
      </x:c>
      <x:c r="H1350" s="10" t="str">
        <x:v>A topical exploration link, not a claim that one determines the other.</x:v>
      </x:c>
      <x:c r="I1350" s="10" t="str">
        <x:v>Curated curriculum relationship</x:v>
      </x:c>
    </x:row>
    <x:row r="1351" ht="58" customHeight="1">
      <x:c r="A1351" s="9" t="str">
        <x:v>E1346</x:v>
      </x:c>
      <x:c r="B1351" s="9" t="str">
        <x:v>T11.01</x:v>
      </x:c>
      <x:c r="C1351" s="9" t="str">
        <x:v>Revenue models and cost structures</x:v>
      </x:c>
      <x:c r="D1351" s="15" t="str">
        <x:v>RECOMMENDED_BEFORE</x:v>
      </x:c>
      <x:c r="E1351" s="9" t="str">
        <x:v>T27.06</x:v>
      </x:c>
      <x:c r="F1351" s="9" t="str">
        <x:v>Cap tables and dilution</x:v>
      </x:c>
      <x:c r="G1351" s="9" t="str">
        <x:v>Suggested starting knowledge: Revenue models and cost structures. It helps you connect operating milestones, cash runway, financing terms and founder ownership.</x:v>
      </x:c>
      <x:c r="H1351" s="9" t="str">
        <x:v>Suggested learning order; learners can still explore freely.</x:v>
      </x:c>
      <x:c r="I1351" s="9" t="str">
        <x:v>Curated curriculum relationship</x:v>
      </x:c>
    </x:row>
    <x:row r="1352" ht="58" customHeight="1">
      <x:c r="A1352" s="10" t="str">
        <x:v>E1347</x:v>
      </x:c>
      <x:c r="B1352" s="10" t="str">
        <x:v>T27.07</x:v>
      </x:c>
      <x:c r="C1352" s="10" t="str">
        <x:v>Pre-money and post-money valuation</x:v>
      </x:c>
      <x:c r="D1352" s="14" t="str">
        <x:v>PART_OF</x:v>
      </x:c>
      <x:c r="E1352" s="10" t="str">
        <x:v>D27</x:v>
      </x:c>
      <x:c r="F1352" s="10" t="str">
        <x:v>Startup and entrepreneurial finance</x:v>
      </x:c>
      <x:c r="G1352" s="10" t="str">
        <x:v>Curriculum membership. Use this link to move between the topic and its finance area.</x:v>
      </x:c>
      <x:c r="H1352" s="10" t="str">
        <x:v>Classification only; this edge is not a causal or calculation relationship.</x:v>
      </x:c>
      <x:c r="I1352" s="10" t="str">
        <x:v>Curated curriculum relationship</x:v>
      </x:c>
    </x:row>
    <x:row r="1353" ht="58" customHeight="1">
      <x:c r="A1353" s="9" t="str">
        <x:v>E1348</x:v>
      </x:c>
      <x:c r="B1353" s="9" t="str">
        <x:v>T27.07</x:v>
      </x:c>
      <x:c r="C1353" s="9" t="str">
        <x:v>Pre-money and post-money valuation</x:v>
      </x:c>
      <x:c r="D1353" s="15" t="str">
        <x:v>EXPLORE_WITH</x:v>
      </x:c>
      <x:c r="E1353" s="9" t="str">
        <x:v>T27.06</x:v>
      </x:c>
      <x:c r="F1353" s="9" t="str">
        <x:v>Cap tables and dilution</x:v>
      </x:c>
      <x:c r="G1353" s="9" t="str">
        <x:v>Study these together to connect operating milestones, cash runway, financing terms and founder ownership.</x:v>
      </x:c>
      <x:c r="H1353" s="9" t="str">
        <x:v>A topical exploration link, not a claim that one determines the other.</x:v>
      </x:c>
      <x:c r="I1353" s="9" t="str">
        <x:v>Curated curriculum relationship</x:v>
      </x:c>
    </x:row>
    <x:row r="1354" ht="58" customHeight="1">
      <x:c r="A1354" s="10" t="str">
        <x:v>E1349</x:v>
      </x:c>
      <x:c r="B1354" s="10" t="str">
        <x:v>T11.01</x:v>
      </x:c>
      <x:c r="C1354" s="10" t="str">
        <x:v>Revenue models and cost structures</x:v>
      </x:c>
      <x:c r="D1354" s="14" t="str">
        <x:v>RECOMMENDED_BEFORE</x:v>
      </x:c>
      <x:c r="E1354" s="10" t="str">
        <x:v>T27.07</x:v>
      </x:c>
      <x:c r="F1354" s="10" t="str">
        <x:v>Pre-money and post-money valuation</x:v>
      </x:c>
      <x:c r="G1354" s="10" t="str">
        <x:v>Suggested starting knowledge: Revenue models and cost structures. It helps you connect operating milestones, cash runway, financing terms and founder ownership.</x:v>
      </x:c>
      <x:c r="H1354" s="10" t="str">
        <x:v>Suggested learning order; learners can still explore freely.</x:v>
      </x:c>
      <x:c r="I1354" s="10" t="str">
        <x:v>Curated curriculum relationship</x:v>
      </x:c>
    </x:row>
    <x:row r="1355" ht="58" customHeight="1">
      <x:c r="A1355" s="9" t="str">
        <x:v>E1350</x:v>
      </x:c>
      <x:c r="B1355" s="9" t="str">
        <x:v>T27.08</x:v>
      </x:c>
      <x:c r="C1355" s="9" t="str">
        <x:v>Convertible notes and SAFE-type instruments</x:v>
      </x:c>
      <x:c r="D1355" s="15" t="str">
        <x:v>PART_OF</x:v>
      </x:c>
      <x:c r="E1355" s="9" t="str">
        <x:v>D27</x:v>
      </x:c>
      <x:c r="F1355" s="9" t="str">
        <x:v>Startup and entrepreneurial finance</x:v>
      </x:c>
      <x:c r="G1355" s="9" t="str">
        <x:v>Curriculum membership. Use this link to move between the topic and its finance area.</x:v>
      </x:c>
      <x:c r="H1355" s="9" t="str">
        <x:v>Classification only; this edge is not a causal or calculation relationship.</x:v>
      </x:c>
      <x:c r="I1355" s="9" t="str">
        <x:v>Curated curriculum relationship</x:v>
      </x:c>
    </x:row>
    <x:row r="1356" ht="58" customHeight="1">
      <x:c r="A1356" s="10" t="str">
        <x:v>E1351</x:v>
      </x:c>
      <x:c r="B1356" s="10" t="str">
        <x:v>T27.08</x:v>
      </x:c>
      <x:c r="C1356" s="10" t="str">
        <x:v>Convertible notes and SAFE-type instruments</x:v>
      </x:c>
      <x:c r="D1356" s="14" t="str">
        <x:v>EXPLORE_WITH</x:v>
      </x:c>
      <x:c r="E1356" s="10" t="str">
        <x:v>T27.09</x:v>
      </x:c>
      <x:c r="F1356" s="10" t="str">
        <x:v>Term sheets</x:v>
      </x:c>
      <x:c r="G1356" s="10" t="str">
        <x:v>Study these together to connect operating milestones, cash runway, financing terms and founder ownership.</x:v>
      </x:c>
      <x:c r="H1356" s="10" t="str">
        <x:v>A topical exploration link, not a claim that one determines the other.</x:v>
      </x:c>
      <x:c r="I1356" s="10" t="str">
        <x:v>Curated curriculum relationship</x:v>
      </x:c>
    </x:row>
    <x:row r="1357" ht="58" customHeight="1">
      <x:c r="A1357" s="9" t="str">
        <x:v>E1352</x:v>
      </x:c>
      <x:c r="B1357" s="9" t="str">
        <x:v>T11.01</x:v>
      </x:c>
      <x:c r="C1357" s="9" t="str">
        <x:v>Revenue models and cost structures</x:v>
      </x:c>
      <x:c r="D1357" s="15" t="str">
        <x:v>RECOMMENDED_BEFORE</x:v>
      </x:c>
      <x:c r="E1357" s="9" t="str">
        <x:v>T27.08</x:v>
      </x:c>
      <x:c r="F1357" s="9" t="str">
        <x:v>Convertible notes and SAFE-type instruments</x:v>
      </x:c>
      <x:c r="G1357" s="9" t="str">
        <x:v>Suggested starting knowledge: Revenue models and cost structures. It helps you connect operating milestones, cash runway, financing terms and founder ownership.</x:v>
      </x:c>
      <x:c r="H1357" s="9" t="str">
        <x:v>Suggested learning order; learners can still explore freely.</x:v>
      </x:c>
      <x:c r="I1357" s="9" t="str">
        <x:v>Curated curriculum relationship</x:v>
      </x:c>
    </x:row>
    <x:row r="1358" ht="58" customHeight="1">
      <x:c r="A1358" s="10" t="str">
        <x:v>E1353</x:v>
      </x:c>
      <x:c r="B1358" s="10" t="str">
        <x:v>T27.09</x:v>
      </x:c>
      <x:c r="C1358" s="10" t="str">
        <x:v>Term sheets</x:v>
      </x:c>
      <x:c r="D1358" s="14" t="str">
        <x:v>PART_OF</x:v>
      </x:c>
      <x:c r="E1358" s="10" t="str">
        <x:v>D27</x:v>
      </x:c>
      <x:c r="F1358" s="10" t="str">
        <x:v>Startup and entrepreneurial finance</x:v>
      </x:c>
      <x:c r="G1358" s="10" t="str">
        <x:v>Curriculum membership. Use this link to move between the topic and its finance area.</x:v>
      </x:c>
      <x:c r="H1358" s="10" t="str">
        <x:v>Classification only; this edge is not a causal or calculation relationship.</x:v>
      </x:c>
      <x:c r="I1358" s="10" t="str">
        <x:v>Curated curriculum relationship</x:v>
      </x:c>
    </x:row>
    <x:row r="1359" ht="58" customHeight="1">
      <x:c r="A1359" s="9" t="str">
        <x:v>E1354</x:v>
      </x:c>
      <x:c r="B1359" s="9" t="str">
        <x:v>T27.09</x:v>
      </x:c>
      <x:c r="C1359" s="9" t="str">
        <x:v>Term sheets</x:v>
      </x:c>
      <x:c r="D1359" s="15" t="str">
        <x:v>EXPLORE_WITH</x:v>
      </x:c>
      <x:c r="E1359" s="9" t="str">
        <x:v>T27.10</x:v>
      </x:c>
      <x:c r="F1359" s="9" t="str">
        <x:v>Liquidation preferences and participation rights</x:v>
      </x:c>
      <x:c r="G1359" s="9" t="str">
        <x:v>Study these together to connect operating milestones, cash runway, financing terms and founder ownership.</x:v>
      </x:c>
      <x:c r="H1359" s="9" t="str">
        <x:v>A topical exploration link, not a claim that one determines the other.</x:v>
      </x:c>
      <x:c r="I1359" s="9" t="str">
        <x:v>Curated curriculum relationship</x:v>
      </x:c>
    </x:row>
    <x:row r="1360" ht="58" customHeight="1">
      <x:c r="A1360" s="10" t="str">
        <x:v>E1355</x:v>
      </x:c>
      <x:c r="B1360" s="10" t="str">
        <x:v>T11.01</x:v>
      </x:c>
      <x:c r="C1360" s="10" t="str">
        <x:v>Revenue models and cost structures</x:v>
      </x:c>
      <x:c r="D1360" s="14" t="str">
        <x:v>RECOMMENDED_BEFORE</x:v>
      </x:c>
      <x:c r="E1360" s="10" t="str">
        <x:v>T27.09</x:v>
      </x:c>
      <x:c r="F1360" s="10" t="str">
        <x:v>Term sheets</x:v>
      </x:c>
      <x:c r="G1360" s="10" t="str">
        <x:v>Suggested starting knowledge: Revenue models and cost structures. It helps you connect operating milestones, cash runway, financing terms and founder ownership.</x:v>
      </x:c>
      <x:c r="H1360" s="10" t="str">
        <x:v>Suggested learning order; learners can still explore freely.</x:v>
      </x:c>
      <x:c r="I1360" s="10" t="str">
        <x:v>Curated curriculum relationship</x:v>
      </x:c>
    </x:row>
    <x:row r="1361" ht="58" customHeight="1">
      <x:c r="A1361" s="9" t="str">
        <x:v>E1356</x:v>
      </x:c>
      <x:c r="B1361" s="9" t="str">
        <x:v>T27.10</x:v>
      </x:c>
      <x:c r="C1361" s="9" t="str">
        <x:v>Liquidation preferences and participation rights</x:v>
      </x:c>
      <x:c r="D1361" s="15" t="str">
        <x:v>PART_OF</x:v>
      </x:c>
      <x:c r="E1361" s="9" t="str">
        <x:v>D27</x:v>
      </x:c>
      <x:c r="F1361" s="9" t="str">
        <x:v>Startup and entrepreneurial finance</x:v>
      </x:c>
      <x:c r="G1361" s="9" t="str">
        <x:v>Curriculum membership. Use this link to move between the topic and its finance area.</x:v>
      </x:c>
      <x:c r="H1361" s="9" t="str">
        <x:v>Classification only; this edge is not a causal or calculation relationship.</x:v>
      </x:c>
      <x:c r="I1361" s="9" t="str">
        <x:v>Curated curriculum relationship</x:v>
      </x:c>
    </x:row>
    <x:row r="1362" ht="58" customHeight="1">
      <x:c r="A1362" s="10" t="str">
        <x:v>E1357</x:v>
      </x:c>
      <x:c r="B1362" s="10" t="str">
        <x:v>T27.10</x:v>
      </x:c>
      <x:c r="C1362" s="10" t="str">
        <x:v>Liquidation preferences and participation rights</x:v>
      </x:c>
      <x:c r="D1362" s="14" t="str">
        <x:v>EXPLORE_WITH</x:v>
      </x:c>
      <x:c r="E1362" s="10" t="str">
        <x:v>T27.17</x:v>
      </x:c>
      <x:c r="F1362" s="10" t="str">
        <x:v>Exit routes and exit waterfalls</x:v>
      </x:c>
      <x:c r="G1362" s="10" t="str">
        <x:v>Study these together to connect operating milestones, cash runway, financing terms and founder ownership.</x:v>
      </x:c>
      <x:c r="H1362" s="10" t="str">
        <x:v>A topical exploration link, not a claim that one determines the other.</x:v>
      </x:c>
      <x:c r="I1362" s="10" t="str">
        <x:v>Curated curriculum relationship</x:v>
      </x:c>
    </x:row>
    <x:row r="1363" ht="58" customHeight="1">
      <x:c r="A1363" s="9" t="str">
        <x:v>E1358</x:v>
      </x:c>
      <x:c r="B1363" s="9" t="str">
        <x:v>T11.01</x:v>
      </x:c>
      <x:c r="C1363" s="9" t="str">
        <x:v>Revenue models and cost structures</x:v>
      </x:c>
      <x:c r="D1363" s="15" t="str">
        <x:v>RECOMMENDED_BEFORE</x:v>
      </x:c>
      <x:c r="E1363" s="9" t="str">
        <x:v>T27.10</x:v>
      </x:c>
      <x:c r="F1363" s="9" t="str">
        <x:v>Liquidation preferences and participation rights</x:v>
      </x:c>
      <x:c r="G1363" s="9" t="str">
        <x:v>Suggested starting knowledge: Revenue models and cost structures. It helps you connect operating milestones, cash runway, financing terms and founder ownership.</x:v>
      </x:c>
      <x:c r="H1363" s="9" t="str">
        <x:v>Suggested learning order; learners can still explore freely.</x:v>
      </x:c>
      <x:c r="I1363" s="9" t="str">
        <x:v>Curated curriculum relationship</x:v>
      </x:c>
    </x:row>
    <x:row r="1364" ht="58" customHeight="1">
      <x:c r="A1364" s="10" t="str">
        <x:v>E1359</x:v>
      </x:c>
      <x:c r="B1364" s="10" t="str">
        <x:v>T27.11</x:v>
      </x:c>
      <x:c r="C1364" s="10" t="str">
        <x:v>Anti-dilution provisions</x:v>
      </x:c>
      <x:c r="D1364" s="14" t="str">
        <x:v>PART_OF</x:v>
      </x:c>
      <x:c r="E1364" s="10" t="str">
        <x:v>D27</x:v>
      </x:c>
      <x:c r="F1364" s="10" t="str">
        <x:v>Startup and entrepreneurial finance</x:v>
      </x:c>
      <x:c r="G1364" s="10" t="str">
        <x:v>Curriculum membership. Use this link to move between the topic and its finance area.</x:v>
      </x:c>
      <x:c r="H1364" s="10" t="str">
        <x:v>Classification only; this edge is not a causal or calculation relationship.</x:v>
      </x:c>
      <x:c r="I1364" s="10" t="str">
        <x:v>Curated curriculum relationship</x:v>
      </x:c>
    </x:row>
    <x:row r="1365" ht="58" customHeight="1">
      <x:c r="A1365" s="9" t="str">
        <x:v>E1360</x:v>
      </x:c>
      <x:c r="B1365" s="9" t="str">
        <x:v>T27.11</x:v>
      </x:c>
      <x:c r="C1365" s="9" t="str">
        <x:v>Anti-dilution provisions</x:v>
      </x:c>
      <x:c r="D1365" s="15" t="str">
        <x:v>EXPLORE_WITH</x:v>
      </x:c>
      <x:c r="E1365" s="9" t="str">
        <x:v>T27.06</x:v>
      </x:c>
      <x:c r="F1365" s="9" t="str">
        <x:v>Cap tables and dilution</x:v>
      </x:c>
      <x:c r="G1365" s="9" t="str">
        <x:v>Study these together to connect operating milestones, cash runway, financing terms and founder ownership.</x:v>
      </x:c>
      <x:c r="H1365" s="9" t="str">
        <x:v>A topical exploration link, not a claim that one determines the other.</x:v>
      </x:c>
      <x:c r="I1365" s="9" t="str">
        <x:v>Curated curriculum relationship</x:v>
      </x:c>
    </x:row>
    <x:row r="1366" ht="58" customHeight="1">
      <x:c r="A1366" s="10" t="str">
        <x:v>E1361</x:v>
      </x:c>
      <x:c r="B1366" s="10" t="str">
        <x:v>T11.01</x:v>
      </x:c>
      <x:c r="C1366" s="10" t="str">
        <x:v>Revenue models and cost structures</x:v>
      </x:c>
      <x:c r="D1366" s="14" t="str">
        <x:v>RECOMMENDED_BEFORE</x:v>
      </x:c>
      <x:c r="E1366" s="10" t="str">
        <x:v>T27.11</x:v>
      </x:c>
      <x:c r="F1366" s="10" t="str">
        <x:v>Anti-dilution provisions</x:v>
      </x:c>
      <x:c r="G1366" s="10" t="str">
        <x:v>Suggested starting knowledge: Revenue models and cost structures. It helps you connect operating milestones, cash runway, financing terms and founder ownership.</x:v>
      </x:c>
      <x:c r="H1366" s="10" t="str">
        <x:v>Suggested learning order; learners can still explore freely.</x:v>
      </x:c>
      <x:c r="I1366" s="10" t="str">
        <x:v>Curated curriculum relationship</x:v>
      </x:c>
    </x:row>
    <x:row r="1367" ht="58" customHeight="1">
      <x:c r="A1367" s="9" t="str">
        <x:v>E1362</x:v>
      </x:c>
      <x:c r="B1367" s="9" t="str">
        <x:v>T27.12</x:v>
      </x:c>
      <x:c r="C1367" s="9" t="str">
        <x:v>Founder vesting and employee stock options</x:v>
      </x:c>
      <x:c r="D1367" s="15" t="str">
        <x:v>PART_OF</x:v>
      </x:c>
      <x:c r="E1367" s="9" t="str">
        <x:v>D27</x:v>
      </x:c>
      <x:c r="F1367" s="9" t="str">
        <x:v>Startup and entrepreneurial finance</x:v>
      </x:c>
      <x:c r="G1367" s="9" t="str">
        <x:v>Curriculum membership. Use this link to move between the topic and its finance area.</x:v>
      </x:c>
      <x:c r="H1367" s="9" t="str">
        <x:v>Classification only; this edge is not a causal or calculation relationship.</x:v>
      </x:c>
      <x:c r="I1367" s="9" t="str">
        <x:v>Curated curriculum relationship</x:v>
      </x:c>
    </x:row>
    <x:row r="1368" ht="58" customHeight="1">
      <x:c r="A1368" s="10" t="str">
        <x:v>E1363</x:v>
      </x:c>
      <x:c r="B1368" s="10" t="str">
        <x:v>T27.12</x:v>
      </x:c>
      <x:c r="C1368" s="10" t="str">
        <x:v>Founder vesting and employee stock options</x:v>
      </x:c>
      <x:c r="D1368" s="14" t="str">
        <x:v>EXPLORE_WITH</x:v>
      </x:c>
      <x:c r="E1368" s="10" t="str">
        <x:v>T27.06</x:v>
      </x:c>
      <x:c r="F1368" s="10" t="str">
        <x:v>Cap tables and dilution</x:v>
      </x:c>
      <x:c r="G1368" s="10" t="str">
        <x:v>Study these together to connect operating milestones, cash runway, financing terms and founder ownership.</x:v>
      </x:c>
      <x:c r="H1368" s="10" t="str">
        <x:v>A topical exploration link, not a claim that one determines the other.</x:v>
      </x:c>
      <x:c r="I1368" s="10" t="str">
        <x:v>Curated curriculum relationship</x:v>
      </x:c>
    </x:row>
    <x:row r="1369" ht="58" customHeight="1">
      <x:c r="A1369" s="9" t="str">
        <x:v>E1364</x:v>
      </x:c>
      <x:c r="B1369" s="9" t="str">
        <x:v>T11.01</x:v>
      </x:c>
      <x:c r="C1369" s="9" t="str">
        <x:v>Revenue models and cost structures</x:v>
      </x:c>
      <x:c r="D1369" s="15" t="str">
        <x:v>RECOMMENDED_BEFORE</x:v>
      </x:c>
      <x:c r="E1369" s="9" t="str">
        <x:v>T27.12</x:v>
      </x:c>
      <x:c r="F1369" s="9" t="str">
        <x:v>Founder vesting and employee stock options</x:v>
      </x:c>
      <x:c r="G1369" s="9" t="str">
        <x:v>Suggested starting knowledge: Revenue models and cost structures. It helps you connect operating milestones, cash runway, financing terms and founder ownership.</x:v>
      </x:c>
      <x:c r="H1369" s="9" t="str">
        <x:v>Suggested learning order; learners can still explore freely.</x:v>
      </x:c>
      <x:c r="I1369" s="9" t="str">
        <x:v>Curated curriculum relationship</x:v>
      </x:c>
    </x:row>
    <x:row r="1370" ht="58" customHeight="1">
      <x:c r="A1370" s="10" t="str">
        <x:v>E1365</x:v>
      </x:c>
      <x:c r="B1370" s="10" t="str">
        <x:v>T27.13</x:v>
      </x:c>
      <x:c r="C1370" s="10" t="str">
        <x:v>Venture debt</x:v>
      </x:c>
      <x:c r="D1370" s="14" t="str">
        <x:v>PART_OF</x:v>
      </x:c>
      <x:c r="E1370" s="10" t="str">
        <x:v>D27</x:v>
      </x:c>
      <x:c r="F1370" s="10" t="str">
        <x:v>Startup and entrepreneurial finance</x:v>
      </x:c>
      <x:c r="G1370" s="10" t="str">
        <x:v>Curriculum membership. Use this link to move between the topic and its finance area.</x:v>
      </x:c>
      <x:c r="H1370" s="10" t="str">
        <x:v>Classification only; this edge is not a causal or calculation relationship.</x:v>
      </x:c>
      <x:c r="I1370" s="10" t="str">
        <x:v>Curated curriculum relationship</x:v>
      </x:c>
    </x:row>
    <x:row r="1371" ht="58" customHeight="1">
      <x:c r="A1371" s="9" t="str">
        <x:v>E1366</x:v>
      </x:c>
      <x:c r="B1371" s="9" t="str">
        <x:v>T27.13</x:v>
      </x:c>
      <x:c r="C1371" s="9" t="str">
        <x:v>Venture debt</x:v>
      </x:c>
      <x:c r="D1371" s="15" t="str">
        <x:v>EXPLORE_WITH</x:v>
      </x:c>
      <x:c r="E1371" s="9" t="str">
        <x:v>T27.03</x:v>
      </x:c>
      <x:c r="F1371" s="9" t="str">
        <x:v>Burn rate, net burn, and runway</x:v>
      </x:c>
      <x:c r="G1371" s="9" t="str">
        <x:v>Study these together to connect operating milestones, cash runway, financing terms and founder ownership.</x:v>
      </x:c>
      <x:c r="H1371" s="9" t="str">
        <x:v>A topical exploration link, not a claim that one determines the other.</x:v>
      </x:c>
      <x:c r="I1371" s="9" t="str">
        <x:v>Curated curriculum relationship</x:v>
      </x:c>
    </x:row>
    <x:row r="1372" ht="58" customHeight="1">
      <x:c r="A1372" s="10" t="str">
        <x:v>E1367</x:v>
      </x:c>
      <x:c r="B1372" s="10" t="str">
        <x:v>T11.01</x:v>
      </x:c>
      <x:c r="C1372" s="10" t="str">
        <x:v>Revenue models and cost structures</x:v>
      </x:c>
      <x:c r="D1372" s="14" t="str">
        <x:v>RECOMMENDED_BEFORE</x:v>
      </x:c>
      <x:c r="E1372" s="10" t="str">
        <x:v>T27.13</x:v>
      </x:c>
      <x:c r="F1372" s="10" t="str">
        <x:v>Venture debt</x:v>
      </x:c>
      <x:c r="G1372" s="10" t="str">
        <x:v>Suggested starting knowledge: Revenue models and cost structures. It helps you connect operating milestones, cash runway, financing terms and founder ownership.</x:v>
      </x:c>
      <x:c r="H1372" s="10" t="str">
        <x:v>Suggested learning order; learners can still explore freely.</x:v>
      </x:c>
      <x:c r="I1372" s="10" t="str">
        <x:v>Curated curriculum relationship</x:v>
      </x:c>
    </x:row>
    <x:row r="1373" ht="58" customHeight="1">
      <x:c r="A1373" s="9" t="str">
        <x:v>E1368</x:v>
      </x:c>
      <x:c r="B1373" s="9" t="str">
        <x:v>T27.14</x:v>
      </x:c>
      <x:c r="C1373" s="9" t="str">
        <x:v>Fundraising strategy and investor communication</x:v>
      </x:c>
      <x:c r="D1373" s="15" t="str">
        <x:v>PART_OF</x:v>
      </x:c>
      <x:c r="E1373" s="9" t="str">
        <x:v>D27</x:v>
      </x:c>
      <x:c r="F1373" s="9" t="str">
        <x:v>Startup and entrepreneurial finance</x:v>
      </x:c>
      <x:c r="G1373" s="9" t="str">
        <x:v>Curriculum membership. Use this link to move between the topic and its finance area.</x:v>
      </x:c>
      <x:c r="H1373" s="9" t="str">
        <x:v>Classification only; this edge is not a causal or calculation relationship.</x:v>
      </x:c>
      <x:c r="I1373" s="9" t="str">
        <x:v>Curated curriculum relationship</x:v>
      </x:c>
    </x:row>
    <x:row r="1374" ht="58" customHeight="1">
      <x:c r="A1374" s="10" t="str">
        <x:v>E1369</x:v>
      </x:c>
      <x:c r="B1374" s="10" t="str">
        <x:v>T27.14</x:v>
      </x:c>
      <x:c r="C1374" s="10" t="str">
        <x:v>Fundraising strategy and investor communication</x:v>
      </x:c>
      <x:c r="D1374" s="14" t="str">
        <x:v>EXPLORE_WITH</x:v>
      </x:c>
      <x:c r="E1374" s="10" t="str">
        <x:v>T27.05</x:v>
      </x:c>
      <x:c r="F1374" s="10" t="str">
        <x:v>Angel, seed, venture, and growth funding</x:v>
      </x:c>
      <x:c r="G1374" s="10" t="str">
        <x:v>Study these together to connect operating milestones, cash runway, financing terms and founder ownership.</x:v>
      </x:c>
      <x:c r="H1374" s="10" t="str">
        <x:v>A topical exploration link, not a claim that one determines the other.</x:v>
      </x:c>
      <x:c r="I1374" s="10" t="str">
        <x:v>Curated curriculum relationship</x:v>
      </x:c>
    </x:row>
    <x:row r="1375" ht="58" customHeight="1">
      <x:c r="A1375" s="9" t="str">
        <x:v>E1370</x:v>
      </x:c>
      <x:c r="B1375" s="9" t="str">
        <x:v>T11.01</x:v>
      </x:c>
      <x:c r="C1375" s="9" t="str">
        <x:v>Revenue models and cost structures</x:v>
      </x:c>
      <x:c r="D1375" s="15" t="str">
        <x:v>RECOMMENDED_BEFORE</x:v>
      </x:c>
      <x:c r="E1375" s="9" t="str">
        <x:v>T27.14</x:v>
      </x:c>
      <x:c r="F1375" s="9" t="str">
        <x:v>Fundraising strategy and investor communication</x:v>
      </x:c>
      <x:c r="G1375" s="9" t="str">
        <x:v>Suggested starting knowledge: Revenue models and cost structures. It helps you connect operating milestones, cash runway, financing terms and founder ownership.</x:v>
      </x:c>
      <x:c r="H1375" s="9" t="str">
        <x:v>Suggested learning order; learners can still explore freely.</x:v>
      </x:c>
      <x:c r="I1375" s="9" t="str">
        <x:v>Curated curriculum relationship</x:v>
      </x:c>
    </x:row>
    <x:row r="1376" ht="58" customHeight="1">
      <x:c r="A1376" s="10" t="str">
        <x:v>E1371</x:v>
      </x:c>
      <x:c r="B1376" s="10" t="str">
        <x:v>T27.15</x:v>
      </x:c>
      <x:c r="C1376" s="10" t="str">
        <x:v>SaaS, marketplace, consumer, and fintech economics</x:v>
      </x:c>
      <x:c r="D1376" s="14" t="str">
        <x:v>PART_OF</x:v>
      </x:c>
      <x:c r="E1376" s="10" t="str">
        <x:v>D27</x:v>
      </x:c>
      <x:c r="F1376" s="10" t="str">
        <x:v>Startup and entrepreneurial finance</x:v>
      </x:c>
      <x:c r="G1376" s="10" t="str">
        <x:v>Curriculum membership. Use this link to move between the topic and its finance area.</x:v>
      </x:c>
      <x:c r="H1376" s="10" t="str">
        <x:v>Classification only; this edge is not a causal or calculation relationship.</x:v>
      </x:c>
      <x:c r="I1376" s="10" t="str">
        <x:v>Curated curriculum relationship</x:v>
      </x:c>
    </x:row>
    <x:row r="1377" ht="58" customHeight="1">
      <x:c r="A1377" s="9" t="str">
        <x:v>E1372</x:v>
      </x:c>
      <x:c r="B1377" s="9" t="str">
        <x:v>T27.15</x:v>
      </x:c>
      <x:c r="C1377" s="9" t="str">
        <x:v>SaaS, marketplace, consumer, and fintech economics</x:v>
      </x:c>
      <x:c r="D1377" s="15" t="str">
        <x:v>EXPLORE_WITH</x:v>
      </x:c>
      <x:c r="E1377" s="9" t="str">
        <x:v>T27.02</x:v>
      </x:c>
      <x:c r="F1377" s="9" t="str">
        <x:v>Business models and startup financial plans</x:v>
      </x:c>
      <x:c r="G1377" s="9" t="str">
        <x:v>Study these together to connect operating milestones, cash runway, financing terms and founder ownership.</x:v>
      </x:c>
      <x:c r="H1377" s="9" t="str">
        <x:v>A topical exploration link, not a claim that one determines the other.</x:v>
      </x:c>
      <x:c r="I1377" s="9" t="str">
        <x:v>Curated curriculum relationship</x:v>
      </x:c>
    </x:row>
    <x:row r="1378" ht="58" customHeight="1">
      <x:c r="A1378" s="10" t="str">
        <x:v>E1373</x:v>
      </x:c>
      <x:c r="B1378" s="10" t="str">
        <x:v>T11.01</x:v>
      </x:c>
      <x:c r="C1378" s="10" t="str">
        <x:v>Revenue models and cost structures</x:v>
      </x:c>
      <x:c r="D1378" s="14" t="str">
        <x:v>RECOMMENDED_BEFORE</x:v>
      </x:c>
      <x:c r="E1378" s="10" t="str">
        <x:v>T27.15</x:v>
      </x:c>
      <x:c r="F1378" s="10" t="str">
        <x:v>SaaS, marketplace, consumer, and fintech economics</x:v>
      </x:c>
      <x:c r="G1378" s="10" t="str">
        <x:v>Suggested starting knowledge: Revenue models and cost structures. It helps you connect operating milestones, cash runway, financing terms and founder ownership.</x:v>
      </x:c>
      <x:c r="H1378" s="10" t="str">
        <x:v>Suggested learning order; learners can still explore freely.</x:v>
      </x:c>
      <x:c r="I1378" s="10" t="str">
        <x:v>Curated curriculum relationship</x:v>
      </x:c>
    </x:row>
    <x:row r="1379" ht="58" customHeight="1">
      <x:c r="A1379" s="9" t="str">
        <x:v>E1374</x:v>
      </x:c>
      <x:c r="B1379" s="9" t="str">
        <x:v>T27.16</x:v>
      </x:c>
      <x:c r="C1379" s="9" t="str">
        <x:v>Down rounds, bridge rounds, and recapitalisation</x:v>
      </x:c>
      <x:c r="D1379" s="15" t="str">
        <x:v>PART_OF</x:v>
      </x:c>
      <x:c r="E1379" s="9" t="str">
        <x:v>D27</x:v>
      </x:c>
      <x:c r="F1379" s="9" t="str">
        <x:v>Startup and entrepreneurial finance</x:v>
      </x:c>
      <x:c r="G1379" s="9" t="str">
        <x:v>Curriculum membership. Use this link to move between the topic and its finance area.</x:v>
      </x:c>
      <x:c r="H1379" s="9" t="str">
        <x:v>Classification only; this edge is not a causal or calculation relationship.</x:v>
      </x:c>
      <x:c r="I1379" s="9" t="str">
        <x:v>Curated curriculum relationship</x:v>
      </x:c>
    </x:row>
    <x:row r="1380" ht="58" customHeight="1">
      <x:c r="A1380" s="10" t="str">
        <x:v>E1375</x:v>
      </x:c>
      <x:c r="B1380" s="10" t="str">
        <x:v>T27.16</x:v>
      </x:c>
      <x:c r="C1380" s="10" t="str">
        <x:v>Down rounds, bridge rounds, and recapitalisation</x:v>
      </x:c>
      <x:c r="D1380" s="14" t="str">
        <x:v>EXPLORE_WITH</x:v>
      </x:c>
      <x:c r="E1380" s="10" t="str">
        <x:v>T27.07</x:v>
      </x:c>
      <x:c r="F1380" s="10" t="str">
        <x:v>Pre-money and post-money valuation</x:v>
      </x:c>
      <x:c r="G1380" s="10" t="str">
        <x:v>Study these together to connect operating milestones, cash runway, financing terms and founder ownership.</x:v>
      </x:c>
      <x:c r="H1380" s="10" t="str">
        <x:v>A topical exploration link, not a claim that one determines the other.</x:v>
      </x:c>
      <x:c r="I1380" s="10" t="str">
        <x:v>Curated curriculum relationship</x:v>
      </x:c>
    </x:row>
    <x:row r="1381" ht="58" customHeight="1">
      <x:c r="A1381" s="9" t="str">
        <x:v>E1376</x:v>
      </x:c>
      <x:c r="B1381" s="9" t="str">
        <x:v>T11.01</x:v>
      </x:c>
      <x:c r="C1381" s="9" t="str">
        <x:v>Revenue models and cost structures</x:v>
      </x:c>
      <x:c r="D1381" s="15" t="str">
        <x:v>RECOMMENDED_BEFORE</x:v>
      </x:c>
      <x:c r="E1381" s="9" t="str">
        <x:v>T27.16</x:v>
      </x:c>
      <x:c r="F1381" s="9" t="str">
        <x:v>Down rounds, bridge rounds, and recapitalisation</x:v>
      </x:c>
      <x:c r="G1381" s="9" t="str">
        <x:v>Suggested starting knowledge: Revenue models and cost structures. It helps you connect operating milestones, cash runway, financing terms and founder ownership.</x:v>
      </x:c>
      <x:c r="H1381" s="9" t="str">
        <x:v>Suggested learning order; learners can still explore freely.</x:v>
      </x:c>
      <x:c r="I1381" s="9" t="str">
        <x:v>Curated curriculum relationship</x:v>
      </x:c>
    </x:row>
    <x:row r="1382" ht="58" customHeight="1">
      <x:c r="A1382" s="10" t="str">
        <x:v>E1377</x:v>
      </x:c>
      <x:c r="B1382" s="10" t="str">
        <x:v>T27.17</x:v>
      </x:c>
      <x:c r="C1382" s="10" t="str">
        <x:v>Exit routes and exit waterfalls</x:v>
      </x:c>
      <x:c r="D1382" s="14" t="str">
        <x:v>PART_OF</x:v>
      </x:c>
      <x:c r="E1382" s="10" t="str">
        <x:v>D27</x:v>
      </x:c>
      <x:c r="F1382" s="10" t="str">
        <x:v>Startup and entrepreneurial finance</x:v>
      </x:c>
      <x:c r="G1382" s="10" t="str">
        <x:v>Curriculum membership. Use this link to move between the topic and its finance area.</x:v>
      </x:c>
      <x:c r="H1382" s="10" t="str">
        <x:v>Classification only; this edge is not a causal or calculation relationship.</x:v>
      </x:c>
      <x:c r="I1382" s="10" t="str">
        <x:v>Curated curriculum relationship</x:v>
      </x:c>
    </x:row>
    <x:row r="1383" ht="58" customHeight="1">
      <x:c r="A1383" s="9" t="str">
        <x:v>E1378</x:v>
      </x:c>
      <x:c r="B1383" s="9" t="str">
        <x:v>T27.17</x:v>
      </x:c>
      <x:c r="C1383" s="9" t="str">
        <x:v>Exit routes and exit waterfalls</x:v>
      </x:c>
      <x:c r="D1383" s="15" t="str">
        <x:v>EXPLORE_WITH</x:v>
      </x:c>
      <x:c r="E1383" s="9" t="str">
        <x:v>T27.10</x:v>
      </x:c>
      <x:c r="F1383" s="9" t="str">
        <x:v>Liquidation preferences and participation rights</x:v>
      </x:c>
      <x:c r="G1383" s="9" t="str">
        <x:v>Study these together to connect operating milestones, cash runway, financing terms and founder ownership.</x:v>
      </x:c>
      <x:c r="H1383" s="9" t="str">
        <x:v>A topical exploration link, not a claim that one determines the other.</x:v>
      </x:c>
      <x:c r="I1383" s="9" t="str">
        <x:v>Curated curriculum relationship</x:v>
      </x:c>
    </x:row>
    <x:row r="1384" ht="58" customHeight="1">
      <x:c r="A1384" s="10" t="str">
        <x:v>E1379</x:v>
      </x:c>
      <x:c r="B1384" s="10" t="str">
        <x:v>T11.01</x:v>
      </x:c>
      <x:c r="C1384" s="10" t="str">
        <x:v>Revenue models and cost structures</x:v>
      </x:c>
      <x:c r="D1384" s="14" t="str">
        <x:v>RECOMMENDED_BEFORE</x:v>
      </x:c>
      <x:c r="E1384" s="10" t="str">
        <x:v>T27.17</x:v>
      </x:c>
      <x:c r="F1384" s="10" t="str">
        <x:v>Exit routes and exit waterfalls</x:v>
      </x:c>
      <x:c r="G1384" s="10" t="str">
        <x:v>Suggested starting knowledge: Revenue models and cost structures. It helps you connect operating milestones, cash runway, financing terms and founder ownership.</x:v>
      </x:c>
      <x:c r="H1384" s="10" t="str">
        <x:v>Suggested learning order; learners can still explore freely.</x:v>
      </x:c>
      <x:c r="I1384" s="10" t="str">
        <x:v>Curated curriculum relationship</x:v>
      </x:c>
    </x:row>
    <x:row r="1385" ht="58" customHeight="1">
      <x:c r="A1385" s="9" t="str">
        <x:v>E1380</x:v>
      </x:c>
      <x:c r="B1385" s="9" t="str">
        <x:v>T28.01</x:v>
      </x:c>
      <x:c r="C1385" s="9" t="str">
        <x:v>Property types and real estate investment models</x:v>
      </x:c>
      <x:c r="D1385" s="15" t="str">
        <x:v>PART_OF</x:v>
      </x:c>
      <x:c r="E1385" s="9" t="str">
        <x:v>D28</x:v>
      </x:c>
      <x:c r="F1385" s="9" t="str">
        <x:v>Real estate, infrastructure, and project finance</x:v>
      </x:c>
      <x:c r="G1385" s="9" t="str">
        <x:v>Curriculum membership. Use this link to move between the topic and its finance area.</x:v>
      </x:c>
      <x:c r="H1385" s="9" t="str">
        <x:v>Classification only; this edge is not a causal or calculation relationship.</x:v>
      </x:c>
      <x:c r="I1385" s="9" t="str">
        <x:v>Curated curriculum relationship</x:v>
      </x:c>
    </x:row>
    <x:row r="1386" ht="58" customHeight="1">
      <x:c r="A1386" s="10" t="str">
        <x:v>E1381</x:v>
      </x:c>
      <x:c r="B1386" s="10" t="str">
        <x:v>T28.01</x:v>
      </x:c>
      <x:c r="C1386" s="10" t="str">
        <x:v>Property types and real estate investment models</x:v>
      </x:c>
      <x:c r="D1386" s="14" t="str">
        <x:v>EXPLORE_WITH</x:v>
      </x:c>
      <x:c r="E1386" s="10" t="str">
        <x:v>T28.04</x:v>
      </x:c>
      <x:c r="F1386" s="10" t="str">
        <x:v>Property valuation</x:v>
      </x:c>
      <x:c r="G1386" s="10" t="str">
        <x:v>Study these together to link asset or project cash flows, debt service and investor distributions.</x:v>
      </x:c>
      <x:c r="H1386" s="10" t="str">
        <x:v>A topical exploration link, not a claim that one determines the other.</x:v>
      </x:c>
      <x:c r="I1386" s="10" t="str">
        <x:v>Curated curriculum relationship</x:v>
      </x:c>
    </x:row>
    <x:row r="1387" ht="58" customHeight="1">
      <x:c r="A1387" s="9" t="str">
        <x:v>E1382</x:v>
      </x:c>
      <x:c r="B1387" s="9" t="str">
        <x:v>T03.01</x:v>
      </x:c>
      <x:c r="C1387" s="9" t="str">
        <x:v>Present value and future value</x:v>
      </x:c>
      <x:c r="D1387" s="15" t="str">
        <x:v>RECOMMENDED_BEFORE</x:v>
      </x:c>
      <x:c r="E1387" s="9" t="str">
        <x:v>T28.01</x:v>
      </x:c>
      <x:c r="F1387" s="9" t="str">
        <x:v>Property types and real estate investment models</x:v>
      </x:c>
      <x:c r="G1387" s="9" t="str">
        <x:v>Suggested starting knowledge: Present value and future value. It helps you link asset or project cash flows, debt service and investor distributions.</x:v>
      </x:c>
      <x:c r="H1387" s="9" t="str">
        <x:v>Suggested learning order; learners can still explore freely.</x:v>
      </x:c>
      <x:c r="I1387" s="9" t="str">
        <x:v>Curated curriculum relationship</x:v>
      </x:c>
    </x:row>
    <x:row r="1388" ht="58" customHeight="1">
      <x:c r="A1388" s="10" t="str">
        <x:v>E1383</x:v>
      </x:c>
      <x:c r="B1388" s="10" t="str">
        <x:v>T28.02</x:v>
      </x:c>
      <x:c r="C1388" s="10" t="str">
        <x:v>Rental income, vacancy, and operating expenses</x:v>
      </x:c>
      <x:c r="D1388" s="14" t="str">
        <x:v>PART_OF</x:v>
      </x:c>
      <x:c r="E1388" s="10" t="str">
        <x:v>D28</x:v>
      </x:c>
      <x:c r="F1388" s="10" t="str">
        <x:v>Real estate, infrastructure, and project finance</x:v>
      </x:c>
      <x:c r="G1388" s="10" t="str">
        <x:v>Curriculum membership. Use this link to move between the topic and its finance area.</x:v>
      </x:c>
      <x:c r="H1388" s="10" t="str">
        <x:v>Classification only; this edge is not a causal or calculation relationship.</x:v>
      </x:c>
      <x:c r="I1388" s="10" t="str">
        <x:v>Curated curriculum relationship</x:v>
      </x:c>
    </x:row>
    <x:row r="1389" ht="58" customHeight="1">
      <x:c r="A1389" s="9" t="str">
        <x:v>E1384</x:v>
      </x:c>
      <x:c r="B1389" s="9" t="str">
        <x:v>T28.02</x:v>
      </x:c>
      <x:c r="C1389" s="9" t="str">
        <x:v>Rental income, vacancy, and operating expenses</x:v>
      </x:c>
      <x:c r="D1389" s="15" t="str">
        <x:v>EXPLORE_WITH</x:v>
      </x:c>
      <x:c r="E1389" s="9" t="str">
        <x:v>T28.03</x:v>
      </x:c>
      <x:c r="F1389" s="9" t="str">
        <x:v>Net operating income and capitalisation rates</x:v>
      </x:c>
      <x:c r="G1389" s="9" t="str">
        <x:v>Study these together to link asset or project cash flows, debt service and investor distributions.</x:v>
      </x:c>
      <x:c r="H1389" s="9" t="str">
        <x:v>A topical exploration link, not a claim that one determines the other.</x:v>
      </x:c>
      <x:c r="I1389" s="9" t="str">
        <x:v>Curated curriculum relationship</x:v>
      </x:c>
    </x:row>
    <x:row r="1390" ht="58" customHeight="1">
      <x:c r="A1390" s="10" t="str">
        <x:v>E1385</x:v>
      </x:c>
      <x:c r="B1390" s="10" t="str">
        <x:v>T03.01</x:v>
      </x:c>
      <x:c r="C1390" s="10" t="str">
        <x:v>Present value and future value</x:v>
      </x:c>
      <x:c r="D1390" s="14" t="str">
        <x:v>RECOMMENDED_BEFORE</x:v>
      </x:c>
      <x:c r="E1390" s="10" t="str">
        <x:v>T28.02</x:v>
      </x:c>
      <x:c r="F1390" s="10" t="str">
        <x:v>Rental income, vacancy, and operating expenses</x:v>
      </x:c>
      <x:c r="G1390" s="10" t="str">
        <x:v>Suggested starting knowledge: Present value and future value. It helps you link asset or project cash flows, debt service and investor distributions.</x:v>
      </x:c>
      <x:c r="H1390" s="10" t="str">
        <x:v>Suggested learning order; learners can still explore freely.</x:v>
      </x:c>
      <x:c r="I1390" s="10" t="str">
        <x:v>Curated curriculum relationship</x:v>
      </x:c>
    </x:row>
    <x:row r="1391" ht="58" customHeight="1">
      <x:c r="A1391" s="9" t="str">
        <x:v>E1386</x:v>
      </x:c>
      <x:c r="B1391" s="9" t="str">
        <x:v>T28.03</x:v>
      </x:c>
      <x:c r="C1391" s="9" t="str">
        <x:v>Net operating income and capitalisation rates</x:v>
      </x:c>
      <x:c r="D1391" s="15" t="str">
        <x:v>PART_OF</x:v>
      </x:c>
      <x:c r="E1391" s="9" t="str">
        <x:v>D28</x:v>
      </x:c>
      <x:c r="F1391" s="9" t="str">
        <x:v>Real estate, infrastructure, and project finance</x:v>
      </x:c>
      <x:c r="G1391" s="9" t="str">
        <x:v>Curriculum membership. Use this link to move between the topic and its finance area.</x:v>
      </x:c>
      <x:c r="H1391" s="9" t="str">
        <x:v>Classification only; this edge is not a causal or calculation relationship.</x:v>
      </x:c>
      <x:c r="I1391" s="9" t="str">
        <x:v>Curated curriculum relationship</x:v>
      </x:c>
    </x:row>
    <x:row r="1392" ht="58" customHeight="1">
      <x:c r="A1392" s="10" t="str">
        <x:v>E1387</x:v>
      </x:c>
      <x:c r="B1392" s="10" t="str">
        <x:v>T28.03</x:v>
      </x:c>
      <x:c r="C1392" s="10" t="str">
        <x:v>Net operating income and capitalisation rates</x:v>
      </x:c>
      <x:c r="D1392" s="14" t="str">
        <x:v>EXPLORE_WITH</x:v>
      </x:c>
      <x:c r="E1392" s="10" t="str">
        <x:v>T28.04</x:v>
      </x:c>
      <x:c r="F1392" s="10" t="str">
        <x:v>Property valuation</x:v>
      </x:c>
      <x:c r="G1392" s="10" t="str">
        <x:v>Study these together to link asset or project cash flows, debt service and investor distributions.</x:v>
      </x:c>
      <x:c r="H1392" s="10" t="str">
        <x:v>A topical exploration link, not a claim that one determines the other.</x:v>
      </x:c>
      <x:c r="I1392" s="10" t="str">
        <x:v>Curated curriculum relationship</x:v>
      </x:c>
    </x:row>
    <x:row r="1393" ht="58" customHeight="1">
      <x:c r="A1393" s="9" t="str">
        <x:v>E1388</x:v>
      </x:c>
      <x:c r="B1393" s="9" t="str">
        <x:v>T03.01</x:v>
      </x:c>
      <x:c r="C1393" s="9" t="str">
        <x:v>Present value and future value</x:v>
      </x:c>
      <x:c r="D1393" s="15" t="str">
        <x:v>RECOMMENDED_BEFORE</x:v>
      </x:c>
      <x:c r="E1393" s="9" t="str">
        <x:v>T28.03</x:v>
      </x:c>
      <x:c r="F1393" s="9" t="str">
        <x:v>Net operating income and capitalisation rates</x:v>
      </x:c>
      <x:c r="G1393" s="9" t="str">
        <x:v>Suggested starting knowledge: Present value and future value. It helps you link asset or project cash flows, debt service and investor distributions.</x:v>
      </x:c>
      <x:c r="H1393" s="9" t="str">
        <x:v>Suggested learning order; learners can still explore freely.</x:v>
      </x:c>
      <x:c r="I1393" s="9" t="str">
        <x:v>Curated curriculum relationship</x:v>
      </x:c>
    </x:row>
    <x:row r="1394" ht="58" customHeight="1">
      <x:c r="A1394" s="10" t="str">
        <x:v>E1389</x:v>
      </x:c>
      <x:c r="B1394" s="10" t="str">
        <x:v>T28.04</x:v>
      </x:c>
      <x:c r="C1394" s="10" t="str">
        <x:v>Property valuation</x:v>
      </x:c>
      <x:c r="D1394" s="14" t="str">
        <x:v>PART_OF</x:v>
      </x:c>
      <x:c r="E1394" s="10" t="str">
        <x:v>D28</x:v>
      </x:c>
      <x:c r="F1394" s="10" t="str">
        <x:v>Real estate, infrastructure, and project finance</x:v>
      </x:c>
      <x:c r="G1394" s="10" t="str">
        <x:v>Curriculum membership. Use this link to move between the topic and its finance area.</x:v>
      </x:c>
      <x:c r="H1394" s="10" t="str">
        <x:v>Classification only; this edge is not a causal or calculation relationship.</x:v>
      </x:c>
      <x:c r="I1394" s="10" t="str">
        <x:v>Curated curriculum relationship</x:v>
      </x:c>
    </x:row>
    <x:row r="1395" ht="58" customHeight="1">
      <x:c r="A1395" s="9" t="str">
        <x:v>E1390</x:v>
      </x:c>
      <x:c r="B1395" s="9" t="str">
        <x:v>T28.04</x:v>
      </x:c>
      <x:c r="C1395" s="9" t="str">
        <x:v>Property valuation</x:v>
      </x:c>
      <x:c r="D1395" s="15" t="str">
        <x:v>EXPLORE_WITH</x:v>
      </x:c>
      <x:c r="E1395" s="9" t="str">
        <x:v>T28.03</x:v>
      </x:c>
      <x:c r="F1395" s="9" t="str">
        <x:v>Net operating income and capitalisation rates</x:v>
      </x:c>
      <x:c r="G1395" s="9" t="str">
        <x:v>Study these together to link asset or project cash flows, debt service and investor distributions.</x:v>
      </x:c>
      <x:c r="H1395" s="9" t="str">
        <x:v>A topical exploration link, not a claim that one determines the other.</x:v>
      </x:c>
      <x:c r="I1395" s="9" t="str">
        <x:v>Curated curriculum relationship</x:v>
      </x:c>
    </x:row>
    <x:row r="1396" ht="58" customHeight="1">
      <x:c r="A1396" s="10" t="str">
        <x:v>E1391</x:v>
      </x:c>
      <x:c r="B1396" s="10" t="str">
        <x:v>T03.01</x:v>
      </x:c>
      <x:c r="C1396" s="10" t="str">
        <x:v>Present value and future value</x:v>
      </x:c>
      <x:c r="D1396" s="14" t="str">
        <x:v>RECOMMENDED_BEFORE</x:v>
      </x:c>
      <x:c r="E1396" s="10" t="str">
        <x:v>T28.04</x:v>
      </x:c>
      <x:c r="F1396" s="10" t="str">
        <x:v>Property valuation</x:v>
      </x:c>
      <x:c r="G1396" s="10" t="str">
        <x:v>Suggested starting knowledge: Present value and future value. It helps you link asset or project cash flows, debt service and investor distributions.</x:v>
      </x:c>
      <x:c r="H1396" s="10" t="str">
        <x:v>Suggested learning order; learners can still explore freely.</x:v>
      </x:c>
      <x:c r="I1396" s="10" t="str">
        <x:v>Curated curriculum relationship</x:v>
      </x:c>
    </x:row>
    <x:row r="1397" ht="58" customHeight="1">
      <x:c r="A1397" s="9" t="str">
        <x:v>E1392</x:v>
      </x:c>
      <x:c r="B1397" s="9" t="str">
        <x:v>T28.05</x:v>
      </x:c>
      <x:c r="C1397" s="9" t="str">
        <x:v>Development feasibility and construction cash flows</x:v>
      </x:c>
      <x:c r="D1397" s="15" t="str">
        <x:v>PART_OF</x:v>
      </x:c>
      <x:c r="E1397" s="9" t="str">
        <x:v>D28</x:v>
      </x:c>
      <x:c r="F1397" s="9" t="str">
        <x:v>Real estate, infrastructure, and project finance</x:v>
      </x:c>
      <x:c r="G1397" s="9" t="str">
        <x:v>Curriculum membership. Use this link to move between the topic and its finance area.</x:v>
      </x:c>
      <x:c r="H1397" s="9" t="str">
        <x:v>Classification only; this edge is not a causal or calculation relationship.</x:v>
      </x:c>
      <x:c r="I1397" s="9" t="str">
        <x:v>Curated curriculum relationship</x:v>
      </x:c>
    </x:row>
    <x:row r="1398" ht="58" customHeight="1">
      <x:c r="A1398" s="10" t="str">
        <x:v>E1393</x:v>
      </x:c>
      <x:c r="B1398" s="10" t="str">
        <x:v>T28.05</x:v>
      </x:c>
      <x:c r="C1398" s="10" t="str">
        <x:v>Development feasibility and construction cash flows</x:v>
      </x:c>
      <x:c r="D1398" s="14" t="str">
        <x:v>EXPLORE_WITH</x:v>
      </x:c>
      <x:c r="E1398" s="10" t="str">
        <x:v>T28.12</x:v>
      </x:c>
      <x:c r="F1398" s="10" t="str">
        <x:v>Construction risk and operating risk</x:v>
      </x:c>
      <x:c r="G1398" s="10" t="str">
        <x:v>Study these together to link asset or project cash flows, debt service and investor distributions.</x:v>
      </x:c>
      <x:c r="H1398" s="10" t="str">
        <x:v>A topical exploration link, not a claim that one determines the other.</x:v>
      </x:c>
      <x:c r="I1398" s="10" t="str">
        <x:v>Curated curriculum relationship</x:v>
      </x:c>
    </x:row>
    <x:row r="1399" ht="58" customHeight="1">
      <x:c r="A1399" s="9" t="str">
        <x:v>E1394</x:v>
      </x:c>
      <x:c r="B1399" s="9" t="str">
        <x:v>T03.01</x:v>
      </x:c>
      <x:c r="C1399" s="9" t="str">
        <x:v>Present value and future value</x:v>
      </x:c>
      <x:c r="D1399" s="15" t="str">
        <x:v>RECOMMENDED_BEFORE</x:v>
      </x:c>
      <x:c r="E1399" s="9" t="str">
        <x:v>T28.05</x:v>
      </x:c>
      <x:c r="F1399" s="9" t="str">
        <x:v>Development feasibility and construction cash flows</x:v>
      </x:c>
      <x:c r="G1399" s="9" t="str">
        <x:v>Suggested starting knowledge: Present value and future value. It helps you link asset or project cash flows, debt service and investor distributions.</x:v>
      </x:c>
      <x:c r="H1399" s="9" t="str">
        <x:v>Suggested learning order; learners can still explore freely.</x:v>
      </x:c>
      <x:c r="I1399" s="9" t="str">
        <x:v>Curated curriculum relationship</x:v>
      </x:c>
    </x:row>
    <x:row r="1400" ht="58" customHeight="1">
      <x:c r="A1400" s="10" t="str">
        <x:v>E1395</x:v>
      </x:c>
      <x:c r="B1400" s="10" t="str">
        <x:v>T28.06</x:v>
      </x:c>
      <x:c r="C1400" s="10" t="str">
        <x:v>Mortgage structures and amortisation</x:v>
      </x:c>
      <x:c r="D1400" s="14" t="str">
        <x:v>PART_OF</x:v>
      </x:c>
      <x:c r="E1400" s="10" t="str">
        <x:v>D28</x:v>
      </x:c>
      <x:c r="F1400" s="10" t="str">
        <x:v>Real estate, infrastructure, and project finance</x:v>
      </x:c>
      <x:c r="G1400" s="10" t="str">
        <x:v>Curriculum membership. Use this link to move between the topic and its finance area.</x:v>
      </x:c>
      <x:c r="H1400" s="10" t="str">
        <x:v>Classification only; this edge is not a causal or calculation relationship.</x:v>
      </x:c>
      <x:c r="I1400" s="10" t="str">
        <x:v>Curated curriculum relationship</x:v>
      </x:c>
    </x:row>
    <x:row r="1401" ht="58" customHeight="1">
      <x:c r="A1401" s="9" t="str">
        <x:v>E1396</x:v>
      </x:c>
      <x:c r="B1401" s="9" t="str">
        <x:v>T28.06</x:v>
      </x:c>
      <x:c r="C1401" s="9" t="str">
        <x:v>Mortgage structures and amortisation</x:v>
      </x:c>
      <x:c r="D1401" s="15" t="str">
        <x:v>EXPLORE_WITH</x:v>
      </x:c>
      <x:c r="E1401" s="9" t="str">
        <x:v>T28.07</x:v>
      </x:c>
      <x:c r="F1401" s="9" t="str">
        <x:v>Loan-to-value, debt yield, and debt service coverage</x:v>
      </x:c>
      <x:c r="G1401" s="9" t="str">
        <x:v>Study these together to link asset or project cash flows, debt service and investor distributions.</x:v>
      </x:c>
      <x:c r="H1401" s="9" t="str">
        <x:v>A topical exploration link, not a claim that one determines the other.</x:v>
      </x:c>
      <x:c r="I1401" s="9" t="str">
        <x:v>Curated curriculum relationship</x:v>
      </x:c>
    </x:row>
    <x:row r="1402" ht="58" customHeight="1">
      <x:c r="A1402" s="10" t="str">
        <x:v>E1397</x:v>
      </x:c>
      <x:c r="B1402" s="10" t="str">
        <x:v>T03.01</x:v>
      </x:c>
      <x:c r="C1402" s="10" t="str">
        <x:v>Present value and future value</x:v>
      </x:c>
      <x:c r="D1402" s="14" t="str">
        <x:v>RECOMMENDED_BEFORE</x:v>
      </x:c>
      <x:c r="E1402" s="10" t="str">
        <x:v>T28.06</x:v>
      </x:c>
      <x:c r="F1402" s="10" t="str">
        <x:v>Mortgage structures and amortisation</x:v>
      </x:c>
      <x:c r="G1402" s="10" t="str">
        <x:v>Suggested starting knowledge: Present value and future value. It helps you link asset or project cash flows, debt service and investor distributions.</x:v>
      </x:c>
      <x:c r="H1402" s="10" t="str">
        <x:v>Suggested learning order; learners can still explore freely.</x:v>
      </x:c>
      <x:c r="I1402" s="10" t="str">
        <x:v>Curated curriculum relationship</x:v>
      </x:c>
    </x:row>
    <x:row r="1403" ht="58" customHeight="1">
      <x:c r="A1403" s="9" t="str">
        <x:v>E1398</x:v>
      </x:c>
      <x:c r="B1403" s="9" t="str">
        <x:v>T28.07</x:v>
      </x:c>
      <x:c r="C1403" s="9" t="str">
        <x:v>Loan-to-value, debt yield, and debt service coverage</x:v>
      </x:c>
      <x:c r="D1403" s="15" t="str">
        <x:v>PART_OF</x:v>
      </x:c>
      <x:c r="E1403" s="9" t="str">
        <x:v>D28</x:v>
      </x:c>
      <x:c r="F1403" s="9" t="str">
        <x:v>Real estate, infrastructure, and project finance</x:v>
      </x:c>
      <x:c r="G1403" s="9" t="str">
        <x:v>Curriculum membership. Use this link to move between the topic and its finance area.</x:v>
      </x:c>
      <x:c r="H1403" s="9" t="str">
        <x:v>Classification only; this edge is not a causal or calculation relationship.</x:v>
      </x:c>
      <x:c r="I1403" s="9" t="str">
        <x:v>Curated curriculum relationship</x:v>
      </x:c>
    </x:row>
    <x:row r="1404" ht="58" customHeight="1">
      <x:c r="A1404" s="10" t="str">
        <x:v>E1399</x:v>
      </x:c>
      <x:c r="B1404" s="10" t="str">
        <x:v>T28.07</x:v>
      </x:c>
      <x:c r="C1404" s="10" t="str">
        <x:v>Loan-to-value, debt yield, and debt service coverage</x:v>
      </x:c>
      <x:c r="D1404" s="14" t="str">
        <x:v>EXPLORE_WITH</x:v>
      </x:c>
      <x:c r="E1404" s="10" t="str">
        <x:v>T28.15</x:v>
      </x:c>
      <x:c r="F1404" s="10" t="str">
        <x:v>DSCR, LLCR, and PLCR</x:v>
      </x:c>
      <x:c r="G1404" s="10" t="str">
        <x:v>Study these together to link asset or project cash flows, debt service and investor distributions.</x:v>
      </x:c>
      <x:c r="H1404" s="10" t="str">
        <x:v>A topical exploration link, not a claim that one determines the other.</x:v>
      </x:c>
      <x:c r="I1404" s="10" t="str">
        <x:v>Curated curriculum relationship</x:v>
      </x:c>
    </x:row>
    <x:row r="1405" ht="58" customHeight="1">
      <x:c r="A1405" s="9" t="str">
        <x:v>E1400</x:v>
      </x:c>
      <x:c r="B1405" s="9" t="str">
        <x:v>T03.01</x:v>
      </x:c>
      <x:c r="C1405" s="9" t="str">
        <x:v>Present value and future value</x:v>
      </x:c>
      <x:c r="D1405" s="15" t="str">
        <x:v>RECOMMENDED_BEFORE</x:v>
      </x:c>
      <x:c r="E1405" s="9" t="str">
        <x:v>T28.07</x:v>
      </x:c>
      <x:c r="F1405" s="9" t="str">
        <x:v>Loan-to-value, debt yield, and debt service coverage</x:v>
      </x:c>
      <x:c r="G1405" s="9" t="str">
        <x:v>Suggested starting knowledge: Present value and future value. It helps you link asset or project cash flows, debt service and investor distributions.</x:v>
      </x:c>
      <x:c r="H1405" s="9" t="str">
        <x:v>Suggested learning order; learners can still explore freely.</x:v>
      </x:c>
      <x:c r="I1405" s="9" t="str">
        <x:v>Curated curriculum relationship</x:v>
      </x:c>
    </x:row>
    <x:row r="1406" ht="58" customHeight="1">
      <x:c r="A1406" s="10" t="str">
        <x:v>E1401</x:v>
      </x:c>
      <x:c r="B1406" s="10" t="str">
        <x:v>T28.08</x:v>
      </x:c>
      <x:c r="C1406" s="10" t="str">
        <x:v>Levered and unlevered property returns</x:v>
      </x:c>
      <x:c r="D1406" s="14" t="str">
        <x:v>PART_OF</x:v>
      </x:c>
      <x:c r="E1406" s="10" t="str">
        <x:v>D28</x:v>
      </x:c>
      <x:c r="F1406" s="10" t="str">
        <x:v>Real estate, infrastructure, and project finance</x:v>
      </x:c>
      <x:c r="G1406" s="10" t="str">
        <x:v>Curriculum membership. Use this link to move between the topic and its finance area.</x:v>
      </x:c>
      <x:c r="H1406" s="10" t="str">
        <x:v>Classification only; this edge is not a causal or calculation relationship.</x:v>
      </x:c>
      <x:c r="I1406" s="10" t="str">
        <x:v>Curated curriculum relationship</x:v>
      </x:c>
    </x:row>
    <x:row r="1407" ht="58" customHeight="1">
      <x:c r="A1407" s="9" t="str">
        <x:v>E1402</x:v>
      </x:c>
      <x:c r="B1407" s="9" t="str">
        <x:v>T28.08</x:v>
      </x:c>
      <x:c r="C1407" s="9" t="str">
        <x:v>Levered and unlevered property returns</x:v>
      </x:c>
      <x:c r="D1407" s="15" t="str">
        <x:v>EXPLORE_WITH</x:v>
      </x:c>
      <x:c r="E1407" s="9" t="str">
        <x:v>T28.04</x:v>
      </x:c>
      <x:c r="F1407" s="9" t="str">
        <x:v>Property valuation</x:v>
      </x:c>
      <x:c r="G1407" s="9" t="str">
        <x:v>Study these together to link asset or project cash flows, debt service and investor distributions.</x:v>
      </x:c>
      <x:c r="H1407" s="9" t="str">
        <x:v>A topical exploration link, not a claim that one determines the other.</x:v>
      </x:c>
      <x:c r="I1407" s="9" t="str">
        <x:v>Curated curriculum relationship</x:v>
      </x:c>
    </x:row>
    <x:row r="1408" ht="58" customHeight="1">
      <x:c r="A1408" s="10" t="str">
        <x:v>E1403</x:v>
      </x:c>
      <x:c r="B1408" s="10" t="str">
        <x:v>T03.01</x:v>
      </x:c>
      <x:c r="C1408" s="10" t="str">
        <x:v>Present value and future value</x:v>
      </x:c>
      <x:c r="D1408" s="14" t="str">
        <x:v>RECOMMENDED_BEFORE</x:v>
      </x:c>
      <x:c r="E1408" s="10" t="str">
        <x:v>T28.08</x:v>
      </x:c>
      <x:c r="F1408" s="10" t="str">
        <x:v>Levered and unlevered property returns</x:v>
      </x:c>
      <x:c r="G1408" s="10" t="str">
        <x:v>Suggested starting knowledge: Present value and future value. It helps you link asset or project cash flows, debt service and investor distributions.</x:v>
      </x:c>
      <x:c r="H1408" s="10" t="str">
        <x:v>Suggested learning order; learners can still explore freely.</x:v>
      </x:c>
      <x:c r="I1408" s="10" t="str">
        <x:v>Curated curriculum relationship</x:v>
      </x:c>
    </x:row>
    <x:row r="1409" ht="58" customHeight="1">
      <x:c r="A1409" s="9" t="str">
        <x:v>E1404</x:v>
      </x:c>
      <x:c r="B1409" s="9" t="str">
        <x:v>T28.09</x:v>
      </x:c>
      <x:c r="C1409" s="9" t="str">
        <x:v>Real estate investment waterfalls</x:v>
      </x:c>
      <x:c r="D1409" s="15" t="str">
        <x:v>PART_OF</x:v>
      </x:c>
      <x:c r="E1409" s="9" t="str">
        <x:v>D28</x:v>
      </x:c>
      <x:c r="F1409" s="9" t="str">
        <x:v>Real estate, infrastructure, and project finance</x:v>
      </x:c>
      <x:c r="G1409" s="9" t="str">
        <x:v>Curriculum membership. Use this link to move between the topic and its finance area.</x:v>
      </x:c>
      <x:c r="H1409" s="9" t="str">
        <x:v>Classification only; this edge is not a causal or calculation relationship.</x:v>
      </x:c>
      <x:c r="I1409" s="9" t="str">
        <x:v>Curated curriculum relationship</x:v>
      </x:c>
    </x:row>
    <x:row r="1410" ht="58" customHeight="1">
      <x:c r="A1410" s="10" t="str">
        <x:v>E1405</x:v>
      </x:c>
      <x:c r="B1410" s="10" t="str">
        <x:v>T28.09</x:v>
      </x:c>
      <x:c r="C1410" s="10" t="str">
        <x:v>Real estate investment waterfalls</x:v>
      </x:c>
      <x:c r="D1410" s="14" t="str">
        <x:v>EXPLORE_WITH</x:v>
      </x:c>
      <x:c r="E1410" s="10" t="str">
        <x:v>T28.17</x:v>
      </x:c>
      <x:c r="F1410" s="10" t="str">
        <x:v>Refinancing and project equity returns</x:v>
      </x:c>
      <x:c r="G1410" s="10" t="str">
        <x:v>Study these together to link asset or project cash flows, debt service and investor distributions.</x:v>
      </x:c>
      <x:c r="H1410" s="10" t="str">
        <x:v>A topical exploration link, not a claim that one determines the other.</x:v>
      </x:c>
      <x:c r="I1410" s="10" t="str">
        <x:v>Curated curriculum relationship</x:v>
      </x:c>
    </x:row>
    <x:row r="1411" ht="58" customHeight="1">
      <x:c r="A1411" s="9" t="str">
        <x:v>E1406</x:v>
      </x:c>
      <x:c r="B1411" s="9" t="str">
        <x:v>T03.01</x:v>
      </x:c>
      <x:c r="C1411" s="9" t="str">
        <x:v>Present value and future value</x:v>
      </x:c>
      <x:c r="D1411" s="15" t="str">
        <x:v>RECOMMENDED_BEFORE</x:v>
      </x:c>
      <x:c r="E1411" s="9" t="str">
        <x:v>T28.09</x:v>
      </x:c>
      <x:c r="F1411" s="9" t="str">
        <x:v>Real estate investment waterfalls</x:v>
      </x:c>
      <x:c r="G1411" s="9" t="str">
        <x:v>Suggested starting knowledge: Present value and future value. It helps you link asset or project cash flows, debt service and investor distributions.</x:v>
      </x:c>
      <x:c r="H1411" s="9" t="str">
        <x:v>Suggested learning order; learners can still explore freely.</x:v>
      </x:c>
      <x:c r="I1411" s="9" t="str">
        <x:v>Curated curriculum relationship</x:v>
      </x:c>
    </x:row>
    <x:row r="1412" ht="58" customHeight="1">
      <x:c r="A1412" s="10" t="str">
        <x:v>E1407</x:v>
      </x:c>
      <x:c r="B1412" s="10" t="str">
        <x:v>T28.10</x:v>
      </x:c>
      <x:c r="C1412" s="10" t="str">
        <x:v>Project finance versus corporate finance</x:v>
      </x:c>
      <x:c r="D1412" s="14" t="str">
        <x:v>PART_OF</x:v>
      </x:c>
      <x:c r="E1412" s="10" t="str">
        <x:v>D28</x:v>
      </x:c>
      <x:c r="F1412" s="10" t="str">
        <x:v>Real estate, infrastructure, and project finance</x:v>
      </x:c>
      <x:c r="G1412" s="10" t="str">
        <x:v>Curriculum membership. Use this link to move between the topic and its finance area.</x:v>
      </x:c>
      <x:c r="H1412" s="10" t="str">
        <x:v>Classification only; this edge is not a causal or calculation relationship.</x:v>
      </x:c>
      <x:c r="I1412" s="10" t="str">
        <x:v>Curated curriculum relationship</x:v>
      </x:c>
    </x:row>
    <x:row r="1413" ht="58" customHeight="1">
      <x:c r="A1413" s="9" t="str">
        <x:v>E1408</x:v>
      </x:c>
      <x:c r="B1413" s="9" t="str">
        <x:v>T28.10</x:v>
      </x:c>
      <x:c r="C1413" s="9" t="str">
        <x:v>Project finance versus corporate finance</x:v>
      </x:c>
      <x:c r="D1413" s="15" t="str">
        <x:v>EXPLORE_WITH</x:v>
      </x:c>
      <x:c r="E1413" s="9" t="str">
        <x:v>T28.11</x:v>
      </x:c>
      <x:c r="F1413" s="9" t="str">
        <x:v>Special-purpose vehicles and limited-recourse structures</x:v>
      </x:c>
      <x:c r="G1413" s="9" t="str">
        <x:v>Study these together to link asset or project cash flows, debt service and investor distributions.</x:v>
      </x:c>
      <x:c r="H1413" s="9" t="str">
        <x:v>A topical exploration link, not a claim that one determines the other.</x:v>
      </x:c>
      <x:c r="I1413" s="9" t="str">
        <x:v>Curated curriculum relationship</x:v>
      </x:c>
    </x:row>
    <x:row r="1414" ht="58" customHeight="1">
      <x:c r="A1414" s="10" t="str">
        <x:v>E1409</x:v>
      </x:c>
      <x:c r="B1414" s="10" t="str">
        <x:v>T03.01</x:v>
      </x:c>
      <x:c r="C1414" s="10" t="str">
        <x:v>Present value and future value</x:v>
      </x:c>
      <x:c r="D1414" s="14" t="str">
        <x:v>RECOMMENDED_BEFORE</x:v>
      </x:c>
      <x:c r="E1414" s="10" t="str">
        <x:v>T28.10</x:v>
      </x:c>
      <x:c r="F1414" s="10" t="str">
        <x:v>Project finance versus corporate finance</x:v>
      </x:c>
      <x:c r="G1414" s="10" t="str">
        <x:v>Suggested starting knowledge: Present value and future value. It helps you link asset or project cash flows, debt service and investor distributions.</x:v>
      </x:c>
      <x:c r="H1414" s="10" t="str">
        <x:v>Suggested learning order; learners can still explore freely.</x:v>
      </x:c>
      <x:c r="I1414" s="10" t="str">
        <x:v>Curated curriculum relationship</x:v>
      </x:c>
    </x:row>
    <x:row r="1415" ht="58" customHeight="1">
      <x:c r="A1415" s="9" t="str">
        <x:v>E1410</x:v>
      </x:c>
      <x:c r="B1415" s="9" t="str">
        <x:v>T28.11</x:v>
      </x:c>
      <x:c r="C1415" s="9" t="str">
        <x:v>Special-purpose vehicles and limited-recourse structures</x:v>
      </x:c>
      <x:c r="D1415" s="15" t="str">
        <x:v>PART_OF</x:v>
      </x:c>
      <x:c r="E1415" s="9" t="str">
        <x:v>D28</x:v>
      </x:c>
      <x:c r="F1415" s="9" t="str">
        <x:v>Real estate, infrastructure, and project finance</x:v>
      </x:c>
      <x:c r="G1415" s="9" t="str">
        <x:v>Curriculum membership. Use this link to move between the topic and its finance area.</x:v>
      </x:c>
      <x:c r="H1415" s="9" t="str">
        <x:v>Classification only; this edge is not a causal or calculation relationship.</x:v>
      </x:c>
      <x:c r="I1415" s="9" t="str">
        <x:v>Curated curriculum relationship</x:v>
      </x:c>
    </x:row>
    <x:row r="1416" ht="58" customHeight="1">
      <x:c r="A1416" s="10" t="str">
        <x:v>E1411</x:v>
      </x:c>
      <x:c r="B1416" s="10" t="str">
        <x:v>T28.11</x:v>
      </x:c>
      <x:c r="C1416" s="10" t="str">
        <x:v>Special-purpose vehicles and limited-recourse structures</x:v>
      </x:c>
      <x:c r="D1416" s="14" t="str">
        <x:v>EXPLORE_WITH</x:v>
      </x:c>
      <x:c r="E1416" s="10" t="str">
        <x:v>T28.10</x:v>
      </x:c>
      <x:c r="F1416" s="10" t="str">
        <x:v>Project finance versus corporate finance</x:v>
      </x:c>
      <x:c r="G1416" s="10" t="str">
        <x:v>Study these together to link asset or project cash flows, debt service and investor distributions.</x:v>
      </x:c>
      <x:c r="H1416" s="10" t="str">
        <x:v>A topical exploration link, not a claim that one determines the other.</x:v>
      </x:c>
      <x:c r="I1416" s="10" t="str">
        <x:v>Curated curriculum relationship</x:v>
      </x:c>
    </x:row>
    <x:row r="1417" ht="58" customHeight="1">
      <x:c r="A1417" s="9" t="str">
        <x:v>E1412</x:v>
      </x:c>
      <x:c r="B1417" s="9" t="str">
        <x:v>T03.01</x:v>
      </x:c>
      <x:c r="C1417" s="9" t="str">
        <x:v>Present value and future value</x:v>
      </x:c>
      <x:c r="D1417" s="15" t="str">
        <x:v>RECOMMENDED_BEFORE</x:v>
      </x:c>
      <x:c r="E1417" s="9" t="str">
        <x:v>T28.11</x:v>
      </x:c>
      <x:c r="F1417" s="9" t="str">
        <x:v>Special-purpose vehicles and limited-recourse structures</x:v>
      </x:c>
      <x:c r="G1417" s="9" t="str">
        <x:v>Suggested starting knowledge: Present value and future value. It helps you link asset or project cash flows, debt service and investor distributions.</x:v>
      </x:c>
      <x:c r="H1417" s="9" t="str">
        <x:v>Suggested learning order; learners can still explore freely.</x:v>
      </x:c>
      <x:c r="I1417" s="9" t="str">
        <x:v>Curated curriculum relationship</x:v>
      </x:c>
    </x:row>
    <x:row r="1418" ht="58" customHeight="1">
      <x:c r="A1418" s="10" t="str">
        <x:v>E1413</x:v>
      </x:c>
      <x:c r="B1418" s="10" t="str">
        <x:v>T28.12</x:v>
      </x:c>
      <x:c r="C1418" s="10" t="str">
        <x:v>Construction risk and operating risk</x:v>
      </x:c>
      <x:c r="D1418" s="14" t="str">
        <x:v>PART_OF</x:v>
      </x:c>
      <x:c r="E1418" s="10" t="str">
        <x:v>D28</x:v>
      </x:c>
      <x:c r="F1418" s="10" t="str">
        <x:v>Real estate, infrastructure, and project finance</x:v>
      </x:c>
      <x:c r="G1418" s="10" t="str">
        <x:v>Curriculum membership. Use this link to move between the topic and its finance area.</x:v>
      </x:c>
      <x:c r="H1418" s="10" t="str">
        <x:v>Classification only; this edge is not a causal or calculation relationship.</x:v>
      </x:c>
      <x:c r="I1418" s="10" t="str">
        <x:v>Curated curriculum relationship</x:v>
      </x:c>
    </x:row>
    <x:row r="1419" ht="58" customHeight="1">
      <x:c r="A1419" s="9" t="str">
        <x:v>E1414</x:v>
      </x:c>
      <x:c r="B1419" s="9" t="str">
        <x:v>T28.12</x:v>
      </x:c>
      <x:c r="C1419" s="9" t="str">
        <x:v>Construction risk and operating risk</x:v>
      </x:c>
      <x:c r="D1419" s="15" t="str">
        <x:v>EXPLORE_WITH</x:v>
      </x:c>
      <x:c r="E1419" s="9" t="str">
        <x:v>T28.05</x:v>
      </x:c>
      <x:c r="F1419" s="9" t="str">
        <x:v>Development feasibility and construction cash flows</x:v>
      </x:c>
      <x:c r="G1419" s="9" t="str">
        <x:v>Study these together to link asset or project cash flows, debt service and investor distributions.</x:v>
      </x:c>
      <x:c r="H1419" s="9" t="str">
        <x:v>A topical exploration link, not a claim that one determines the other.</x:v>
      </x:c>
      <x:c r="I1419" s="9" t="str">
        <x:v>Curated curriculum relationship</x:v>
      </x:c>
    </x:row>
    <x:row r="1420" ht="58" customHeight="1">
      <x:c r="A1420" s="10" t="str">
        <x:v>E1415</x:v>
      </x:c>
      <x:c r="B1420" s="10" t="str">
        <x:v>T03.01</x:v>
      </x:c>
      <x:c r="C1420" s="10" t="str">
        <x:v>Present value and future value</x:v>
      </x:c>
      <x:c r="D1420" s="14" t="str">
        <x:v>RECOMMENDED_BEFORE</x:v>
      </x:c>
      <x:c r="E1420" s="10" t="str">
        <x:v>T28.12</x:v>
      </x:c>
      <x:c r="F1420" s="10" t="str">
        <x:v>Construction risk and operating risk</x:v>
      </x:c>
      <x:c r="G1420" s="10" t="str">
        <x:v>Suggested starting knowledge: Present value and future value. It helps you link asset or project cash flows, debt service and investor distributions.</x:v>
      </x:c>
      <x:c r="H1420" s="10" t="str">
        <x:v>Suggested learning order; learners can still explore freely.</x:v>
      </x:c>
      <x:c r="I1420" s="10" t="str">
        <x:v>Curated curriculum relationship</x:v>
      </x:c>
    </x:row>
    <x:row r="1421" ht="58" customHeight="1">
      <x:c r="A1421" s="9" t="str">
        <x:v>E1416</x:v>
      </x:c>
      <x:c r="B1421" s="9" t="str">
        <x:v>T28.13</x:v>
      </x:c>
      <x:c r="C1421" s="9" t="str">
        <x:v>Concessions, offtake agreements, and public-private partnerships</x:v>
      </x:c>
      <x:c r="D1421" s="15" t="str">
        <x:v>PART_OF</x:v>
      </x:c>
      <x:c r="E1421" s="9" t="str">
        <x:v>D28</x:v>
      </x:c>
      <x:c r="F1421" s="9" t="str">
        <x:v>Real estate, infrastructure, and project finance</x:v>
      </x:c>
      <x:c r="G1421" s="9" t="str">
        <x:v>Curriculum membership. Use this link to move between the topic and its finance area.</x:v>
      </x:c>
      <x:c r="H1421" s="9" t="str">
        <x:v>Classification only; this edge is not a causal or calculation relationship.</x:v>
      </x:c>
      <x:c r="I1421" s="9" t="str">
        <x:v>Curated curriculum relationship</x:v>
      </x:c>
    </x:row>
    <x:row r="1422" ht="58" customHeight="1">
      <x:c r="A1422" s="10" t="str">
        <x:v>E1417</x:v>
      </x:c>
      <x:c r="B1422" s="10" t="str">
        <x:v>T28.13</x:v>
      </x:c>
      <x:c r="C1422" s="10" t="str">
        <x:v>Concessions, offtake agreements, and public-private partnerships</x:v>
      </x:c>
      <x:c r="D1422" s="14" t="str">
        <x:v>EXPLORE_WITH</x:v>
      </x:c>
      <x:c r="E1422" s="10" t="str">
        <x:v>T28.10</x:v>
      </x:c>
      <x:c r="F1422" s="10" t="str">
        <x:v>Project finance versus corporate finance</x:v>
      </x:c>
      <x:c r="G1422" s="10" t="str">
        <x:v>Study these together to link asset or project cash flows, debt service and investor distributions.</x:v>
      </x:c>
      <x:c r="H1422" s="10" t="str">
        <x:v>A topical exploration link, not a claim that one determines the other.</x:v>
      </x:c>
      <x:c r="I1422" s="10" t="str">
        <x:v>Curated curriculum relationship</x:v>
      </x:c>
    </x:row>
    <x:row r="1423" ht="58" customHeight="1">
      <x:c r="A1423" s="9" t="str">
        <x:v>E1418</x:v>
      </x:c>
      <x:c r="B1423" s="9" t="str">
        <x:v>T03.01</x:v>
      </x:c>
      <x:c r="C1423" s="9" t="str">
        <x:v>Present value and future value</x:v>
      </x:c>
      <x:c r="D1423" s="15" t="str">
        <x:v>RECOMMENDED_BEFORE</x:v>
      </x:c>
      <x:c r="E1423" s="9" t="str">
        <x:v>T28.13</x:v>
      </x:c>
      <x:c r="F1423" s="9" t="str">
        <x:v>Concessions, offtake agreements, and public-private partnerships</x:v>
      </x:c>
      <x:c r="G1423" s="9" t="str">
        <x:v>Suggested starting knowledge: Present value and future value. It helps you link asset or project cash flows, debt service and investor distributions.</x:v>
      </x:c>
      <x:c r="H1423" s="9" t="str">
        <x:v>Suggested learning order; learners can still explore freely.</x:v>
      </x:c>
      <x:c r="I1423" s="9" t="str">
        <x:v>Curated curriculum relationship</x:v>
      </x:c>
    </x:row>
    <x:row r="1424" ht="58" customHeight="1">
      <x:c r="A1424" s="10" t="str">
        <x:v>E1419</x:v>
      </x:c>
      <x:c r="B1424" s="10" t="str">
        <x:v>T28.14</x:v>
      </x:c>
      <x:c r="C1424" s="10" t="str">
        <x:v>Debt sizing and debt sculpting</x:v>
      </x:c>
      <x:c r="D1424" s="14" t="str">
        <x:v>PART_OF</x:v>
      </x:c>
      <x:c r="E1424" s="10" t="str">
        <x:v>D28</x:v>
      </x:c>
      <x:c r="F1424" s="10" t="str">
        <x:v>Real estate, infrastructure, and project finance</x:v>
      </x:c>
      <x:c r="G1424" s="10" t="str">
        <x:v>Curriculum membership. Use this link to move between the topic and its finance area.</x:v>
      </x:c>
      <x:c r="H1424" s="10" t="str">
        <x:v>Classification only; this edge is not a causal or calculation relationship.</x:v>
      </x:c>
      <x:c r="I1424" s="10" t="str">
        <x:v>Curated curriculum relationship</x:v>
      </x:c>
    </x:row>
    <x:row r="1425" ht="58" customHeight="1">
      <x:c r="A1425" s="9" t="str">
        <x:v>E1420</x:v>
      </x:c>
      <x:c r="B1425" s="9" t="str">
        <x:v>T28.14</x:v>
      </x:c>
      <x:c r="C1425" s="9" t="str">
        <x:v>Debt sizing and debt sculpting</x:v>
      </x:c>
      <x:c r="D1425" s="15" t="str">
        <x:v>EXPLORE_WITH</x:v>
      </x:c>
      <x:c r="E1425" s="9" t="str">
        <x:v>T28.15</x:v>
      </x:c>
      <x:c r="F1425" s="9" t="str">
        <x:v>DSCR, LLCR, and PLCR</x:v>
      </x:c>
      <x:c r="G1425" s="9" t="str">
        <x:v>Study these together to link asset or project cash flows, debt service and investor distributions.</x:v>
      </x:c>
      <x:c r="H1425" s="9" t="str">
        <x:v>A topical exploration link, not a claim that one determines the other.</x:v>
      </x:c>
      <x:c r="I1425" s="9" t="str">
        <x:v>Curated curriculum relationship</x:v>
      </x:c>
    </x:row>
    <x:row r="1426" ht="58" customHeight="1">
      <x:c r="A1426" s="10" t="str">
        <x:v>E1421</x:v>
      </x:c>
      <x:c r="B1426" s="10" t="str">
        <x:v>T03.01</x:v>
      </x:c>
      <x:c r="C1426" s="10" t="str">
        <x:v>Present value and future value</x:v>
      </x:c>
      <x:c r="D1426" s="14" t="str">
        <x:v>RECOMMENDED_BEFORE</x:v>
      </x:c>
      <x:c r="E1426" s="10" t="str">
        <x:v>T28.14</x:v>
      </x:c>
      <x:c r="F1426" s="10" t="str">
        <x:v>Debt sizing and debt sculpting</x:v>
      </x:c>
      <x:c r="G1426" s="10" t="str">
        <x:v>Suggested starting knowledge: Present value and future value. It helps you link asset or project cash flows, debt service and investor distributions.</x:v>
      </x:c>
      <x:c r="H1426" s="10" t="str">
        <x:v>Suggested learning order; learners can still explore freely.</x:v>
      </x:c>
      <x:c r="I1426" s="10" t="str">
        <x:v>Curated curriculum relationship</x:v>
      </x:c>
    </x:row>
    <x:row r="1427" ht="58" customHeight="1">
      <x:c r="A1427" s="9" t="str">
        <x:v>E1422</x:v>
      </x:c>
      <x:c r="B1427" s="9" t="str">
        <x:v>T28.15</x:v>
      </x:c>
      <x:c r="C1427" s="9" t="str">
        <x:v>DSCR, LLCR, and PLCR</x:v>
      </x:c>
      <x:c r="D1427" s="15" t="str">
        <x:v>PART_OF</x:v>
      </x:c>
      <x:c r="E1427" s="9" t="str">
        <x:v>D28</x:v>
      </x:c>
      <x:c r="F1427" s="9" t="str">
        <x:v>Real estate, infrastructure, and project finance</x:v>
      </x:c>
      <x:c r="G1427" s="9" t="str">
        <x:v>Curriculum membership. Use this link to move between the topic and its finance area.</x:v>
      </x:c>
      <x:c r="H1427" s="9" t="str">
        <x:v>Classification only; this edge is not a causal or calculation relationship.</x:v>
      </x:c>
      <x:c r="I1427" s="9" t="str">
        <x:v>Curated curriculum relationship</x:v>
      </x:c>
    </x:row>
    <x:row r="1428" ht="58" customHeight="1">
      <x:c r="A1428" s="10" t="str">
        <x:v>E1423</x:v>
      </x:c>
      <x:c r="B1428" s="10" t="str">
        <x:v>T28.15</x:v>
      </x:c>
      <x:c r="C1428" s="10" t="str">
        <x:v>DSCR, LLCR, and PLCR</x:v>
      </x:c>
      <x:c r="D1428" s="14" t="str">
        <x:v>EXPLORE_WITH</x:v>
      </x:c>
      <x:c r="E1428" s="10" t="str">
        <x:v>T28.14</x:v>
      </x:c>
      <x:c r="F1428" s="10" t="str">
        <x:v>Debt sizing and debt sculpting</x:v>
      </x:c>
      <x:c r="G1428" s="10" t="str">
        <x:v>Study these together to link asset or project cash flows, debt service and investor distributions.</x:v>
      </x:c>
      <x:c r="H1428" s="10" t="str">
        <x:v>A topical exploration link, not a claim that one determines the other.</x:v>
      </x:c>
      <x:c r="I1428" s="10" t="str">
        <x:v>Curated curriculum relationship</x:v>
      </x:c>
    </x:row>
    <x:row r="1429" ht="58" customHeight="1">
      <x:c r="A1429" s="9" t="str">
        <x:v>E1424</x:v>
      </x:c>
      <x:c r="B1429" s="9" t="str">
        <x:v>T03.01</x:v>
      </x:c>
      <x:c r="C1429" s="9" t="str">
        <x:v>Present value and future value</x:v>
      </x:c>
      <x:c r="D1429" s="15" t="str">
        <x:v>RECOMMENDED_BEFORE</x:v>
      </x:c>
      <x:c r="E1429" s="9" t="str">
        <x:v>T28.15</x:v>
      </x:c>
      <x:c r="F1429" s="9" t="str">
        <x:v>DSCR, LLCR, and PLCR</x:v>
      </x:c>
      <x:c r="G1429" s="9" t="str">
        <x:v>Suggested starting knowledge: Present value and future value. It helps you link asset or project cash flows, debt service and investor distributions.</x:v>
      </x:c>
      <x:c r="H1429" s="9" t="str">
        <x:v>Suggested learning order; learners can still explore freely.</x:v>
      </x:c>
      <x:c r="I1429" s="9" t="str">
        <x:v>Curated curriculum relationship</x:v>
      </x:c>
    </x:row>
    <x:row r="1430" ht="58" customHeight="1">
      <x:c r="A1430" s="10" t="str">
        <x:v>E1425</x:v>
      </x:c>
      <x:c r="B1430" s="10" t="str">
        <x:v>T28.16</x:v>
      </x:c>
      <x:c r="C1430" s="10" t="str">
        <x:v>Reserve accounts and cash waterfalls</x:v>
      </x:c>
      <x:c r="D1430" s="14" t="str">
        <x:v>PART_OF</x:v>
      </x:c>
      <x:c r="E1430" s="10" t="str">
        <x:v>D28</x:v>
      </x:c>
      <x:c r="F1430" s="10" t="str">
        <x:v>Real estate, infrastructure, and project finance</x:v>
      </x:c>
      <x:c r="G1430" s="10" t="str">
        <x:v>Curriculum membership. Use this link to move between the topic and its finance area.</x:v>
      </x:c>
      <x:c r="H1430" s="10" t="str">
        <x:v>Classification only; this edge is not a causal or calculation relationship.</x:v>
      </x:c>
      <x:c r="I1430" s="10" t="str">
        <x:v>Curated curriculum relationship</x:v>
      </x:c>
    </x:row>
    <x:row r="1431" ht="58" customHeight="1">
      <x:c r="A1431" s="9" t="str">
        <x:v>E1426</x:v>
      </x:c>
      <x:c r="B1431" s="9" t="str">
        <x:v>T28.16</x:v>
      </x:c>
      <x:c r="C1431" s="9" t="str">
        <x:v>Reserve accounts and cash waterfalls</x:v>
      </x:c>
      <x:c r="D1431" s="15" t="str">
        <x:v>EXPLORE_WITH</x:v>
      </x:c>
      <x:c r="E1431" s="9" t="str">
        <x:v>T28.14</x:v>
      </x:c>
      <x:c r="F1431" s="9" t="str">
        <x:v>Debt sizing and debt sculpting</x:v>
      </x:c>
      <x:c r="G1431" s="9" t="str">
        <x:v>Study these together to link asset or project cash flows, debt service and investor distributions.</x:v>
      </x:c>
      <x:c r="H1431" s="9" t="str">
        <x:v>A topical exploration link, not a claim that one determines the other.</x:v>
      </x:c>
      <x:c r="I1431" s="9" t="str">
        <x:v>Curated curriculum relationship</x:v>
      </x:c>
    </x:row>
    <x:row r="1432" ht="58" customHeight="1">
      <x:c r="A1432" s="10" t="str">
        <x:v>E1427</x:v>
      </x:c>
      <x:c r="B1432" s="10" t="str">
        <x:v>T03.01</x:v>
      </x:c>
      <x:c r="C1432" s="10" t="str">
        <x:v>Present value and future value</x:v>
      </x:c>
      <x:c r="D1432" s="14" t="str">
        <x:v>RECOMMENDED_BEFORE</x:v>
      </x:c>
      <x:c r="E1432" s="10" t="str">
        <x:v>T28.16</x:v>
      </x:c>
      <x:c r="F1432" s="10" t="str">
        <x:v>Reserve accounts and cash waterfalls</x:v>
      </x:c>
      <x:c r="G1432" s="10" t="str">
        <x:v>Suggested starting knowledge: Present value and future value. It helps you link asset or project cash flows, debt service and investor distributions.</x:v>
      </x:c>
      <x:c r="H1432" s="10" t="str">
        <x:v>Suggested learning order; learners can still explore freely.</x:v>
      </x:c>
      <x:c r="I1432" s="10" t="str">
        <x:v>Curated curriculum relationship</x:v>
      </x:c>
    </x:row>
    <x:row r="1433" ht="58" customHeight="1">
      <x:c r="A1433" s="9" t="str">
        <x:v>E1428</x:v>
      </x:c>
      <x:c r="B1433" s="9" t="str">
        <x:v>T28.17</x:v>
      </x:c>
      <x:c r="C1433" s="9" t="str">
        <x:v>Refinancing and project equity returns</x:v>
      </x:c>
      <x:c r="D1433" s="15" t="str">
        <x:v>PART_OF</x:v>
      </x:c>
      <x:c r="E1433" s="9" t="str">
        <x:v>D28</x:v>
      </x:c>
      <x:c r="F1433" s="9" t="str">
        <x:v>Real estate, infrastructure, and project finance</x:v>
      </x:c>
      <x:c r="G1433" s="9" t="str">
        <x:v>Curriculum membership. Use this link to move between the topic and its finance area.</x:v>
      </x:c>
      <x:c r="H1433" s="9" t="str">
        <x:v>Classification only; this edge is not a causal or calculation relationship.</x:v>
      </x:c>
      <x:c r="I1433" s="9" t="str">
        <x:v>Curated curriculum relationship</x:v>
      </x:c>
    </x:row>
    <x:row r="1434" ht="58" customHeight="1">
      <x:c r="A1434" s="10" t="str">
        <x:v>E1429</x:v>
      </x:c>
      <x:c r="B1434" s="10" t="str">
        <x:v>T28.17</x:v>
      </x:c>
      <x:c r="C1434" s="10" t="str">
        <x:v>Refinancing and project equity returns</x:v>
      </x:c>
      <x:c r="D1434" s="14" t="str">
        <x:v>EXPLORE_WITH</x:v>
      </x:c>
      <x:c r="E1434" s="10" t="str">
        <x:v>T28.08</x:v>
      </x:c>
      <x:c r="F1434" s="10" t="str">
        <x:v>Levered and unlevered property returns</x:v>
      </x:c>
      <x:c r="G1434" s="10" t="str">
        <x:v>Study these together to link asset or project cash flows, debt service and investor distributions.</x:v>
      </x:c>
      <x:c r="H1434" s="10" t="str">
        <x:v>A topical exploration link, not a claim that one determines the other.</x:v>
      </x:c>
      <x:c r="I1434" s="10" t="str">
        <x:v>Curated curriculum relationship</x:v>
      </x:c>
    </x:row>
    <x:row r="1435" ht="58" customHeight="1">
      <x:c r="A1435" s="9" t="str">
        <x:v>E1430</x:v>
      </x:c>
      <x:c r="B1435" s="9" t="str">
        <x:v>T03.01</x:v>
      </x:c>
      <x:c r="C1435" s="9" t="str">
        <x:v>Present value and future value</x:v>
      </x:c>
      <x:c r="D1435" s="15" t="str">
        <x:v>RECOMMENDED_BEFORE</x:v>
      </x:c>
      <x:c r="E1435" s="9" t="str">
        <x:v>T28.17</x:v>
      </x:c>
      <x:c r="F1435" s="9" t="str">
        <x:v>Refinancing and project equity returns</x:v>
      </x:c>
      <x:c r="G1435" s="9" t="str">
        <x:v>Suggested starting knowledge: Present value and future value. It helps you link asset or project cash flows, debt service and investor distributions.</x:v>
      </x:c>
      <x:c r="H1435" s="9" t="str">
        <x:v>Suggested learning order; learners can still explore freely.</x:v>
      </x:c>
      <x:c r="I1435" s="9" t="str">
        <x:v>Curated curriculum relationship</x:v>
      </x:c>
    </x:row>
    <x:row r="1436" ht="58" customHeight="1">
      <x:c r="A1436" s="10" t="str">
        <x:v>E1431</x:v>
      </x:c>
      <x:c r="B1436" s="10" t="str">
        <x:v>T28.18</x:v>
      </x:c>
      <x:c r="C1436" s="10" t="str">
        <x:v>Energy, transport, utilities, and social infrastructure finance</x:v>
      </x:c>
      <x:c r="D1436" s="14" t="str">
        <x:v>PART_OF</x:v>
      </x:c>
      <x:c r="E1436" s="10" t="str">
        <x:v>D28</x:v>
      </x:c>
      <x:c r="F1436" s="10" t="str">
        <x:v>Real estate, infrastructure, and project finance</x:v>
      </x:c>
      <x:c r="G1436" s="10" t="str">
        <x:v>Curriculum membership. Use this link to move between the topic and its finance area.</x:v>
      </x:c>
      <x:c r="H1436" s="10" t="str">
        <x:v>Classification only; this edge is not a causal or calculation relationship.</x:v>
      </x:c>
      <x:c r="I1436" s="10" t="str">
        <x:v>Curated curriculum relationship</x:v>
      </x:c>
    </x:row>
    <x:row r="1437" ht="58" customHeight="1">
      <x:c r="A1437" s="9" t="str">
        <x:v>E1432</x:v>
      </x:c>
      <x:c r="B1437" s="9" t="str">
        <x:v>T28.18</x:v>
      </x:c>
      <x:c r="C1437" s="9" t="str">
        <x:v>Energy, transport, utilities, and social infrastructure finance</x:v>
      </x:c>
      <x:c r="D1437" s="15" t="str">
        <x:v>EXPLORE_WITH</x:v>
      </x:c>
      <x:c r="E1437" s="9" t="str">
        <x:v>T28.13</x:v>
      </x:c>
      <x:c r="F1437" s="9" t="str">
        <x:v>Concessions, offtake agreements, and public-private partnerships</x:v>
      </x:c>
      <x:c r="G1437" s="9" t="str">
        <x:v>Study these together to link asset or project cash flows, debt service and investor distributions.</x:v>
      </x:c>
      <x:c r="H1437" s="9" t="str">
        <x:v>A topical exploration link, not a claim that one determines the other.</x:v>
      </x:c>
      <x:c r="I1437" s="9" t="str">
        <x:v>Curated curriculum relationship</x:v>
      </x:c>
    </x:row>
    <x:row r="1438" ht="58" customHeight="1">
      <x:c r="A1438" s="10" t="str">
        <x:v>E1433</x:v>
      </x:c>
      <x:c r="B1438" s="10" t="str">
        <x:v>T03.01</x:v>
      </x:c>
      <x:c r="C1438" s="10" t="str">
        <x:v>Present value and future value</x:v>
      </x:c>
      <x:c r="D1438" s="14" t="str">
        <x:v>RECOMMENDED_BEFORE</x:v>
      </x:c>
      <x:c r="E1438" s="10" t="str">
        <x:v>T28.18</x:v>
      </x:c>
      <x:c r="F1438" s="10" t="str">
        <x:v>Energy, transport, utilities, and social infrastructure finance</x:v>
      </x:c>
      <x:c r="G1438" s="10" t="str">
        <x:v>Suggested starting knowledge: Present value and future value. It helps you link asset or project cash flows, debt service and investor distributions.</x:v>
      </x:c>
      <x:c r="H1438" s="10" t="str">
        <x:v>Suggested learning order; learners can still explore freely.</x:v>
      </x:c>
      <x:c r="I1438" s="10" t="str">
        <x:v>Curated curriculum relationship</x:v>
      </x:c>
    </x:row>
    <x:row r="1439" ht="58" customHeight="1">
      <x:c r="A1439" s="9" t="str">
        <x:v>E1434</x:v>
      </x:c>
      <x:c r="B1439" s="9" t="str">
        <x:v>T29.01</x:v>
      </x:c>
      <x:c r="C1439" s="9" t="str">
        <x:v>Risk pooling and the economics of insurance</x:v>
      </x:c>
      <x:c r="D1439" s="15" t="str">
        <x:v>PART_OF</x:v>
      </x:c>
      <x:c r="E1439" s="9" t="str">
        <x:v>D29</x:v>
      </x:c>
      <x:c r="F1439" s="9" t="str">
        <x:v>Insurance and actuarial finance</x:v>
      </x:c>
      <x:c r="G1439" s="9" t="str">
        <x:v>Curriculum membership. Use this link to move between the topic and its finance area.</x:v>
      </x:c>
      <x:c r="H1439" s="9" t="str">
        <x:v>Classification only; this edge is not a causal or calculation relationship.</x:v>
      </x:c>
      <x:c r="I1439" s="9" t="str">
        <x:v>Curated curriculum relationship</x:v>
      </x:c>
    </x:row>
    <x:row r="1440" ht="58" customHeight="1">
      <x:c r="A1440" s="10" t="str">
        <x:v>E1435</x:v>
      </x:c>
      <x:c r="B1440" s="10" t="str">
        <x:v>T29.01</x:v>
      </x:c>
      <x:c r="C1440" s="10" t="str">
        <x:v>Risk pooling and the economics of insurance</x:v>
      </x:c>
      <x:c r="D1440" s="14" t="str">
        <x:v>EXPLORE_WITH</x:v>
      </x:c>
      <x:c r="E1440" s="10" t="str">
        <x:v>T29.05</x:v>
      </x:c>
      <x:c r="F1440" s="10" t="str">
        <x:v>Underwriting and adverse selection</x:v>
      </x:c>
      <x:c r="G1440" s="10" t="str">
        <x:v>Study these together to connect uncertain claims, premiums, reserves, investments and solvency.</x:v>
      </x:c>
      <x:c r="H1440" s="10" t="str">
        <x:v>A topical exploration link, not a claim that one determines the other.</x:v>
      </x:c>
      <x:c r="I1440" s="10" t="str">
        <x:v>Curated curriculum relationship</x:v>
      </x:c>
    </x:row>
    <x:row r="1441" ht="58" customHeight="1">
      <x:c r="A1441" s="9" t="str">
        <x:v>E1436</x:v>
      </x:c>
      <x:c r="B1441" s="9" t="str">
        <x:v>T02.07</x:v>
      </x:c>
      <x:c r="C1441" s="9" t="str">
        <x:v>Probability, conditional probability, and Bayes' theorem</x:v>
      </x:c>
      <x:c r="D1441" s="15" t="str">
        <x:v>RECOMMENDED_BEFORE</x:v>
      </x:c>
      <x:c r="E1441" s="9" t="str">
        <x:v>T29.01</x:v>
      </x:c>
      <x:c r="F1441" s="9" t="str">
        <x:v>Risk pooling and the economics of insurance</x:v>
      </x:c>
      <x:c r="G1441" s="9" t="str">
        <x:v>Suggested starting knowledge: Probability, conditional probability, and Bayes' theorem. It helps you connect uncertain claims, premiums, reserves, investments and solvency.</x:v>
      </x:c>
      <x:c r="H1441" s="9" t="str">
        <x:v>Suggested learning order; learners can still explore freely.</x:v>
      </x:c>
      <x:c r="I1441" s="9" t="str">
        <x:v>Curated curriculum relationship</x:v>
      </x:c>
    </x:row>
    <x:row r="1442" ht="58" customHeight="1">
      <x:c r="A1442" s="10" t="str">
        <x:v>E1437</x:v>
      </x:c>
      <x:c r="B1442" s="10" t="str">
        <x:v>T29.02</x:v>
      </x:c>
      <x:c r="C1442" s="10" t="str">
        <x:v>Life, health, general, and liability insurance</x:v>
      </x:c>
      <x:c r="D1442" s="14" t="str">
        <x:v>PART_OF</x:v>
      </x:c>
      <x:c r="E1442" s="10" t="str">
        <x:v>D29</x:v>
      </x:c>
      <x:c r="F1442" s="10" t="str">
        <x:v>Insurance and actuarial finance</x:v>
      </x:c>
      <x:c r="G1442" s="10" t="str">
        <x:v>Curriculum membership. Use this link to move between the topic and its finance area.</x:v>
      </x:c>
      <x:c r="H1442" s="10" t="str">
        <x:v>Classification only; this edge is not a causal or calculation relationship.</x:v>
      </x:c>
      <x:c r="I1442" s="10" t="str">
        <x:v>Curated curriculum relationship</x:v>
      </x:c>
    </x:row>
    <x:row r="1443" ht="58" customHeight="1">
      <x:c r="A1443" s="9" t="str">
        <x:v>E1438</x:v>
      </x:c>
      <x:c r="B1443" s="9" t="str">
        <x:v>T29.02</x:v>
      </x:c>
      <x:c r="C1443" s="9" t="str">
        <x:v>Life, health, general, and liability insurance</x:v>
      </x:c>
      <x:c r="D1443" s="15" t="str">
        <x:v>EXPLORE_WITH</x:v>
      </x:c>
      <x:c r="E1443" s="9" t="str">
        <x:v>T29.04</x:v>
      </x:c>
      <x:c r="F1443" s="9" t="str">
        <x:v>Premiums, deductibles, exclusions, and claims</x:v>
      </x:c>
      <x:c r="G1443" s="9" t="str">
        <x:v>Study these together to connect uncertain claims, premiums, reserves, investments and solvency.</x:v>
      </x:c>
      <x:c r="H1443" s="9" t="str">
        <x:v>A topical exploration link, not a claim that one determines the other.</x:v>
      </x:c>
      <x:c r="I1443" s="9" t="str">
        <x:v>Curated curriculum relationship</x:v>
      </x:c>
    </x:row>
    <x:row r="1444" ht="58" customHeight="1">
      <x:c r="A1444" s="10" t="str">
        <x:v>E1439</x:v>
      </x:c>
      <x:c r="B1444" s="10" t="str">
        <x:v>T02.07</x:v>
      </x:c>
      <x:c r="C1444" s="10" t="str">
        <x:v>Probability, conditional probability, and Bayes' theorem</x:v>
      </x:c>
      <x:c r="D1444" s="14" t="str">
        <x:v>RECOMMENDED_BEFORE</x:v>
      </x:c>
      <x:c r="E1444" s="10" t="str">
        <x:v>T29.02</x:v>
      </x:c>
      <x:c r="F1444" s="10" t="str">
        <x:v>Life, health, general, and liability insurance</x:v>
      </x:c>
      <x:c r="G1444" s="10" t="str">
        <x:v>Suggested starting knowledge: Probability, conditional probability, and Bayes' theorem. It helps you connect uncertain claims, premiums, reserves, investments and solvency.</x:v>
      </x:c>
      <x:c r="H1444" s="10" t="str">
        <x:v>Suggested learning order; learners can still explore freely.</x:v>
      </x:c>
      <x:c r="I1444" s="10" t="str">
        <x:v>Curated curriculum relationship</x:v>
      </x:c>
    </x:row>
    <x:row r="1445" ht="58" customHeight="1">
      <x:c r="A1445" s="9" t="str">
        <x:v>E1440</x:v>
      </x:c>
      <x:c r="B1445" s="9" t="str">
        <x:v>T29.03</x:v>
      </x:c>
      <x:c r="C1445" s="9" t="str">
        <x:v>Term versus savings-linked insurance products</x:v>
      </x:c>
      <x:c r="D1445" s="15" t="str">
        <x:v>PART_OF</x:v>
      </x:c>
      <x:c r="E1445" s="9" t="str">
        <x:v>D29</x:v>
      </x:c>
      <x:c r="F1445" s="9" t="str">
        <x:v>Insurance and actuarial finance</x:v>
      </x:c>
      <x:c r="G1445" s="9" t="str">
        <x:v>Curriculum membership. Use this link to move between the topic and its finance area.</x:v>
      </x:c>
      <x:c r="H1445" s="9" t="str">
        <x:v>Classification only; this edge is not a causal or calculation relationship.</x:v>
      </x:c>
      <x:c r="I1445" s="9" t="str">
        <x:v>Curated curriculum relationship</x:v>
      </x:c>
    </x:row>
    <x:row r="1446" ht="58" customHeight="1">
      <x:c r="A1446" s="10" t="str">
        <x:v>E1441</x:v>
      </x:c>
      <x:c r="B1446" s="10" t="str">
        <x:v>T29.03</x:v>
      </x:c>
      <x:c r="C1446" s="10" t="str">
        <x:v>Term versus savings-linked insurance products</x:v>
      </x:c>
      <x:c r="D1446" s="14" t="str">
        <x:v>EXPLORE_WITH</x:v>
      </x:c>
      <x:c r="E1446" s="10" t="str">
        <x:v>T29.02</x:v>
      </x:c>
      <x:c r="F1446" s="10" t="str">
        <x:v>Life, health, general, and liability insurance</x:v>
      </x:c>
      <x:c r="G1446" s="10" t="str">
        <x:v>Study these together to connect uncertain claims, premiums, reserves, investments and solvency.</x:v>
      </x:c>
      <x:c r="H1446" s="10" t="str">
        <x:v>A topical exploration link, not a claim that one determines the other.</x:v>
      </x:c>
      <x:c r="I1446" s="10" t="str">
        <x:v>Curated curriculum relationship</x:v>
      </x:c>
    </x:row>
    <x:row r="1447" ht="58" customHeight="1">
      <x:c r="A1447" s="9" t="str">
        <x:v>E1442</x:v>
      </x:c>
      <x:c r="B1447" s="9" t="str">
        <x:v>T02.07</x:v>
      </x:c>
      <x:c r="C1447" s="9" t="str">
        <x:v>Probability, conditional probability, and Bayes' theorem</x:v>
      </x:c>
      <x:c r="D1447" s="15" t="str">
        <x:v>RECOMMENDED_BEFORE</x:v>
      </x:c>
      <x:c r="E1447" s="9" t="str">
        <x:v>T29.03</x:v>
      </x:c>
      <x:c r="F1447" s="9" t="str">
        <x:v>Term versus savings-linked insurance products</x:v>
      </x:c>
      <x:c r="G1447" s="9" t="str">
        <x:v>Suggested starting knowledge: Probability, conditional probability, and Bayes' theorem. It helps you connect uncertain claims, premiums, reserves, investments and solvency.</x:v>
      </x:c>
      <x:c r="H1447" s="9" t="str">
        <x:v>Suggested learning order; learners can still explore freely.</x:v>
      </x:c>
      <x:c r="I1447" s="9" t="str">
        <x:v>Curated curriculum relationship</x:v>
      </x:c>
    </x:row>
    <x:row r="1448" ht="58" customHeight="1">
      <x:c r="A1448" s="10" t="str">
        <x:v>E1443</x:v>
      </x:c>
      <x:c r="B1448" s="10" t="str">
        <x:v>T29.04</x:v>
      </x:c>
      <x:c r="C1448" s="10" t="str">
        <x:v>Premiums, deductibles, exclusions, and claims</x:v>
      </x:c>
      <x:c r="D1448" s="14" t="str">
        <x:v>PART_OF</x:v>
      </x:c>
      <x:c r="E1448" s="10" t="str">
        <x:v>D29</x:v>
      </x:c>
      <x:c r="F1448" s="10" t="str">
        <x:v>Insurance and actuarial finance</x:v>
      </x:c>
      <x:c r="G1448" s="10" t="str">
        <x:v>Curriculum membership. Use this link to move between the topic and its finance area.</x:v>
      </x:c>
      <x:c r="H1448" s="10" t="str">
        <x:v>Classification only; this edge is not a causal or calculation relationship.</x:v>
      </x:c>
      <x:c r="I1448" s="10" t="str">
        <x:v>Curated curriculum relationship</x:v>
      </x:c>
    </x:row>
    <x:row r="1449" ht="58" customHeight="1">
      <x:c r="A1449" s="9" t="str">
        <x:v>E1444</x:v>
      </x:c>
      <x:c r="B1449" s="9" t="str">
        <x:v>T29.04</x:v>
      </x:c>
      <x:c r="C1449" s="9" t="str">
        <x:v>Premiums, deductibles, exclusions, and claims</x:v>
      </x:c>
      <x:c r="D1449" s="15" t="str">
        <x:v>EXPLORE_WITH</x:v>
      </x:c>
      <x:c r="E1449" s="9" t="str">
        <x:v>T29.05</x:v>
      </x:c>
      <x:c r="F1449" s="9" t="str">
        <x:v>Underwriting and adverse selection</x:v>
      </x:c>
      <x:c r="G1449" s="9" t="str">
        <x:v>Study these together to connect uncertain claims, premiums, reserves, investments and solvency.</x:v>
      </x:c>
      <x:c r="H1449" s="9" t="str">
        <x:v>A topical exploration link, not a claim that one determines the other.</x:v>
      </x:c>
      <x:c r="I1449" s="9" t="str">
        <x:v>Curated curriculum relationship</x:v>
      </x:c>
    </x:row>
    <x:row r="1450" ht="58" customHeight="1">
      <x:c r="A1450" s="10" t="str">
        <x:v>E1445</x:v>
      </x:c>
      <x:c r="B1450" s="10" t="str">
        <x:v>T02.07</x:v>
      </x:c>
      <x:c r="C1450" s="10" t="str">
        <x:v>Probability, conditional probability, and Bayes' theorem</x:v>
      </x:c>
      <x:c r="D1450" s="14" t="str">
        <x:v>RECOMMENDED_BEFORE</x:v>
      </x:c>
      <x:c r="E1450" s="10" t="str">
        <x:v>T29.04</x:v>
      </x:c>
      <x:c r="F1450" s="10" t="str">
        <x:v>Premiums, deductibles, exclusions, and claims</x:v>
      </x:c>
      <x:c r="G1450" s="10" t="str">
        <x:v>Suggested starting knowledge: Probability, conditional probability, and Bayes' theorem. It helps you connect uncertain claims, premiums, reserves, investments and solvency.</x:v>
      </x:c>
      <x:c r="H1450" s="10" t="str">
        <x:v>Suggested learning order; learners can still explore freely.</x:v>
      </x:c>
      <x:c r="I1450" s="10" t="str">
        <x:v>Curated curriculum relationship</x:v>
      </x:c>
    </x:row>
    <x:row r="1451" ht="58" customHeight="1">
      <x:c r="A1451" s="9" t="str">
        <x:v>E1446</x:v>
      </x:c>
      <x:c r="B1451" s="9" t="str">
        <x:v>T29.05</x:v>
      </x:c>
      <x:c r="C1451" s="9" t="str">
        <x:v>Underwriting and adverse selection</x:v>
      </x:c>
      <x:c r="D1451" s="15" t="str">
        <x:v>PART_OF</x:v>
      </x:c>
      <x:c r="E1451" s="9" t="str">
        <x:v>D29</x:v>
      </x:c>
      <x:c r="F1451" s="9" t="str">
        <x:v>Insurance and actuarial finance</x:v>
      </x:c>
      <x:c r="G1451" s="9" t="str">
        <x:v>Curriculum membership. Use this link to move between the topic and its finance area.</x:v>
      </x:c>
      <x:c r="H1451" s="9" t="str">
        <x:v>Classification only; this edge is not a causal or calculation relationship.</x:v>
      </x:c>
      <x:c r="I1451" s="9" t="str">
        <x:v>Curated curriculum relationship</x:v>
      </x:c>
    </x:row>
    <x:row r="1452" ht="58" customHeight="1">
      <x:c r="A1452" s="10" t="str">
        <x:v>E1447</x:v>
      </x:c>
      <x:c r="B1452" s="10" t="str">
        <x:v>T29.05</x:v>
      </x:c>
      <x:c r="C1452" s="10" t="str">
        <x:v>Underwriting and adverse selection</x:v>
      </x:c>
      <x:c r="D1452" s="14" t="str">
        <x:v>EXPLORE_WITH</x:v>
      </x:c>
      <x:c r="E1452" s="10" t="str">
        <x:v>T29.01</x:v>
      </x:c>
      <x:c r="F1452" s="10" t="str">
        <x:v>Risk pooling and the economics of insurance</x:v>
      </x:c>
      <x:c r="G1452" s="10" t="str">
        <x:v>Study these together to connect uncertain claims, premiums, reserves, investments and solvency.</x:v>
      </x:c>
      <x:c r="H1452" s="10" t="str">
        <x:v>A topical exploration link, not a claim that one determines the other.</x:v>
      </x:c>
      <x:c r="I1452" s="10" t="str">
        <x:v>Curated curriculum relationship</x:v>
      </x:c>
    </x:row>
    <x:row r="1453" ht="58" customHeight="1">
      <x:c r="A1453" s="9" t="str">
        <x:v>E1448</x:v>
      </x:c>
      <x:c r="B1453" s="9" t="str">
        <x:v>T02.07</x:v>
      </x:c>
      <x:c r="C1453" s="9" t="str">
        <x:v>Probability, conditional probability, and Bayes' theorem</x:v>
      </x:c>
      <x:c r="D1453" s="15" t="str">
        <x:v>RECOMMENDED_BEFORE</x:v>
      </x:c>
      <x:c r="E1453" s="9" t="str">
        <x:v>T29.05</x:v>
      </x:c>
      <x:c r="F1453" s="9" t="str">
        <x:v>Underwriting and adverse selection</x:v>
      </x:c>
      <x:c r="G1453" s="9" t="str">
        <x:v>Suggested starting knowledge: Probability, conditional probability, and Bayes' theorem. It helps you connect uncertain claims, premiums, reserves, investments and solvency.</x:v>
      </x:c>
      <x:c r="H1453" s="9" t="str">
        <x:v>Suggested learning order; learners can still explore freely.</x:v>
      </x:c>
      <x:c r="I1453" s="9" t="str">
        <x:v>Curated curriculum relationship</x:v>
      </x:c>
    </x:row>
    <x:row r="1454" ht="58" customHeight="1">
      <x:c r="A1454" s="10" t="str">
        <x:v>E1449</x:v>
      </x:c>
      <x:c r="B1454" s="10" t="str">
        <x:v>T29.06</x:v>
      </x:c>
      <x:c r="C1454" s="10" t="str">
        <x:v>Reinsurance</x:v>
      </x:c>
      <x:c r="D1454" s="14" t="str">
        <x:v>PART_OF</x:v>
      </x:c>
      <x:c r="E1454" s="10" t="str">
        <x:v>D29</x:v>
      </x:c>
      <x:c r="F1454" s="10" t="str">
        <x:v>Insurance and actuarial finance</x:v>
      </x:c>
      <x:c r="G1454" s="10" t="str">
        <x:v>Curriculum membership. Use this link to move between the topic and its finance area.</x:v>
      </x:c>
      <x:c r="H1454" s="10" t="str">
        <x:v>Classification only; this edge is not a causal or calculation relationship.</x:v>
      </x:c>
      <x:c r="I1454" s="10" t="str">
        <x:v>Curated curriculum relationship</x:v>
      </x:c>
    </x:row>
    <x:row r="1455" ht="58" customHeight="1">
      <x:c r="A1455" s="9" t="str">
        <x:v>E1450</x:v>
      </x:c>
      <x:c r="B1455" s="9" t="str">
        <x:v>T29.06</x:v>
      </x:c>
      <x:c r="C1455" s="9" t="str">
        <x:v>Reinsurance</x:v>
      </x:c>
      <x:c r="D1455" s="15" t="str">
        <x:v>EXPLORE_WITH</x:v>
      </x:c>
      <x:c r="E1455" s="9" t="str">
        <x:v>T29.16</x:v>
      </x:c>
      <x:c r="F1455" s="9" t="str">
        <x:v>Catastrophe risk and insurance-linked securities</x:v>
      </x:c>
      <x:c r="G1455" s="9" t="str">
        <x:v>Study these together to connect uncertain claims, premiums, reserves, investments and solvency.</x:v>
      </x:c>
      <x:c r="H1455" s="9" t="str">
        <x:v>A topical exploration link, not a claim that one determines the other.</x:v>
      </x:c>
      <x:c r="I1455" s="9" t="str">
        <x:v>Curated curriculum relationship</x:v>
      </x:c>
    </x:row>
    <x:row r="1456" ht="58" customHeight="1">
      <x:c r="A1456" s="10" t="str">
        <x:v>E1451</x:v>
      </x:c>
      <x:c r="B1456" s="10" t="str">
        <x:v>T02.07</x:v>
      </x:c>
      <x:c r="C1456" s="10" t="str">
        <x:v>Probability, conditional probability, and Bayes' theorem</x:v>
      </x:c>
      <x:c r="D1456" s="14" t="str">
        <x:v>RECOMMENDED_BEFORE</x:v>
      </x:c>
      <x:c r="E1456" s="10" t="str">
        <x:v>T29.06</x:v>
      </x:c>
      <x:c r="F1456" s="10" t="str">
        <x:v>Reinsurance</x:v>
      </x:c>
      <x:c r="G1456" s="10" t="str">
        <x:v>Suggested starting knowledge: Probability, conditional probability, and Bayes' theorem. It helps you connect uncertain claims, premiums, reserves, investments and solvency.</x:v>
      </x:c>
      <x:c r="H1456" s="10" t="str">
        <x:v>Suggested learning order; learners can still explore freely.</x:v>
      </x:c>
      <x:c r="I1456" s="10" t="str">
        <x:v>Curated curriculum relationship</x:v>
      </x:c>
    </x:row>
    <x:row r="1457" ht="58" customHeight="1">
      <x:c r="A1457" s="9" t="str">
        <x:v>E1452</x:v>
      </x:c>
      <x:c r="B1457" s="9" t="str">
        <x:v>T29.07</x:v>
      </x:c>
      <x:c r="C1457" s="9" t="str">
        <x:v>Claims reserves and technical provisions</x:v>
      </x:c>
      <x:c r="D1457" s="15" t="str">
        <x:v>PART_OF</x:v>
      </x:c>
      <x:c r="E1457" s="9" t="str">
        <x:v>D29</x:v>
      </x:c>
      <x:c r="F1457" s="9" t="str">
        <x:v>Insurance and actuarial finance</x:v>
      </x:c>
      <x:c r="G1457" s="9" t="str">
        <x:v>Curriculum membership. Use this link to move between the topic and its finance area.</x:v>
      </x:c>
      <x:c r="H1457" s="9" t="str">
        <x:v>Classification only; this edge is not a causal or calculation relationship.</x:v>
      </x:c>
      <x:c r="I1457" s="9" t="str">
        <x:v>Curated curriculum relationship</x:v>
      </x:c>
    </x:row>
    <x:row r="1458" ht="58" customHeight="1">
      <x:c r="A1458" s="10" t="str">
        <x:v>E1453</x:v>
      </x:c>
      <x:c r="B1458" s="10" t="str">
        <x:v>T29.07</x:v>
      </x:c>
      <x:c r="C1458" s="10" t="str">
        <x:v>Claims reserves and technical provisions</x:v>
      </x:c>
      <x:c r="D1458" s="14" t="str">
        <x:v>EXPLORE_WITH</x:v>
      </x:c>
      <x:c r="E1458" s="10" t="str">
        <x:v>T29.09</x:v>
      </x:c>
      <x:c r="F1458" s="10" t="str">
        <x:v>Present value of insurance liabilities</x:v>
      </x:c>
      <x:c r="G1458" s="10" t="str">
        <x:v>Study these together to connect uncertain claims, premiums, reserves, investments and solvency.</x:v>
      </x:c>
      <x:c r="H1458" s="10" t="str">
        <x:v>A topical exploration link, not a claim that one determines the other.</x:v>
      </x:c>
      <x:c r="I1458" s="10" t="str">
        <x:v>Curated curriculum relationship</x:v>
      </x:c>
    </x:row>
    <x:row r="1459" ht="58" customHeight="1">
      <x:c r="A1459" s="9" t="str">
        <x:v>E1454</x:v>
      </x:c>
      <x:c r="B1459" s="9" t="str">
        <x:v>T02.07</x:v>
      </x:c>
      <x:c r="C1459" s="9" t="str">
        <x:v>Probability, conditional probability, and Bayes' theorem</x:v>
      </x:c>
      <x:c r="D1459" s="15" t="str">
        <x:v>RECOMMENDED_BEFORE</x:v>
      </x:c>
      <x:c r="E1459" s="9" t="str">
        <x:v>T29.07</x:v>
      </x:c>
      <x:c r="F1459" s="9" t="str">
        <x:v>Claims reserves and technical provisions</x:v>
      </x:c>
      <x:c r="G1459" s="9" t="str">
        <x:v>Suggested starting knowledge: Probability, conditional probability, and Bayes' theorem. It helps you connect uncertain claims, premiums, reserves, investments and solvency.</x:v>
      </x:c>
      <x:c r="H1459" s="9" t="str">
        <x:v>Suggested learning order; learners can still explore freely.</x:v>
      </x:c>
      <x:c r="I1459" s="9" t="str">
        <x:v>Curated curriculum relationship</x:v>
      </x:c>
    </x:row>
    <x:row r="1460" ht="58" customHeight="1">
      <x:c r="A1460" s="10" t="str">
        <x:v>E1455</x:v>
      </x:c>
      <x:c r="B1460" s="10" t="str">
        <x:v>T29.08</x:v>
      </x:c>
      <x:c r="C1460" s="10" t="str">
        <x:v>Mortality, morbidity, frequency, and severity</x:v>
      </x:c>
      <x:c r="D1460" s="14" t="str">
        <x:v>PART_OF</x:v>
      </x:c>
      <x:c r="E1460" s="10" t="str">
        <x:v>D29</x:v>
      </x:c>
      <x:c r="F1460" s="10" t="str">
        <x:v>Insurance and actuarial finance</x:v>
      </x:c>
      <x:c r="G1460" s="10" t="str">
        <x:v>Curriculum membership. Use this link to move between the topic and its finance area.</x:v>
      </x:c>
      <x:c r="H1460" s="10" t="str">
        <x:v>Classification only; this edge is not a causal or calculation relationship.</x:v>
      </x:c>
      <x:c r="I1460" s="10" t="str">
        <x:v>Curated curriculum relationship</x:v>
      </x:c>
    </x:row>
    <x:row r="1461" ht="58" customHeight="1">
      <x:c r="A1461" s="9" t="str">
        <x:v>E1456</x:v>
      </x:c>
      <x:c r="B1461" s="9" t="str">
        <x:v>T29.08</x:v>
      </x:c>
      <x:c r="C1461" s="9" t="str">
        <x:v>Mortality, morbidity, frequency, and severity</x:v>
      </x:c>
      <x:c r="D1461" s="15" t="str">
        <x:v>EXPLORE_WITH</x:v>
      </x:c>
      <x:c r="E1461" s="9" t="str">
        <x:v>T29.07</x:v>
      </x:c>
      <x:c r="F1461" s="9" t="str">
        <x:v>Claims reserves and technical provisions</x:v>
      </x:c>
      <x:c r="G1461" s="9" t="str">
        <x:v>Study these together to connect uncertain claims, premiums, reserves, investments and solvency.</x:v>
      </x:c>
      <x:c r="H1461" s="9" t="str">
        <x:v>A topical exploration link, not a claim that one determines the other.</x:v>
      </x:c>
      <x:c r="I1461" s="9" t="str">
        <x:v>Curated curriculum relationship</x:v>
      </x:c>
    </x:row>
    <x:row r="1462" ht="58" customHeight="1">
      <x:c r="A1462" s="10" t="str">
        <x:v>E1457</x:v>
      </x:c>
      <x:c r="B1462" s="10" t="str">
        <x:v>T02.07</x:v>
      </x:c>
      <x:c r="C1462" s="10" t="str">
        <x:v>Probability, conditional probability, and Bayes' theorem</x:v>
      </x:c>
      <x:c r="D1462" s="14" t="str">
        <x:v>RECOMMENDED_BEFORE</x:v>
      </x:c>
      <x:c r="E1462" s="10" t="str">
        <x:v>T29.08</x:v>
      </x:c>
      <x:c r="F1462" s="10" t="str">
        <x:v>Mortality, morbidity, frequency, and severity</x:v>
      </x:c>
      <x:c r="G1462" s="10" t="str">
        <x:v>Suggested starting knowledge: Probability, conditional probability, and Bayes' theorem. It helps you connect uncertain claims, premiums, reserves, investments and solvency.</x:v>
      </x:c>
      <x:c r="H1462" s="10" t="str">
        <x:v>Suggested learning order; learners can still explore freely.</x:v>
      </x:c>
      <x:c r="I1462" s="10" t="str">
        <x:v>Curated curriculum relationship</x:v>
      </x:c>
    </x:row>
    <x:row r="1463" ht="58" customHeight="1">
      <x:c r="A1463" s="9" t="str">
        <x:v>E1458</x:v>
      </x:c>
      <x:c r="B1463" s="9" t="str">
        <x:v>T29.09</x:v>
      </x:c>
      <x:c r="C1463" s="9" t="str">
        <x:v>Present value of insurance liabilities</x:v>
      </x:c>
      <x:c r="D1463" s="15" t="str">
        <x:v>PART_OF</x:v>
      </x:c>
      <x:c r="E1463" s="9" t="str">
        <x:v>D29</x:v>
      </x:c>
      <x:c r="F1463" s="9" t="str">
        <x:v>Insurance and actuarial finance</x:v>
      </x:c>
      <x:c r="G1463" s="9" t="str">
        <x:v>Curriculum membership. Use this link to move between the topic and its finance area.</x:v>
      </x:c>
      <x:c r="H1463" s="9" t="str">
        <x:v>Classification only; this edge is not a causal or calculation relationship.</x:v>
      </x:c>
      <x:c r="I1463" s="9" t="str">
        <x:v>Curated curriculum relationship</x:v>
      </x:c>
    </x:row>
    <x:row r="1464" ht="58" customHeight="1">
      <x:c r="A1464" s="10" t="str">
        <x:v>E1459</x:v>
      </x:c>
      <x:c r="B1464" s="10" t="str">
        <x:v>T29.09</x:v>
      </x:c>
      <x:c r="C1464" s="10" t="str">
        <x:v>Present value of insurance liabilities</x:v>
      </x:c>
      <x:c r="D1464" s="14" t="str">
        <x:v>EXPLORE_WITH</x:v>
      </x:c>
      <x:c r="E1464" s="10" t="str">
        <x:v>T29.13</x:v>
      </x:c>
      <x:c r="F1464" s="10" t="str">
        <x:v>Asset-liability matching</x:v>
      </x:c>
      <x:c r="G1464" s="10" t="str">
        <x:v>Study these together to connect uncertain claims, premiums, reserves, investments and solvency.</x:v>
      </x:c>
      <x:c r="H1464" s="10" t="str">
        <x:v>A topical exploration link, not a claim that one determines the other.</x:v>
      </x:c>
      <x:c r="I1464" s="10" t="str">
        <x:v>Curated curriculum relationship</x:v>
      </x:c>
    </x:row>
    <x:row r="1465" ht="58" customHeight="1">
      <x:c r="A1465" s="9" t="str">
        <x:v>E1460</x:v>
      </x:c>
      <x:c r="B1465" s="9" t="str">
        <x:v>T02.07</x:v>
      </x:c>
      <x:c r="C1465" s="9" t="str">
        <x:v>Probability, conditional probability, and Bayes' theorem</x:v>
      </x:c>
      <x:c r="D1465" s="15" t="str">
        <x:v>RECOMMENDED_BEFORE</x:v>
      </x:c>
      <x:c r="E1465" s="9" t="str">
        <x:v>T29.09</x:v>
      </x:c>
      <x:c r="F1465" s="9" t="str">
        <x:v>Present value of insurance liabilities</x:v>
      </x:c>
      <x:c r="G1465" s="9" t="str">
        <x:v>Suggested starting knowledge: Probability, conditional probability, and Bayes' theorem. It helps you connect uncertain claims, premiums, reserves, investments and solvency.</x:v>
      </x:c>
      <x:c r="H1465" s="9" t="str">
        <x:v>Suggested learning order; learners can still explore freely.</x:v>
      </x:c>
      <x:c r="I1465" s="9" t="str">
        <x:v>Curated curriculum relationship</x:v>
      </x:c>
    </x:row>
    <x:row r="1466" ht="58" customHeight="1">
      <x:c r="A1466" s="10" t="str">
        <x:v>E1461</x:v>
      </x:c>
      <x:c r="B1466" s="10" t="str">
        <x:v>T29.10</x:v>
      </x:c>
      <x:c r="C1466" s="10" t="str">
        <x:v>Loss ratios, expense ratios, and combined ratios</x:v>
      </x:c>
      <x:c r="D1466" s="14" t="str">
        <x:v>PART_OF</x:v>
      </x:c>
      <x:c r="E1466" s="10" t="str">
        <x:v>D29</x:v>
      </x:c>
      <x:c r="F1466" s="10" t="str">
        <x:v>Insurance and actuarial finance</x:v>
      </x:c>
      <x:c r="G1466" s="10" t="str">
        <x:v>Curriculum membership. Use this link to move between the topic and its finance area.</x:v>
      </x:c>
      <x:c r="H1466" s="10" t="str">
        <x:v>Classification only; this edge is not a causal or calculation relationship.</x:v>
      </x:c>
      <x:c r="I1466" s="10" t="str">
        <x:v>Curated curriculum relationship</x:v>
      </x:c>
    </x:row>
    <x:row r="1467" ht="58" customHeight="1">
      <x:c r="A1467" s="9" t="str">
        <x:v>E1462</x:v>
      </x:c>
      <x:c r="B1467" s="9" t="str">
        <x:v>T29.10</x:v>
      </x:c>
      <x:c r="C1467" s="9" t="str">
        <x:v>Loss ratios, expense ratios, and combined ratios</x:v>
      </x:c>
      <x:c r="D1467" s="15" t="str">
        <x:v>EXPLORE_WITH</x:v>
      </x:c>
      <x:c r="E1467" s="9" t="str">
        <x:v>T29.05</x:v>
      </x:c>
      <x:c r="F1467" s="9" t="str">
        <x:v>Underwriting and adverse selection</x:v>
      </x:c>
      <x:c r="G1467" s="9" t="str">
        <x:v>Study these together to connect uncertain claims, premiums, reserves, investments and solvency.</x:v>
      </x:c>
      <x:c r="H1467" s="9" t="str">
        <x:v>A topical exploration link, not a claim that one determines the other.</x:v>
      </x:c>
      <x:c r="I1467" s="9" t="str">
        <x:v>Curated curriculum relationship</x:v>
      </x:c>
    </x:row>
    <x:row r="1468" ht="58" customHeight="1">
      <x:c r="A1468" s="10" t="str">
        <x:v>E1463</x:v>
      </x:c>
      <x:c r="B1468" s="10" t="str">
        <x:v>T02.07</x:v>
      </x:c>
      <x:c r="C1468" s="10" t="str">
        <x:v>Probability, conditional probability, and Bayes' theorem</x:v>
      </x:c>
      <x:c r="D1468" s="14" t="str">
        <x:v>RECOMMENDED_BEFORE</x:v>
      </x:c>
      <x:c r="E1468" s="10" t="str">
        <x:v>T29.10</x:v>
      </x:c>
      <x:c r="F1468" s="10" t="str">
        <x:v>Loss ratios, expense ratios, and combined ratios</x:v>
      </x:c>
      <x:c r="G1468" s="10" t="str">
        <x:v>Suggested starting knowledge: Probability, conditional probability, and Bayes' theorem. It helps you connect uncertain claims, premiums, reserves, investments and solvency.</x:v>
      </x:c>
      <x:c r="H1468" s="10" t="str">
        <x:v>Suggested learning order; learners can still explore freely.</x:v>
      </x:c>
      <x:c r="I1468" s="10" t="str">
        <x:v>Curated curriculum relationship</x:v>
      </x:c>
    </x:row>
    <x:row r="1469" ht="58" customHeight="1">
      <x:c r="A1469" s="9" t="str">
        <x:v>E1464</x:v>
      </x:c>
      <x:c r="B1469" s="9" t="str">
        <x:v>T29.11</x:v>
      </x:c>
      <x:c r="C1469" s="9" t="str">
        <x:v>Embedded value and value of new business</x:v>
      </x:c>
      <x:c r="D1469" s="15" t="str">
        <x:v>PART_OF</x:v>
      </x:c>
      <x:c r="E1469" s="9" t="str">
        <x:v>D29</x:v>
      </x:c>
      <x:c r="F1469" s="9" t="str">
        <x:v>Insurance and actuarial finance</x:v>
      </x:c>
      <x:c r="G1469" s="9" t="str">
        <x:v>Curriculum membership. Use this link to move between the topic and its finance area.</x:v>
      </x:c>
      <x:c r="H1469" s="9" t="str">
        <x:v>Classification only; this edge is not a causal or calculation relationship.</x:v>
      </x:c>
      <x:c r="I1469" s="9" t="str">
        <x:v>Curated curriculum relationship</x:v>
      </x:c>
    </x:row>
    <x:row r="1470" ht="58" customHeight="1">
      <x:c r="A1470" s="10" t="str">
        <x:v>E1465</x:v>
      </x:c>
      <x:c r="B1470" s="10" t="str">
        <x:v>T29.11</x:v>
      </x:c>
      <x:c r="C1470" s="10" t="str">
        <x:v>Embedded value and value of new business</x:v>
      </x:c>
      <x:c r="D1470" s="14" t="str">
        <x:v>EXPLORE_WITH</x:v>
      </x:c>
      <x:c r="E1470" s="10" t="str">
        <x:v>T29.09</x:v>
      </x:c>
      <x:c r="F1470" s="10" t="str">
        <x:v>Present value of insurance liabilities</x:v>
      </x:c>
      <x:c r="G1470" s="10" t="str">
        <x:v>Study these together to connect uncertain claims, premiums, reserves, investments and solvency.</x:v>
      </x:c>
      <x:c r="H1470" s="10" t="str">
        <x:v>A topical exploration link, not a claim that one determines the other.</x:v>
      </x:c>
      <x:c r="I1470" s="10" t="str">
        <x:v>Curated curriculum relationship</x:v>
      </x:c>
    </x:row>
    <x:row r="1471" ht="58" customHeight="1">
      <x:c r="A1471" s="9" t="str">
        <x:v>E1466</x:v>
      </x:c>
      <x:c r="B1471" s="9" t="str">
        <x:v>T02.07</x:v>
      </x:c>
      <x:c r="C1471" s="9" t="str">
        <x:v>Probability, conditional probability, and Bayes' theorem</x:v>
      </x:c>
      <x:c r="D1471" s="15" t="str">
        <x:v>RECOMMENDED_BEFORE</x:v>
      </x:c>
      <x:c r="E1471" s="9" t="str">
        <x:v>T29.11</x:v>
      </x:c>
      <x:c r="F1471" s="9" t="str">
        <x:v>Embedded value and value of new business</x:v>
      </x:c>
      <x:c r="G1471" s="9" t="str">
        <x:v>Suggested starting knowledge: Probability, conditional probability, and Bayes' theorem. It helps you connect uncertain claims, premiums, reserves, investments and solvency.</x:v>
      </x:c>
      <x:c r="H1471" s="9" t="str">
        <x:v>Suggested learning order; learners can still explore freely.</x:v>
      </x:c>
      <x:c r="I1471" s="9" t="str">
        <x:v>Curated curriculum relationship</x:v>
      </x:c>
    </x:row>
    <x:row r="1472" ht="58" customHeight="1">
      <x:c r="A1472" s="10" t="str">
        <x:v>E1467</x:v>
      </x:c>
      <x:c r="B1472" s="10" t="str">
        <x:v>T29.12</x:v>
      </x:c>
      <x:c r="C1472" s="10" t="str">
        <x:v>Insurance investment portfolios</x:v>
      </x:c>
      <x:c r="D1472" s="14" t="str">
        <x:v>PART_OF</x:v>
      </x:c>
      <x:c r="E1472" s="10" t="str">
        <x:v>D29</x:v>
      </x:c>
      <x:c r="F1472" s="10" t="str">
        <x:v>Insurance and actuarial finance</x:v>
      </x:c>
      <x:c r="G1472" s="10" t="str">
        <x:v>Curriculum membership. Use this link to move between the topic and its finance area.</x:v>
      </x:c>
      <x:c r="H1472" s="10" t="str">
        <x:v>Classification only; this edge is not a causal or calculation relationship.</x:v>
      </x:c>
      <x:c r="I1472" s="10" t="str">
        <x:v>Curated curriculum relationship</x:v>
      </x:c>
    </x:row>
    <x:row r="1473" ht="58" customHeight="1">
      <x:c r="A1473" s="9" t="str">
        <x:v>E1468</x:v>
      </x:c>
      <x:c r="B1473" s="9" t="str">
        <x:v>T29.12</x:v>
      </x:c>
      <x:c r="C1473" s="9" t="str">
        <x:v>Insurance investment portfolios</x:v>
      </x:c>
      <x:c r="D1473" s="15" t="str">
        <x:v>EXPLORE_WITH</x:v>
      </x:c>
      <x:c r="E1473" s="9" t="str">
        <x:v>T29.13</x:v>
      </x:c>
      <x:c r="F1473" s="9" t="str">
        <x:v>Asset-liability matching</x:v>
      </x:c>
      <x:c r="G1473" s="9" t="str">
        <x:v>Study these together to connect uncertain claims, premiums, reserves, investments and solvency.</x:v>
      </x:c>
      <x:c r="H1473" s="9" t="str">
        <x:v>A topical exploration link, not a claim that one determines the other.</x:v>
      </x:c>
      <x:c r="I1473" s="9" t="str">
        <x:v>Curated curriculum relationship</x:v>
      </x:c>
    </x:row>
    <x:row r="1474" ht="58" customHeight="1">
      <x:c r="A1474" s="10" t="str">
        <x:v>E1469</x:v>
      </x:c>
      <x:c r="B1474" s="10" t="str">
        <x:v>T02.07</x:v>
      </x:c>
      <x:c r="C1474" s="10" t="str">
        <x:v>Probability, conditional probability, and Bayes' theorem</x:v>
      </x:c>
      <x:c r="D1474" s="14" t="str">
        <x:v>RECOMMENDED_BEFORE</x:v>
      </x:c>
      <x:c r="E1474" s="10" t="str">
        <x:v>T29.12</x:v>
      </x:c>
      <x:c r="F1474" s="10" t="str">
        <x:v>Insurance investment portfolios</x:v>
      </x:c>
      <x:c r="G1474" s="10" t="str">
        <x:v>Suggested starting knowledge: Probability, conditional probability, and Bayes' theorem. It helps you connect uncertain claims, premiums, reserves, investments and solvency.</x:v>
      </x:c>
      <x:c r="H1474" s="10" t="str">
        <x:v>Suggested learning order; learners can still explore freely.</x:v>
      </x:c>
      <x:c r="I1474" s="10" t="str">
        <x:v>Curated curriculum relationship</x:v>
      </x:c>
    </x:row>
    <x:row r="1475" ht="58" customHeight="1">
      <x:c r="A1475" s="9" t="str">
        <x:v>E1470</x:v>
      </x:c>
      <x:c r="B1475" s="9" t="str">
        <x:v>T29.13</x:v>
      </x:c>
      <x:c r="C1475" s="9" t="str">
        <x:v>Asset-liability matching</x:v>
      </x:c>
      <x:c r="D1475" s="15" t="str">
        <x:v>PART_OF</x:v>
      </x:c>
      <x:c r="E1475" s="9" t="str">
        <x:v>D29</x:v>
      </x:c>
      <x:c r="F1475" s="9" t="str">
        <x:v>Insurance and actuarial finance</x:v>
      </x:c>
      <x:c r="G1475" s="9" t="str">
        <x:v>Curriculum membership. Use this link to move between the topic and its finance area.</x:v>
      </x:c>
      <x:c r="H1475" s="9" t="str">
        <x:v>Classification only; this edge is not a causal or calculation relationship.</x:v>
      </x:c>
      <x:c r="I1475" s="9" t="str">
        <x:v>Curated curriculum relationship</x:v>
      </x:c>
    </x:row>
    <x:row r="1476" ht="58" customHeight="1">
      <x:c r="A1476" s="10" t="str">
        <x:v>E1471</x:v>
      </x:c>
      <x:c r="B1476" s="10" t="str">
        <x:v>T29.13</x:v>
      </x:c>
      <x:c r="C1476" s="10" t="str">
        <x:v>Asset-liability matching</x:v>
      </x:c>
      <x:c r="D1476" s="14" t="str">
        <x:v>EXPLORE_WITH</x:v>
      </x:c>
      <x:c r="E1476" s="10" t="str">
        <x:v>T29.09</x:v>
      </x:c>
      <x:c r="F1476" s="10" t="str">
        <x:v>Present value of insurance liabilities</x:v>
      </x:c>
      <x:c r="G1476" s="10" t="str">
        <x:v>Study these together to connect uncertain claims, premiums, reserves, investments and solvency.</x:v>
      </x:c>
      <x:c r="H1476" s="10" t="str">
        <x:v>A topical exploration link, not a claim that one determines the other.</x:v>
      </x:c>
      <x:c r="I1476" s="10" t="str">
        <x:v>Curated curriculum relationship</x:v>
      </x:c>
    </x:row>
    <x:row r="1477" ht="58" customHeight="1">
      <x:c r="A1477" s="9" t="str">
        <x:v>E1472</x:v>
      </x:c>
      <x:c r="B1477" s="9" t="str">
        <x:v>T02.07</x:v>
      </x:c>
      <x:c r="C1477" s="9" t="str">
        <x:v>Probability, conditional probability, and Bayes' theorem</x:v>
      </x:c>
      <x:c r="D1477" s="15" t="str">
        <x:v>RECOMMENDED_BEFORE</x:v>
      </x:c>
      <x:c r="E1477" s="9" t="str">
        <x:v>T29.13</x:v>
      </x:c>
      <x:c r="F1477" s="9" t="str">
        <x:v>Asset-liability matching</x:v>
      </x:c>
      <x:c r="G1477" s="9" t="str">
        <x:v>Suggested starting knowledge: Probability, conditional probability, and Bayes' theorem. It helps you connect uncertain claims, premiums, reserves, investments and solvency.</x:v>
      </x:c>
      <x:c r="H1477" s="9" t="str">
        <x:v>Suggested learning order; learners can still explore freely.</x:v>
      </x:c>
      <x:c r="I1477" s="9" t="str">
        <x:v>Curated curriculum relationship</x:v>
      </x:c>
    </x:row>
    <x:row r="1478" ht="58" customHeight="1">
      <x:c r="A1478" s="10" t="str">
        <x:v>E1473</x:v>
      </x:c>
      <x:c r="B1478" s="10" t="str">
        <x:v>T29.14</x:v>
      </x:c>
      <x:c r="C1478" s="10" t="str">
        <x:v>Solvency and regulatory capital</x:v>
      </x:c>
      <x:c r="D1478" s="14" t="str">
        <x:v>PART_OF</x:v>
      </x:c>
      <x:c r="E1478" s="10" t="str">
        <x:v>D29</x:v>
      </x:c>
      <x:c r="F1478" s="10" t="str">
        <x:v>Insurance and actuarial finance</x:v>
      </x:c>
      <x:c r="G1478" s="10" t="str">
        <x:v>Curriculum membership. Use this link to move between the topic and its finance area.</x:v>
      </x:c>
      <x:c r="H1478" s="10" t="str">
        <x:v>Classification only; this edge is not a causal or calculation relationship.</x:v>
      </x:c>
      <x:c r="I1478" s="10" t="str">
        <x:v>Curated curriculum relationship</x:v>
      </x:c>
    </x:row>
    <x:row r="1479" ht="58" customHeight="1">
      <x:c r="A1479" s="9" t="str">
        <x:v>E1474</x:v>
      </x:c>
      <x:c r="B1479" s="9" t="str">
        <x:v>T02.07</x:v>
      </x:c>
      <x:c r="C1479" s="9" t="str">
        <x:v>Probability, conditional probability, and Bayes' theorem</x:v>
      </x:c>
      <x:c r="D1479" s="15" t="str">
        <x:v>RECOMMENDED_BEFORE</x:v>
      </x:c>
      <x:c r="E1479" s="9" t="str">
        <x:v>T29.14</x:v>
      </x:c>
      <x:c r="F1479" s="9" t="str">
        <x:v>Solvency and regulatory capital</x:v>
      </x:c>
      <x:c r="G1479" s="9" t="str">
        <x:v>Suggested starting knowledge: Probability, conditional probability, and Bayes' theorem. It helps you connect uncertain claims, premiums, reserves, investments and solvency.</x:v>
      </x:c>
      <x:c r="H1479" s="9" t="str">
        <x:v>Suggested learning order; learners can still explore freely.</x:v>
      </x:c>
      <x:c r="I1479" s="9" t="str">
        <x:v>Curated curriculum relationship</x:v>
      </x:c>
    </x:row>
    <x:row r="1480" ht="58" customHeight="1">
      <x:c r="A1480" s="10" t="str">
        <x:v>E1475</x:v>
      </x:c>
      <x:c r="B1480" s="10" t="str">
        <x:v>T29.15</x:v>
      </x:c>
      <x:c r="C1480" s="10" t="str">
        <x:v>Pension and annuity products</x:v>
      </x:c>
      <x:c r="D1480" s="14" t="str">
        <x:v>PART_OF</x:v>
      </x:c>
      <x:c r="E1480" s="10" t="str">
        <x:v>D29</x:v>
      </x:c>
      <x:c r="F1480" s="10" t="str">
        <x:v>Insurance and actuarial finance</x:v>
      </x:c>
      <x:c r="G1480" s="10" t="str">
        <x:v>Curriculum membership. Use this link to move between the topic and its finance area.</x:v>
      </x:c>
      <x:c r="H1480" s="10" t="str">
        <x:v>Classification only; this edge is not a causal or calculation relationship.</x:v>
      </x:c>
      <x:c r="I1480" s="10" t="str">
        <x:v>Curated curriculum relationship</x:v>
      </x:c>
    </x:row>
    <x:row r="1481" ht="58" customHeight="1">
      <x:c r="A1481" s="9" t="str">
        <x:v>E1476</x:v>
      </x:c>
      <x:c r="B1481" s="9" t="str">
        <x:v>T29.15</x:v>
      </x:c>
      <x:c r="C1481" s="9" t="str">
        <x:v>Pension and annuity products</x:v>
      </x:c>
      <x:c r="D1481" s="15" t="str">
        <x:v>EXPLORE_WITH</x:v>
      </x:c>
      <x:c r="E1481" s="9" t="str">
        <x:v>T29.09</x:v>
      </x:c>
      <x:c r="F1481" s="9" t="str">
        <x:v>Present value of insurance liabilities</x:v>
      </x:c>
      <x:c r="G1481" s="9" t="str">
        <x:v>Study these together to connect uncertain claims, premiums, reserves, investments and solvency.</x:v>
      </x:c>
      <x:c r="H1481" s="9" t="str">
        <x:v>A topical exploration link, not a claim that one determines the other.</x:v>
      </x:c>
      <x:c r="I1481" s="9" t="str">
        <x:v>Curated curriculum relationship</x:v>
      </x:c>
    </x:row>
    <x:row r="1482" ht="58" customHeight="1">
      <x:c r="A1482" s="10" t="str">
        <x:v>E1477</x:v>
      </x:c>
      <x:c r="B1482" s="10" t="str">
        <x:v>T02.07</x:v>
      </x:c>
      <x:c r="C1482" s="10" t="str">
        <x:v>Probability, conditional probability, and Bayes' theorem</x:v>
      </x:c>
      <x:c r="D1482" s="14" t="str">
        <x:v>RECOMMENDED_BEFORE</x:v>
      </x:c>
      <x:c r="E1482" s="10" t="str">
        <x:v>T29.15</x:v>
      </x:c>
      <x:c r="F1482" s="10" t="str">
        <x:v>Pension and annuity products</x:v>
      </x:c>
      <x:c r="G1482" s="10" t="str">
        <x:v>Suggested starting knowledge: Probability, conditional probability, and Bayes' theorem. It helps you connect uncertain claims, premiums, reserves, investments and solvency.</x:v>
      </x:c>
      <x:c r="H1482" s="10" t="str">
        <x:v>Suggested learning order; learners can still explore freely.</x:v>
      </x:c>
      <x:c r="I1482" s="10" t="str">
        <x:v>Curated curriculum relationship</x:v>
      </x:c>
    </x:row>
    <x:row r="1483" ht="58" customHeight="1">
      <x:c r="A1483" s="9" t="str">
        <x:v>E1478</x:v>
      </x:c>
      <x:c r="B1483" s="9" t="str">
        <x:v>T29.16</x:v>
      </x:c>
      <x:c r="C1483" s="9" t="str">
        <x:v>Catastrophe risk and insurance-linked securities</x:v>
      </x:c>
      <x:c r="D1483" s="15" t="str">
        <x:v>PART_OF</x:v>
      </x:c>
      <x:c r="E1483" s="9" t="str">
        <x:v>D29</x:v>
      </x:c>
      <x:c r="F1483" s="9" t="str">
        <x:v>Insurance and actuarial finance</x:v>
      </x:c>
      <x:c r="G1483" s="9" t="str">
        <x:v>Curriculum membership. Use this link to move between the topic and its finance area.</x:v>
      </x:c>
      <x:c r="H1483" s="9" t="str">
        <x:v>Classification only; this edge is not a causal or calculation relationship.</x:v>
      </x:c>
      <x:c r="I1483" s="9" t="str">
        <x:v>Curated curriculum relationship</x:v>
      </x:c>
    </x:row>
    <x:row r="1484" ht="58" customHeight="1">
      <x:c r="A1484" s="10" t="str">
        <x:v>E1479</x:v>
      </x:c>
      <x:c r="B1484" s="10" t="str">
        <x:v>T29.16</x:v>
      </x:c>
      <x:c r="C1484" s="10" t="str">
        <x:v>Catastrophe risk and insurance-linked securities</x:v>
      </x:c>
      <x:c r="D1484" s="14" t="str">
        <x:v>EXPLORE_WITH</x:v>
      </x:c>
      <x:c r="E1484" s="10" t="str">
        <x:v>T29.06</x:v>
      </x:c>
      <x:c r="F1484" s="10" t="str">
        <x:v>Reinsurance</x:v>
      </x:c>
      <x:c r="G1484" s="10" t="str">
        <x:v>Study these together to connect uncertain claims, premiums, reserves, investments and solvency.</x:v>
      </x:c>
      <x:c r="H1484" s="10" t="str">
        <x:v>A topical exploration link, not a claim that one determines the other.</x:v>
      </x:c>
      <x:c r="I1484" s="10" t="str">
        <x:v>Curated curriculum relationship</x:v>
      </x:c>
    </x:row>
    <x:row r="1485" ht="58" customHeight="1">
      <x:c r="A1485" s="9" t="str">
        <x:v>E1480</x:v>
      </x:c>
      <x:c r="B1485" s="9" t="str">
        <x:v>T02.07</x:v>
      </x:c>
      <x:c r="C1485" s="9" t="str">
        <x:v>Probability, conditional probability, and Bayes' theorem</x:v>
      </x:c>
      <x:c r="D1485" s="15" t="str">
        <x:v>RECOMMENDED_BEFORE</x:v>
      </x:c>
      <x:c r="E1485" s="9" t="str">
        <x:v>T29.16</x:v>
      </x:c>
      <x:c r="F1485" s="9" t="str">
        <x:v>Catastrophe risk and insurance-linked securities</x:v>
      </x:c>
      <x:c r="G1485" s="9" t="str">
        <x:v>Suggested starting knowledge: Probability, conditional probability, and Bayes' theorem. It helps you connect uncertain claims, premiums, reserves, investments and solvency.</x:v>
      </x:c>
      <x:c r="H1485" s="9" t="str">
        <x:v>Suggested learning order; learners can still explore freely.</x:v>
      </x:c>
      <x:c r="I1485" s="9" t="str">
        <x:v>Curated curriculum relationship</x:v>
      </x:c>
    </x:row>
    <x:row r="1486" ht="58" customHeight="1">
      <x:c r="A1486" s="10" t="str">
        <x:v>E1481</x:v>
      </x:c>
      <x:c r="B1486" s="10" t="str">
        <x:v>T30.01</x:v>
      </x:c>
      <x:c r="C1486" s="10" t="str">
        <x:v>Personal financial statements and net worth</x:v>
      </x:c>
      <x:c r="D1486" s="14" t="str">
        <x:v>PART_OF</x:v>
      </x:c>
      <x:c r="E1486" s="10" t="str">
        <x:v>D30</x:v>
      </x:c>
      <x:c r="F1486" s="10" t="str">
        <x:v>Personal finance and wealth management</x:v>
      </x:c>
      <x:c r="G1486" s="10" t="str">
        <x:v>Curriculum membership. Use this link to move between the topic and its finance area.</x:v>
      </x:c>
      <x:c r="H1486" s="10" t="str">
        <x:v>Classification only; this edge is not a causal or calculation relationship.</x:v>
      </x:c>
      <x:c r="I1486" s="10" t="str">
        <x:v>Curated curriculum relationship</x:v>
      </x:c>
    </x:row>
    <x:row r="1487" ht="58" customHeight="1">
      <x:c r="A1487" s="9" t="str">
        <x:v>E1482</x:v>
      </x:c>
      <x:c r="B1487" s="9" t="str">
        <x:v>T30.01</x:v>
      </x:c>
      <x:c r="C1487" s="9" t="str">
        <x:v>Personal financial statements and net worth</x:v>
      </x:c>
      <x:c r="D1487" s="15" t="str">
        <x:v>EXPLORE_WITH</x:v>
      </x:c>
      <x:c r="E1487" s="9" t="str">
        <x:v>T30.02</x:v>
      </x:c>
      <x:c r="F1487" s="9" t="str">
        <x:v>Budgeting and expense tracking</x:v>
      </x:c>
      <x:c r="G1487" s="9" t="str">
        <x:v>Study these together to connect household cash flow, goals, protection, investing and long-term wealth.</x:v>
      </x:c>
      <x:c r="H1487" s="9" t="str">
        <x:v>A topical exploration link, not a claim that one determines the other.</x:v>
      </x:c>
      <x:c r="I1487" s="9" t="str">
        <x:v>Curated curriculum relationship</x:v>
      </x:c>
    </x:row>
    <x:row r="1488" ht="58" customHeight="1">
      <x:c r="A1488" s="10" t="str">
        <x:v>E1483</x:v>
      </x:c>
      <x:c r="B1488" s="10" t="str">
        <x:v>T01.05</x:v>
      </x:c>
      <x:c r="C1488" s="10" t="str">
        <x:v>Income, expenses, assets, liabilities, equity, and wealth</x:v>
      </x:c>
      <x:c r="D1488" s="14" t="str">
        <x:v>RECOMMENDED_BEFORE</x:v>
      </x:c>
      <x:c r="E1488" s="10" t="str">
        <x:v>T30.01</x:v>
      </x:c>
      <x:c r="F1488" s="10" t="str">
        <x:v>Personal financial statements and net worth</x:v>
      </x:c>
      <x:c r="G1488" s="10" t="str">
        <x:v>Suggested starting knowledge: Income, expenses, assets, liabilities, equity, and wealth. It helps you connect household cash flow, goals, protection, investing and long-term wealth.</x:v>
      </x:c>
      <x:c r="H1488" s="10" t="str">
        <x:v>Suggested learning order; learners can still explore freely.</x:v>
      </x:c>
      <x:c r="I1488" s="10" t="str">
        <x:v>Curated curriculum relationship</x:v>
      </x:c>
    </x:row>
    <x:row r="1489" ht="58" customHeight="1">
      <x:c r="A1489" s="9" t="str">
        <x:v>E1484</x:v>
      </x:c>
      <x:c r="B1489" s="9" t="str">
        <x:v>T30.02</x:v>
      </x:c>
      <x:c r="C1489" s="9" t="str">
        <x:v>Budgeting and expense tracking</x:v>
      </x:c>
      <x:c r="D1489" s="15" t="str">
        <x:v>PART_OF</x:v>
      </x:c>
      <x:c r="E1489" s="9" t="str">
        <x:v>D30</x:v>
      </x:c>
      <x:c r="F1489" s="9" t="str">
        <x:v>Personal finance and wealth management</x:v>
      </x:c>
      <x:c r="G1489" s="9" t="str">
        <x:v>Curriculum membership. Use this link to move between the topic and its finance area.</x:v>
      </x:c>
      <x:c r="H1489" s="9" t="str">
        <x:v>Classification only; this edge is not a causal or calculation relationship.</x:v>
      </x:c>
      <x:c r="I1489" s="9" t="str">
        <x:v>Curated curriculum relationship</x:v>
      </x:c>
    </x:row>
    <x:row r="1490" ht="58" customHeight="1">
      <x:c r="A1490" s="10" t="str">
        <x:v>E1485</x:v>
      </x:c>
      <x:c r="B1490" s="10" t="str">
        <x:v>T30.02</x:v>
      </x:c>
      <x:c r="C1490" s="10" t="str">
        <x:v>Budgeting and expense tracking</x:v>
      </x:c>
      <x:c r="D1490" s="14" t="str">
        <x:v>EXPLORE_WITH</x:v>
      </x:c>
      <x:c r="E1490" s="10" t="str">
        <x:v>T30.01</x:v>
      </x:c>
      <x:c r="F1490" s="10" t="str">
        <x:v>Personal financial statements and net worth</x:v>
      </x:c>
      <x:c r="G1490" s="10" t="str">
        <x:v>Study these together to connect household cash flow, goals, protection, investing and long-term wealth.</x:v>
      </x:c>
      <x:c r="H1490" s="10" t="str">
        <x:v>A topical exploration link, not a claim that one determines the other.</x:v>
      </x:c>
      <x:c r="I1490" s="10" t="str">
        <x:v>Curated curriculum relationship</x:v>
      </x:c>
    </x:row>
    <x:row r="1491" ht="58" customHeight="1">
      <x:c r="A1491" s="9" t="str">
        <x:v>E1486</x:v>
      </x:c>
      <x:c r="B1491" s="9" t="str">
        <x:v>T01.05</x:v>
      </x:c>
      <x:c r="C1491" s="9" t="str">
        <x:v>Income, expenses, assets, liabilities, equity, and wealth</x:v>
      </x:c>
      <x:c r="D1491" s="15" t="str">
        <x:v>RECOMMENDED_BEFORE</x:v>
      </x:c>
      <x:c r="E1491" s="9" t="str">
        <x:v>T30.02</x:v>
      </x:c>
      <x:c r="F1491" s="9" t="str">
        <x:v>Budgeting and expense tracking</x:v>
      </x:c>
      <x:c r="G1491" s="9" t="str">
        <x:v>Suggested starting knowledge: Income, expenses, assets, liabilities, equity, and wealth. It helps you connect household cash flow, goals, protection, investing and long-term wealth.</x:v>
      </x:c>
      <x:c r="H1491" s="9" t="str">
        <x:v>Suggested learning order; learners can still explore freely.</x:v>
      </x:c>
      <x:c r="I1491" s="9" t="str">
        <x:v>Curated curriculum relationship</x:v>
      </x:c>
    </x:row>
    <x:row r="1492" ht="58" customHeight="1">
      <x:c r="A1492" s="10" t="str">
        <x:v>E1487</x:v>
      </x:c>
      <x:c r="B1492" s="10" t="str">
        <x:v>T30.03</x:v>
      </x:c>
      <x:c r="C1492" s="10" t="str">
        <x:v>Emergency funds</x:v>
      </x:c>
      <x:c r="D1492" s="14" t="str">
        <x:v>PART_OF</x:v>
      </x:c>
      <x:c r="E1492" s="10" t="str">
        <x:v>D30</x:v>
      </x:c>
      <x:c r="F1492" s="10" t="str">
        <x:v>Personal finance and wealth management</x:v>
      </x:c>
      <x:c r="G1492" s="10" t="str">
        <x:v>Curriculum membership. Use this link to move between the topic and its finance area.</x:v>
      </x:c>
      <x:c r="H1492" s="10" t="str">
        <x:v>Classification only; this edge is not a causal or calculation relationship.</x:v>
      </x:c>
      <x:c r="I1492" s="10" t="str">
        <x:v>Curated curriculum relationship</x:v>
      </x:c>
    </x:row>
    <x:row r="1493" ht="58" customHeight="1">
      <x:c r="A1493" s="9" t="str">
        <x:v>E1488</x:v>
      </x:c>
      <x:c r="B1493" s="9" t="str">
        <x:v>T30.03</x:v>
      </x:c>
      <x:c r="C1493" s="9" t="str">
        <x:v>Emergency funds</x:v>
      </x:c>
      <x:c r="D1493" s="15" t="str">
        <x:v>EXPLORE_WITH</x:v>
      </x:c>
      <x:c r="E1493" s="9" t="str">
        <x:v>T30.04</x:v>
      </x:c>
      <x:c r="F1493" s="9" t="str">
        <x:v>Debt management and credit scores</x:v>
      </x:c>
      <x:c r="G1493" s="9" t="str">
        <x:v>Study these together to connect household cash flow, goals, protection, investing and long-term wealth.</x:v>
      </x:c>
      <x:c r="H1493" s="9" t="str">
        <x:v>A topical exploration link, not a claim that one determines the other.</x:v>
      </x:c>
      <x:c r="I1493" s="9" t="str">
        <x:v>Curated curriculum relationship</x:v>
      </x:c>
    </x:row>
    <x:row r="1494" ht="58" customHeight="1">
      <x:c r="A1494" s="10" t="str">
        <x:v>E1489</x:v>
      </x:c>
      <x:c r="B1494" s="10" t="str">
        <x:v>T01.05</x:v>
      </x:c>
      <x:c r="C1494" s="10" t="str">
        <x:v>Income, expenses, assets, liabilities, equity, and wealth</x:v>
      </x:c>
      <x:c r="D1494" s="14" t="str">
        <x:v>RECOMMENDED_BEFORE</x:v>
      </x:c>
      <x:c r="E1494" s="10" t="str">
        <x:v>T30.03</x:v>
      </x:c>
      <x:c r="F1494" s="10" t="str">
        <x:v>Emergency funds</x:v>
      </x:c>
      <x:c r="G1494" s="10" t="str">
        <x:v>Suggested starting knowledge: Income, expenses, assets, liabilities, equity, and wealth. It helps you connect household cash flow, goals, protection, investing and long-term wealth.</x:v>
      </x:c>
      <x:c r="H1494" s="10" t="str">
        <x:v>Suggested learning order; learners can still explore freely.</x:v>
      </x:c>
      <x:c r="I1494" s="10" t="str">
        <x:v>Curated curriculum relationship</x:v>
      </x:c>
    </x:row>
    <x:row r="1495" ht="58" customHeight="1">
      <x:c r="A1495" s="9" t="str">
        <x:v>E1490</x:v>
      </x:c>
      <x:c r="B1495" s="9" t="str">
        <x:v>T30.04</x:v>
      </x:c>
      <x:c r="C1495" s="9" t="str">
        <x:v>Debt management and credit scores</x:v>
      </x:c>
      <x:c r="D1495" s="15" t="str">
        <x:v>PART_OF</x:v>
      </x:c>
      <x:c r="E1495" s="9" t="str">
        <x:v>D30</x:v>
      </x:c>
      <x:c r="F1495" s="9" t="str">
        <x:v>Personal finance and wealth management</x:v>
      </x:c>
      <x:c r="G1495" s="9" t="str">
        <x:v>Curriculum membership. Use this link to move between the topic and its finance area.</x:v>
      </x:c>
      <x:c r="H1495" s="9" t="str">
        <x:v>Classification only; this edge is not a causal or calculation relationship.</x:v>
      </x:c>
      <x:c r="I1495" s="9" t="str">
        <x:v>Curated curriculum relationship</x:v>
      </x:c>
    </x:row>
    <x:row r="1496" ht="58" customHeight="1">
      <x:c r="A1496" s="10" t="str">
        <x:v>E1491</x:v>
      </x:c>
      <x:c r="B1496" s="10" t="str">
        <x:v>T30.04</x:v>
      </x:c>
      <x:c r="C1496" s="10" t="str">
        <x:v>Debt management and credit scores</x:v>
      </x:c>
      <x:c r="D1496" s="14" t="str">
        <x:v>EXPLORE_WITH</x:v>
      </x:c>
      <x:c r="E1496" s="10" t="str">
        <x:v>T30.05</x:v>
      </x:c>
      <x:c r="F1496" s="10" t="str">
        <x:v>Education, vehicle, and home loans</x:v>
      </x:c>
      <x:c r="G1496" s="10" t="str">
        <x:v>Study these together to connect household cash flow, goals, protection, investing and long-term wealth.</x:v>
      </x:c>
      <x:c r="H1496" s="10" t="str">
        <x:v>A topical exploration link, not a claim that one determines the other.</x:v>
      </x:c>
      <x:c r="I1496" s="10" t="str">
        <x:v>Curated curriculum relationship</x:v>
      </x:c>
    </x:row>
    <x:row r="1497" ht="58" customHeight="1">
      <x:c r="A1497" s="9" t="str">
        <x:v>E1492</x:v>
      </x:c>
      <x:c r="B1497" s="9" t="str">
        <x:v>T01.05</x:v>
      </x:c>
      <x:c r="C1497" s="9" t="str">
        <x:v>Income, expenses, assets, liabilities, equity, and wealth</x:v>
      </x:c>
      <x:c r="D1497" s="15" t="str">
        <x:v>RECOMMENDED_BEFORE</x:v>
      </x:c>
      <x:c r="E1497" s="9" t="str">
        <x:v>T30.04</x:v>
      </x:c>
      <x:c r="F1497" s="9" t="str">
        <x:v>Debt management and credit scores</x:v>
      </x:c>
      <x:c r="G1497" s="9" t="str">
        <x:v>Suggested starting knowledge: Income, expenses, assets, liabilities, equity, and wealth. It helps you connect household cash flow, goals, protection, investing and long-term wealth.</x:v>
      </x:c>
      <x:c r="H1497" s="9" t="str">
        <x:v>Suggested learning order; learners can still explore freely.</x:v>
      </x:c>
      <x:c r="I1497" s="9" t="str">
        <x:v>Curated curriculum relationship</x:v>
      </x:c>
    </x:row>
    <x:row r="1498" ht="58" customHeight="1">
      <x:c r="A1498" s="10" t="str">
        <x:v>E1493</x:v>
      </x:c>
      <x:c r="B1498" s="10" t="str">
        <x:v>T30.05</x:v>
      </x:c>
      <x:c r="C1498" s="10" t="str">
        <x:v>Education, vehicle, and home loans</x:v>
      </x:c>
      <x:c r="D1498" s="14" t="str">
        <x:v>PART_OF</x:v>
      </x:c>
      <x:c r="E1498" s="10" t="str">
        <x:v>D30</x:v>
      </x:c>
      <x:c r="F1498" s="10" t="str">
        <x:v>Personal finance and wealth management</x:v>
      </x:c>
      <x:c r="G1498" s="10" t="str">
        <x:v>Curriculum membership. Use this link to move between the topic and its finance area.</x:v>
      </x:c>
      <x:c r="H1498" s="10" t="str">
        <x:v>Classification only; this edge is not a causal or calculation relationship.</x:v>
      </x:c>
      <x:c r="I1498" s="10" t="str">
        <x:v>Curated curriculum relationship</x:v>
      </x:c>
    </x:row>
    <x:row r="1499" ht="58" customHeight="1">
      <x:c r="A1499" s="9" t="str">
        <x:v>E1494</x:v>
      </x:c>
      <x:c r="B1499" s="9" t="str">
        <x:v>T30.05</x:v>
      </x:c>
      <x:c r="C1499" s="9" t="str">
        <x:v>Education, vehicle, and home loans</x:v>
      </x:c>
      <x:c r="D1499" s="15" t="str">
        <x:v>EXPLORE_WITH</x:v>
      </x:c>
      <x:c r="E1499" s="9" t="str">
        <x:v>T30.04</x:v>
      </x:c>
      <x:c r="F1499" s="9" t="str">
        <x:v>Debt management and credit scores</x:v>
      </x:c>
      <x:c r="G1499" s="9" t="str">
        <x:v>Study these together to connect household cash flow, goals, protection, investing and long-term wealth.</x:v>
      </x:c>
      <x:c r="H1499" s="9" t="str">
        <x:v>A topical exploration link, not a claim that one determines the other.</x:v>
      </x:c>
      <x:c r="I1499" s="9" t="str">
        <x:v>Curated curriculum relationship</x:v>
      </x:c>
    </x:row>
    <x:row r="1500" ht="58" customHeight="1">
      <x:c r="A1500" s="10" t="str">
        <x:v>E1495</x:v>
      </x:c>
      <x:c r="B1500" s="10" t="str">
        <x:v>T01.05</x:v>
      </x:c>
      <x:c r="C1500" s="10" t="str">
        <x:v>Income, expenses, assets, liabilities, equity, and wealth</x:v>
      </x:c>
      <x:c r="D1500" s="14" t="str">
        <x:v>RECOMMENDED_BEFORE</x:v>
      </x:c>
      <x:c r="E1500" s="10" t="str">
        <x:v>T30.05</x:v>
      </x:c>
      <x:c r="F1500" s="10" t="str">
        <x:v>Education, vehicle, and home loans</x:v>
      </x:c>
      <x:c r="G1500" s="10" t="str">
        <x:v>Suggested starting knowledge: Income, expenses, assets, liabilities, equity, and wealth. It helps you connect household cash flow, goals, protection, investing and long-term wealth.</x:v>
      </x:c>
      <x:c r="H1500" s="10" t="str">
        <x:v>Suggested learning order; learners can still explore freely.</x:v>
      </x:c>
      <x:c r="I1500" s="10" t="str">
        <x:v>Curated curriculum relationship</x:v>
      </x:c>
    </x:row>
    <x:row r="1501" ht="58" customHeight="1">
      <x:c r="A1501" s="9" t="str">
        <x:v>E1496</x:v>
      </x:c>
      <x:c r="B1501" s="9" t="str">
        <x:v>T30.06</x:v>
      </x:c>
      <x:c r="C1501" s="9" t="str">
        <x:v>Financial goals and savings plans</x:v>
      </x:c>
      <x:c r="D1501" s="15" t="str">
        <x:v>PART_OF</x:v>
      </x:c>
      <x:c r="E1501" s="9" t="str">
        <x:v>D30</x:v>
      </x:c>
      <x:c r="F1501" s="9" t="str">
        <x:v>Personal finance and wealth management</x:v>
      </x:c>
      <x:c r="G1501" s="9" t="str">
        <x:v>Curriculum membership. Use this link to move between the topic and its finance area.</x:v>
      </x:c>
      <x:c r="H1501" s="9" t="str">
        <x:v>Classification only; this edge is not a causal or calculation relationship.</x:v>
      </x:c>
      <x:c r="I1501" s="9" t="str">
        <x:v>Curated curriculum relationship</x:v>
      </x:c>
    </x:row>
    <x:row r="1502" ht="58" customHeight="1">
      <x:c r="A1502" s="10" t="str">
        <x:v>E1497</x:v>
      </x:c>
      <x:c r="B1502" s="10" t="str">
        <x:v>T30.06</x:v>
      </x:c>
      <x:c r="C1502" s="10" t="str">
        <x:v>Financial goals and savings plans</x:v>
      </x:c>
      <x:c r="D1502" s="14" t="str">
        <x:v>EXPLORE_WITH</x:v>
      </x:c>
      <x:c r="E1502" s="10" t="str">
        <x:v>T30.10</x:v>
      </x:c>
      <x:c r="F1502" s="10" t="str">
        <x:v>Retirement planning and withdrawal strategies</x:v>
      </x:c>
      <x:c r="G1502" s="10" t="str">
        <x:v>Study these together to connect household cash flow, goals, protection, investing and long-term wealth.</x:v>
      </x:c>
      <x:c r="H1502" s="10" t="str">
        <x:v>A topical exploration link, not a claim that one determines the other.</x:v>
      </x:c>
      <x:c r="I1502" s="10" t="str">
        <x:v>Curated curriculum relationship</x:v>
      </x:c>
    </x:row>
    <x:row r="1503" ht="58" customHeight="1">
      <x:c r="A1503" s="9" t="str">
        <x:v>E1498</x:v>
      </x:c>
      <x:c r="B1503" s="9" t="str">
        <x:v>T01.05</x:v>
      </x:c>
      <x:c r="C1503" s="9" t="str">
        <x:v>Income, expenses, assets, liabilities, equity, and wealth</x:v>
      </x:c>
      <x:c r="D1503" s="15" t="str">
        <x:v>RECOMMENDED_BEFORE</x:v>
      </x:c>
      <x:c r="E1503" s="9" t="str">
        <x:v>T30.06</x:v>
      </x:c>
      <x:c r="F1503" s="9" t="str">
        <x:v>Financial goals and savings plans</x:v>
      </x:c>
      <x:c r="G1503" s="9" t="str">
        <x:v>Suggested starting knowledge: Income, expenses, assets, liabilities, equity, and wealth. It helps you connect household cash flow, goals, protection, investing and long-term wealth.</x:v>
      </x:c>
      <x:c r="H1503" s="9" t="str">
        <x:v>Suggested learning order; learners can still explore freely.</x:v>
      </x:c>
      <x:c r="I1503" s="9" t="str">
        <x:v>Curated curriculum relationship</x:v>
      </x:c>
    </x:row>
    <x:row r="1504" ht="58" customHeight="1">
      <x:c r="A1504" s="10" t="str">
        <x:v>E1499</x:v>
      </x:c>
      <x:c r="B1504" s="10" t="str">
        <x:v>T30.07</x:v>
      </x:c>
      <x:c r="C1504" s="10" t="str">
        <x:v>Insurance needs analysis</x:v>
      </x:c>
      <x:c r="D1504" s="14" t="str">
        <x:v>PART_OF</x:v>
      </x:c>
      <x:c r="E1504" s="10" t="str">
        <x:v>D30</x:v>
      </x:c>
      <x:c r="F1504" s="10" t="str">
        <x:v>Personal finance and wealth management</x:v>
      </x:c>
      <x:c r="G1504" s="10" t="str">
        <x:v>Curriculum membership. Use this link to move between the topic and its finance area.</x:v>
      </x:c>
      <x:c r="H1504" s="10" t="str">
        <x:v>Classification only; this edge is not a causal or calculation relationship.</x:v>
      </x:c>
      <x:c r="I1504" s="10" t="str">
        <x:v>Curated curriculum relationship</x:v>
      </x:c>
    </x:row>
    <x:row r="1505" ht="58" customHeight="1">
      <x:c r="A1505" s="9" t="str">
        <x:v>E1500</x:v>
      </x:c>
      <x:c r="B1505" s="9" t="str">
        <x:v>T30.07</x:v>
      </x:c>
      <x:c r="C1505" s="9" t="str">
        <x:v>Insurance needs analysis</x:v>
      </x:c>
      <x:c r="D1505" s="15" t="str">
        <x:v>EXPLORE_WITH</x:v>
      </x:c>
      <x:c r="E1505" s="9" t="str">
        <x:v>T30.11</x:v>
      </x:c>
      <x:c r="F1505" s="9" t="str">
        <x:v>Inflation and longevity risk</x:v>
      </x:c>
      <x:c r="G1505" s="9" t="str">
        <x:v>Study these together to connect household cash flow, goals, protection, investing and long-term wealth.</x:v>
      </x:c>
      <x:c r="H1505" s="9" t="str">
        <x:v>A topical exploration link, not a claim that one determines the other.</x:v>
      </x:c>
      <x:c r="I1505" s="9" t="str">
        <x:v>Curated curriculum relationship</x:v>
      </x:c>
    </x:row>
    <x:row r="1506" ht="58" customHeight="1">
      <x:c r="A1506" s="10" t="str">
        <x:v>E1501</x:v>
      </x:c>
      <x:c r="B1506" s="10" t="str">
        <x:v>T01.05</x:v>
      </x:c>
      <x:c r="C1506" s="10" t="str">
        <x:v>Income, expenses, assets, liabilities, equity, and wealth</x:v>
      </x:c>
      <x:c r="D1506" s="14" t="str">
        <x:v>RECOMMENDED_BEFORE</x:v>
      </x:c>
      <x:c r="E1506" s="10" t="str">
        <x:v>T30.07</x:v>
      </x:c>
      <x:c r="F1506" s="10" t="str">
        <x:v>Insurance needs analysis</x:v>
      </x:c>
      <x:c r="G1506" s="10" t="str">
        <x:v>Suggested starting knowledge: Income, expenses, assets, liabilities, equity, and wealth. It helps you connect household cash flow, goals, protection, investing and long-term wealth.</x:v>
      </x:c>
      <x:c r="H1506" s="10" t="str">
        <x:v>Suggested learning order; learners can still explore freely.</x:v>
      </x:c>
      <x:c r="I1506" s="10" t="str">
        <x:v>Curated curriculum relationship</x:v>
      </x:c>
    </x:row>
    <x:row r="1507" ht="58" customHeight="1">
      <x:c r="A1507" s="9" t="str">
        <x:v>E1502</x:v>
      </x:c>
      <x:c r="B1507" s="9" t="str">
        <x:v>T30.08</x:v>
      </x:c>
      <x:c r="C1507" s="9" t="str">
        <x:v>Investment selection and asset allocation</x:v>
      </x:c>
      <x:c r="D1507" s="15" t="str">
        <x:v>PART_OF</x:v>
      </x:c>
      <x:c r="E1507" s="9" t="str">
        <x:v>D30</x:v>
      </x:c>
      <x:c r="F1507" s="9" t="str">
        <x:v>Personal finance and wealth management</x:v>
      </x:c>
      <x:c r="G1507" s="9" t="str">
        <x:v>Curriculum membership. Use this link to move between the topic and its finance area.</x:v>
      </x:c>
      <x:c r="H1507" s="9" t="str">
        <x:v>Classification only; this edge is not a causal or calculation relationship.</x:v>
      </x:c>
      <x:c r="I1507" s="9" t="str">
        <x:v>Curated curriculum relationship</x:v>
      </x:c>
    </x:row>
    <x:row r="1508" ht="58" customHeight="1">
      <x:c r="A1508" s="10" t="str">
        <x:v>E1503</x:v>
      </x:c>
      <x:c r="B1508" s="10" t="str">
        <x:v>T30.08</x:v>
      </x:c>
      <x:c r="C1508" s="10" t="str">
        <x:v>Investment selection and asset allocation</x:v>
      </x:c>
      <x:c r="D1508" s="14" t="str">
        <x:v>EXPLORE_WITH</x:v>
      </x:c>
      <x:c r="E1508" s="10" t="str">
        <x:v>T30.06</x:v>
      </x:c>
      <x:c r="F1508" s="10" t="str">
        <x:v>Financial goals and savings plans</x:v>
      </x:c>
      <x:c r="G1508" s="10" t="str">
        <x:v>Study these together to connect household cash flow, goals, protection, investing and long-term wealth.</x:v>
      </x:c>
      <x:c r="H1508" s="10" t="str">
        <x:v>A topical exploration link, not a claim that one determines the other.</x:v>
      </x:c>
      <x:c r="I1508" s="10" t="str">
        <x:v>Curated curriculum relationship</x:v>
      </x:c>
    </x:row>
    <x:row r="1509" ht="58" customHeight="1">
      <x:c r="A1509" s="9" t="str">
        <x:v>E1504</x:v>
      </x:c>
      <x:c r="B1509" s="9" t="str">
        <x:v>T01.05</x:v>
      </x:c>
      <x:c r="C1509" s="9" t="str">
        <x:v>Income, expenses, assets, liabilities, equity, and wealth</x:v>
      </x:c>
      <x:c r="D1509" s="15" t="str">
        <x:v>RECOMMENDED_BEFORE</x:v>
      </x:c>
      <x:c r="E1509" s="9" t="str">
        <x:v>T30.08</x:v>
      </x:c>
      <x:c r="F1509" s="9" t="str">
        <x:v>Investment selection and asset allocation</x:v>
      </x:c>
      <x:c r="G1509" s="9" t="str">
        <x:v>Suggested starting knowledge: Income, expenses, assets, liabilities, equity, and wealth. It helps you connect household cash flow, goals, protection, investing and long-term wealth.</x:v>
      </x:c>
      <x:c r="H1509" s="9" t="str">
        <x:v>Suggested learning order; learners can still explore freely.</x:v>
      </x:c>
      <x:c r="I1509" s="9" t="str">
        <x:v>Curated curriculum relationship</x:v>
      </x:c>
    </x:row>
    <x:row r="1510" ht="58" customHeight="1">
      <x:c r="A1510" s="10" t="str">
        <x:v>E1505</x:v>
      </x:c>
      <x:c r="B1510" s="10" t="str">
        <x:v>T30.09</x:v>
      </x:c>
      <x:c r="C1510" s="10" t="str">
        <x:v>Tax-efficient investing</x:v>
      </x:c>
      <x:c r="D1510" s="14" t="str">
        <x:v>PART_OF</x:v>
      </x:c>
      <x:c r="E1510" s="10" t="str">
        <x:v>D30</x:v>
      </x:c>
      <x:c r="F1510" s="10" t="str">
        <x:v>Personal finance and wealth management</x:v>
      </x:c>
      <x:c r="G1510" s="10" t="str">
        <x:v>Curriculum membership. Use this link to move between the topic and its finance area.</x:v>
      </x:c>
      <x:c r="H1510" s="10" t="str">
        <x:v>Classification only; this edge is not a causal or calculation relationship.</x:v>
      </x:c>
      <x:c r="I1510" s="10" t="str">
        <x:v>Curated curriculum relationship</x:v>
      </x:c>
    </x:row>
    <x:row r="1511" ht="58" customHeight="1">
      <x:c r="A1511" s="9" t="str">
        <x:v>E1506</x:v>
      </x:c>
      <x:c r="B1511" s="9" t="str">
        <x:v>T30.09</x:v>
      </x:c>
      <x:c r="C1511" s="9" t="str">
        <x:v>Tax-efficient investing</x:v>
      </x:c>
      <x:c r="D1511" s="15" t="str">
        <x:v>EXPLORE_WITH</x:v>
      </x:c>
      <x:c r="E1511" s="9" t="str">
        <x:v>T30.08</x:v>
      </x:c>
      <x:c r="F1511" s="9" t="str">
        <x:v>Investment selection and asset allocation</x:v>
      </x:c>
      <x:c r="G1511" s="9" t="str">
        <x:v>Study these together to connect household cash flow, goals, protection, investing and long-term wealth.</x:v>
      </x:c>
      <x:c r="H1511" s="9" t="str">
        <x:v>A topical exploration link, not a claim that one determines the other.</x:v>
      </x:c>
      <x:c r="I1511" s="9" t="str">
        <x:v>Curated curriculum relationship</x:v>
      </x:c>
    </x:row>
    <x:row r="1512" ht="58" customHeight="1">
      <x:c r="A1512" s="10" t="str">
        <x:v>E1507</x:v>
      </x:c>
      <x:c r="B1512" s="10" t="str">
        <x:v>T01.05</x:v>
      </x:c>
      <x:c r="C1512" s="10" t="str">
        <x:v>Income, expenses, assets, liabilities, equity, and wealth</x:v>
      </x:c>
      <x:c r="D1512" s="14" t="str">
        <x:v>RECOMMENDED_BEFORE</x:v>
      </x:c>
      <x:c r="E1512" s="10" t="str">
        <x:v>T30.09</x:v>
      </x:c>
      <x:c r="F1512" s="10" t="str">
        <x:v>Tax-efficient investing</x:v>
      </x:c>
      <x:c r="G1512" s="10" t="str">
        <x:v>Suggested starting knowledge: Income, expenses, assets, liabilities, equity, and wealth. It helps you connect household cash flow, goals, protection, investing and long-term wealth.</x:v>
      </x:c>
      <x:c r="H1512" s="10" t="str">
        <x:v>Suggested learning order; learners can still explore freely.</x:v>
      </x:c>
      <x:c r="I1512" s="10" t="str">
        <x:v>Curated curriculum relationship</x:v>
      </x:c>
    </x:row>
    <x:row r="1513" ht="58" customHeight="1">
      <x:c r="A1513" s="9" t="str">
        <x:v>E1508</x:v>
      </x:c>
      <x:c r="B1513" s="9" t="str">
        <x:v>T30.10</x:v>
      </x:c>
      <x:c r="C1513" s="9" t="str">
        <x:v>Retirement planning and withdrawal strategies</x:v>
      </x:c>
      <x:c r="D1513" s="15" t="str">
        <x:v>PART_OF</x:v>
      </x:c>
      <x:c r="E1513" s="9" t="str">
        <x:v>D30</x:v>
      </x:c>
      <x:c r="F1513" s="9" t="str">
        <x:v>Personal finance and wealth management</x:v>
      </x:c>
      <x:c r="G1513" s="9" t="str">
        <x:v>Curriculum membership. Use this link to move between the topic and its finance area.</x:v>
      </x:c>
      <x:c r="H1513" s="9" t="str">
        <x:v>Classification only; this edge is not a causal or calculation relationship.</x:v>
      </x:c>
      <x:c r="I1513" s="9" t="str">
        <x:v>Curated curriculum relationship</x:v>
      </x:c>
    </x:row>
    <x:row r="1514" ht="58" customHeight="1">
      <x:c r="A1514" s="10" t="str">
        <x:v>E1509</x:v>
      </x:c>
      <x:c r="B1514" s="10" t="str">
        <x:v>T30.10</x:v>
      </x:c>
      <x:c r="C1514" s="10" t="str">
        <x:v>Retirement planning and withdrawal strategies</x:v>
      </x:c>
      <x:c r="D1514" s="14" t="str">
        <x:v>EXPLORE_WITH</x:v>
      </x:c>
      <x:c r="E1514" s="10" t="str">
        <x:v>T30.11</x:v>
      </x:c>
      <x:c r="F1514" s="10" t="str">
        <x:v>Inflation and longevity risk</x:v>
      </x:c>
      <x:c r="G1514" s="10" t="str">
        <x:v>Study these together to connect household cash flow, goals, protection, investing and long-term wealth.</x:v>
      </x:c>
      <x:c r="H1514" s="10" t="str">
        <x:v>A topical exploration link, not a claim that one determines the other.</x:v>
      </x:c>
      <x:c r="I1514" s="10" t="str">
        <x:v>Curated curriculum relationship</x:v>
      </x:c>
    </x:row>
    <x:row r="1515" ht="58" customHeight="1">
      <x:c r="A1515" s="9" t="str">
        <x:v>E1510</x:v>
      </x:c>
      <x:c r="B1515" s="9" t="str">
        <x:v>T01.05</x:v>
      </x:c>
      <x:c r="C1515" s="9" t="str">
        <x:v>Income, expenses, assets, liabilities, equity, and wealth</x:v>
      </x:c>
      <x:c r="D1515" s="15" t="str">
        <x:v>RECOMMENDED_BEFORE</x:v>
      </x:c>
      <x:c r="E1515" s="9" t="str">
        <x:v>T30.10</x:v>
      </x:c>
      <x:c r="F1515" s="9" t="str">
        <x:v>Retirement planning and withdrawal strategies</x:v>
      </x:c>
      <x:c r="G1515" s="9" t="str">
        <x:v>Suggested starting knowledge: Income, expenses, assets, liabilities, equity, and wealth. It helps you connect household cash flow, goals, protection, investing and long-term wealth.</x:v>
      </x:c>
      <x:c r="H1515" s="9" t="str">
        <x:v>Suggested learning order; learners can still explore freely.</x:v>
      </x:c>
      <x:c r="I1515" s="9" t="str">
        <x:v>Curated curriculum relationship</x:v>
      </x:c>
    </x:row>
    <x:row r="1516" ht="58" customHeight="1">
      <x:c r="A1516" s="10" t="str">
        <x:v>E1511</x:v>
      </x:c>
      <x:c r="B1516" s="10" t="str">
        <x:v>T30.11</x:v>
      </x:c>
      <x:c r="C1516" s="10" t="str">
        <x:v>Inflation and longevity risk</x:v>
      </x:c>
      <x:c r="D1516" s="14" t="str">
        <x:v>PART_OF</x:v>
      </x:c>
      <x:c r="E1516" s="10" t="str">
        <x:v>D30</x:v>
      </x:c>
      <x:c r="F1516" s="10" t="str">
        <x:v>Personal finance and wealth management</x:v>
      </x:c>
      <x:c r="G1516" s="10" t="str">
        <x:v>Curriculum membership. Use this link to move between the topic and its finance area.</x:v>
      </x:c>
      <x:c r="H1516" s="10" t="str">
        <x:v>Classification only; this edge is not a causal or calculation relationship.</x:v>
      </x:c>
      <x:c r="I1516" s="10" t="str">
        <x:v>Curated curriculum relationship</x:v>
      </x:c>
    </x:row>
    <x:row r="1517" ht="58" customHeight="1">
      <x:c r="A1517" s="9" t="str">
        <x:v>E1512</x:v>
      </x:c>
      <x:c r="B1517" s="9" t="str">
        <x:v>T30.11</x:v>
      </x:c>
      <x:c r="C1517" s="9" t="str">
        <x:v>Inflation and longevity risk</x:v>
      </x:c>
      <x:c r="D1517" s="15" t="str">
        <x:v>EXPLORE_WITH</x:v>
      </x:c>
      <x:c r="E1517" s="9" t="str">
        <x:v>T30.10</x:v>
      </x:c>
      <x:c r="F1517" s="9" t="str">
        <x:v>Retirement planning and withdrawal strategies</x:v>
      </x:c>
      <x:c r="G1517" s="9" t="str">
        <x:v>Study these together to connect household cash flow, goals, protection, investing and long-term wealth.</x:v>
      </x:c>
      <x:c r="H1517" s="9" t="str">
        <x:v>A topical exploration link, not a claim that one determines the other.</x:v>
      </x:c>
      <x:c r="I1517" s="9" t="str">
        <x:v>Curated curriculum relationship</x:v>
      </x:c>
    </x:row>
    <x:row r="1518" ht="58" customHeight="1">
      <x:c r="A1518" s="10" t="str">
        <x:v>E1513</x:v>
      </x:c>
      <x:c r="B1518" s="10" t="str">
        <x:v>T01.05</x:v>
      </x:c>
      <x:c r="C1518" s="10" t="str">
        <x:v>Income, expenses, assets, liabilities, equity, and wealth</x:v>
      </x:c>
      <x:c r="D1518" s="14" t="str">
        <x:v>RECOMMENDED_BEFORE</x:v>
      </x:c>
      <x:c r="E1518" s="10" t="str">
        <x:v>T30.11</x:v>
      </x:c>
      <x:c r="F1518" s="10" t="str">
        <x:v>Inflation and longevity risk</x:v>
      </x:c>
      <x:c r="G1518" s="10" t="str">
        <x:v>Suggested starting knowledge: Income, expenses, assets, liabilities, equity, and wealth. It helps you connect household cash flow, goals, protection, investing and long-term wealth.</x:v>
      </x:c>
      <x:c r="H1518" s="10" t="str">
        <x:v>Suggested learning order; learners can still explore freely.</x:v>
      </x:c>
      <x:c r="I1518" s="10" t="str">
        <x:v>Curated curriculum relationship</x:v>
      </x:c>
    </x:row>
    <x:row r="1519" ht="58" customHeight="1">
      <x:c r="A1519" s="9" t="str">
        <x:v>E1514</x:v>
      </x:c>
      <x:c r="B1519" s="9" t="str">
        <x:v>T30.12</x:v>
      </x:c>
      <x:c r="C1519" s="9" t="str">
        <x:v>Employee compensation and stock benefits</x:v>
      </x:c>
      <x:c r="D1519" s="15" t="str">
        <x:v>PART_OF</x:v>
      </x:c>
      <x:c r="E1519" s="9" t="str">
        <x:v>D30</x:v>
      </x:c>
      <x:c r="F1519" s="9" t="str">
        <x:v>Personal finance and wealth management</x:v>
      </x:c>
      <x:c r="G1519" s="9" t="str">
        <x:v>Curriculum membership. Use this link to move between the topic and its finance area.</x:v>
      </x:c>
      <x:c r="H1519" s="9" t="str">
        <x:v>Classification only; this edge is not a causal or calculation relationship.</x:v>
      </x:c>
      <x:c r="I1519" s="9" t="str">
        <x:v>Curated curriculum relationship</x:v>
      </x:c>
    </x:row>
    <x:row r="1520" ht="58" customHeight="1">
      <x:c r="A1520" s="10" t="str">
        <x:v>E1515</x:v>
      </x:c>
      <x:c r="B1520" s="10" t="str">
        <x:v>T30.12</x:v>
      </x:c>
      <x:c r="C1520" s="10" t="str">
        <x:v>Employee compensation and stock benefits</x:v>
      </x:c>
      <x:c r="D1520" s="14" t="str">
        <x:v>EXPLORE_WITH</x:v>
      </x:c>
      <x:c r="E1520" s="10" t="str">
        <x:v>T30.08</x:v>
      </x:c>
      <x:c r="F1520" s="10" t="str">
        <x:v>Investment selection and asset allocation</x:v>
      </x:c>
      <x:c r="G1520" s="10" t="str">
        <x:v>Study these together to connect household cash flow, goals, protection, investing and long-term wealth.</x:v>
      </x:c>
      <x:c r="H1520" s="10" t="str">
        <x:v>A topical exploration link, not a claim that one determines the other.</x:v>
      </x:c>
      <x:c r="I1520" s="10" t="str">
        <x:v>Curated curriculum relationship</x:v>
      </x:c>
    </x:row>
    <x:row r="1521" ht="58" customHeight="1">
      <x:c r="A1521" s="9" t="str">
        <x:v>E1516</x:v>
      </x:c>
      <x:c r="B1521" s="9" t="str">
        <x:v>T01.05</x:v>
      </x:c>
      <x:c r="C1521" s="9" t="str">
        <x:v>Income, expenses, assets, liabilities, equity, and wealth</x:v>
      </x:c>
      <x:c r="D1521" s="15" t="str">
        <x:v>RECOMMENDED_BEFORE</x:v>
      </x:c>
      <x:c r="E1521" s="9" t="str">
        <x:v>T30.12</x:v>
      </x:c>
      <x:c r="F1521" s="9" t="str">
        <x:v>Employee compensation and stock benefits</x:v>
      </x:c>
      <x:c r="G1521" s="9" t="str">
        <x:v>Suggested starting knowledge: Income, expenses, assets, liabilities, equity, and wealth. It helps you connect household cash flow, goals, protection, investing and long-term wealth.</x:v>
      </x:c>
      <x:c r="H1521" s="9" t="str">
        <x:v>Suggested learning order; learners can still explore freely.</x:v>
      </x:c>
      <x:c r="I1521" s="9" t="str">
        <x:v>Curated curriculum relationship</x:v>
      </x:c>
    </x:row>
    <x:row r="1522" ht="58" customHeight="1">
      <x:c r="A1522" s="10" t="str">
        <x:v>E1517</x:v>
      </x:c>
      <x:c r="B1522" s="10" t="str">
        <x:v>T30.13</x:v>
      </x:c>
      <x:c r="C1522" s="10" t="str">
        <x:v>Property ownership versus renting</x:v>
      </x:c>
      <x:c r="D1522" s="14" t="str">
        <x:v>PART_OF</x:v>
      </x:c>
      <x:c r="E1522" s="10" t="str">
        <x:v>D30</x:v>
      </x:c>
      <x:c r="F1522" s="10" t="str">
        <x:v>Personal finance and wealth management</x:v>
      </x:c>
      <x:c r="G1522" s="10" t="str">
        <x:v>Curriculum membership. Use this link to move between the topic and its finance area.</x:v>
      </x:c>
      <x:c r="H1522" s="10" t="str">
        <x:v>Classification only; this edge is not a causal or calculation relationship.</x:v>
      </x:c>
      <x:c r="I1522" s="10" t="str">
        <x:v>Curated curriculum relationship</x:v>
      </x:c>
    </x:row>
    <x:row r="1523" ht="58" customHeight="1">
      <x:c r="A1523" s="9" t="str">
        <x:v>E1518</x:v>
      </x:c>
      <x:c r="B1523" s="9" t="str">
        <x:v>T30.13</x:v>
      </x:c>
      <x:c r="C1523" s="9" t="str">
        <x:v>Property ownership versus renting</x:v>
      </x:c>
      <x:c r="D1523" s="15" t="str">
        <x:v>EXPLORE_WITH</x:v>
      </x:c>
      <x:c r="E1523" s="9" t="str">
        <x:v>T30.05</x:v>
      </x:c>
      <x:c r="F1523" s="9" t="str">
        <x:v>Education, vehicle, and home loans</x:v>
      </x:c>
      <x:c r="G1523" s="9" t="str">
        <x:v>Study these together to connect household cash flow, goals, protection, investing and long-term wealth.</x:v>
      </x:c>
      <x:c r="H1523" s="9" t="str">
        <x:v>A topical exploration link, not a claim that one determines the other.</x:v>
      </x:c>
      <x:c r="I1523" s="9" t="str">
        <x:v>Curated curriculum relationship</x:v>
      </x:c>
    </x:row>
    <x:row r="1524" ht="58" customHeight="1">
      <x:c r="A1524" s="10" t="str">
        <x:v>E1519</x:v>
      </x:c>
      <x:c r="B1524" s="10" t="str">
        <x:v>T01.05</x:v>
      </x:c>
      <x:c r="C1524" s="10" t="str">
        <x:v>Income, expenses, assets, liabilities, equity, and wealth</x:v>
      </x:c>
      <x:c r="D1524" s="14" t="str">
        <x:v>RECOMMENDED_BEFORE</x:v>
      </x:c>
      <x:c r="E1524" s="10" t="str">
        <x:v>T30.13</x:v>
      </x:c>
      <x:c r="F1524" s="10" t="str">
        <x:v>Property ownership versus renting</x:v>
      </x:c>
      <x:c r="G1524" s="10" t="str">
        <x:v>Suggested starting knowledge: Income, expenses, assets, liabilities, equity, and wealth. It helps you connect household cash flow, goals, protection, investing and long-term wealth.</x:v>
      </x:c>
      <x:c r="H1524" s="10" t="str">
        <x:v>Suggested learning order; learners can still explore freely.</x:v>
      </x:c>
      <x:c r="I1524" s="10" t="str">
        <x:v>Curated curriculum relationship</x:v>
      </x:c>
    </x:row>
    <x:row r="1525" ht="58" customHeight="1">
      <x:c r="A1525" s="9" t="str">
        <x:v>E1520</x:v>
      </x:c>
      <x:c r="B1525" s="9" t="str">
        <x:v>T30.14</x:v>
      </x:c>
      <x:c r="C1525" s="9" t="str">
        <x:v>Family financial planning</x:v>
      </x:c>
      <x:c r="D1525" s="15" t="str">
        <x:v>PART_OF</x:v>
      </x:c>
      <x:c r="E1525" s="9" t="str">
        <x:v>D30</x:v>
      </x:c>
      <x:c r="F1525" s="9" t="str">
        <x:v>Personal finance and wealth management</x:v>
      </x:c>
      <x:c r="G1525" s="9" t="str">
        <x:v>Curriculum membership. Use this link to move between the topic and its finance area.</x:v>
      </x:c>
      <x:c r="H1525" s="9" t="str">
        <x:v>Classification only; this edge is not a causal or calculation relationship.</x:v>
      </x:c>
      <x:c r="I1525" s="9" t="str">
        <x:v>Curated curriculum relationship</x:v>
      </x:c>
    </x:row>
    <x:row r="1526" ht="58" customHeight="1">
      <x:c r="A1526" s="10" t="str">
        <x:v>E1521</x:v>
      </x:c>
      <x:c r="B1526" s="10" t="str">
        <x:v>T30.14</x:v>
      </x:c>
      <x:c r="C1526" s="10" t="str">
        <x:v>Family financial planning</x:v>
      </x:c>
      <x:c r="D1526" s="14" t="str">
        <x:v>EXPLORE_WITH</x:v>
      </x:c>
      <x:c r="E1526" s="10" t="str">
        <x:v>T30.15</x:v>
      </x:c>
      <x:c r="F1526" s="10" t="str">
        <x:v>Estate planning, nominations, wills, and trusts</x:v>
      </x:c>
      <x:c r="G1526" s="10" t="str">
        <x:v>Study these together to connect household cash flow, goals, protection, investing and long-term wealth.</x:v>
      </x:c>
      <x:c r="H1526" s="10" t="str">
        <x:v>A topical exploration link, not a claim that one determines the other.</x:v>
      </x:c>
      <x:c r="I1526" s="10" t="str">
        <x:v>Curated curriculum relationship</x:v>
      </x:c>
    </x:row>
    <x:row r="1527" ht="58" customHeight="1">
      <x:c r="A1527" s="9" t="str">
        <x:v>E1522</x:v>
      </x:c>
      <x:c r="B1527" s="9" t="str">
        <x:v>T01.05</x:v>
      </x:c>
      <x:c r="C1527" s="9" t="str">
        <x:v>Income, expenses, assets, liabilities, equity, and wealth</x:v>
      </x:c>
      <x:c r="D1527" s="15" t="str">
        <x:v>RECOMMENDED_BEFORE</x:v>
      </x:c>
      <x:c r="E1527" s="9" t="str">
        <x:v>T30.14</x:v>
      </x:c>
      <x:c r="F1527" s="9" t="str">
        <x:v>Family financial planning</x:v>
      </x:c>
      <x:c r="G1527" s="9" t="str">
        <x:v>Suggested starting knowledge: Income, expenses, assets, liabilities, equity, and wealth. It helps you connect household cash flow, goals, protection, investing and long-term wealth.</x:v>
      </x:c>
      <x:c r="H1527" s="9" t="str">
        <x:v>Suggested learning order; learners can still explore freely.</x:v>
      </x:c>
      <x:c r="I1527" s="9" t="str">
        <x:v>Curated curriculum relationship</x:v>
      </x:c>
    </x:row>
    <x:row r="1528" ht="58" customHeight="1">
      <x:c r="A1528" s="10" t="str">
        <x:v>E1523</x:v>
      </x:c>
      <x:c r="B1528" s="10" t="str">
        <x:v>T30.15</x:v>
      </x:c>
      <x:c r="C1528" s="10" t="str">
        <x:v>Estate planning, nominations, wills, and trusts</x:v>
      </x:c>
      <x:c r="D1528" s="14" t="str">
        <x:v>PART_OF</x:v>
      </x:c>
      <x:c r="E1528" s="10" t="str">
        <x:v>D30</x:v>
      </x:c>
      <x:c r="F1528" s="10" t="str">
        <x:v>Personal finance and wealth management</x:v>
      </x:c>
      <x:c r="G1528" s="10" t="str">
        <x:v>Curriculum membership. Use this link to move between the topic and its finance area.</x:v>
      </x:c>
      <x:c r="H1528" s="10" t="str">
        <x:v>Classification only; this edge is not a causal or calculation relationship.</x:v>
      </x:c>
      <x:c r="I1528" s="10" t="str">
        <x:v>Curated curriculum relationship</x:v>
      </x:c>
    </x:row>
    <x:row r="1529" ht="58" customHeight="1">
      <x:c r="A1529" s="9" t="str">
        <x:v>E1524</x:v>
      </x:c>
      <x:c r="B1529" s="9" t="str">
        <x:v>T30.15</x:v>
      </x:c>
      <x:c r="C1529" s="9" t="str">
        <x:v>Estate planning, nominations, wills, and trusts</x:v>
      </x:c>
      <x:c r="D1529" s="15" t="str">
        <x:v>EXPLORE_WITH</x:v>
      </x:c>
      <x:c r="E1529" s="9" t="str">
        <x:v>T30.16</x:v>
      </x:c>
      <x:c r="F1529" s="9" t="str">
        <x:v>Wealth preservation and intergenerational transfer</x:v>
      </x:c>
      <x:c r="G1529" s="9" t="str">
        <x:v>Study these together to connect household cash flow, goals, protection, investing and long-term wealth.</x:v>
      </x:c>
      <x:c r="H1529" s="9" t="str">
        <x:v>A topical exploration link, not a claim that one determines the other.</x:v>
      </x:c>
      <x:c r="I1529" s="9" t="str">
        <x:v>Curated curriculum relationship</x:v>
      </x:c>
    </x:row>
    <x:row r="1530" ht="58" customHeight="1">
      <x:c r="A1530" s="10" t="str">
        <x:v>E1525</x:v>
      </x:c>
      <x:c r="B1530" s="10" t="str">
        <x:v>T01.05</x:v>
      </x:c>
      <x:c r="C1530" s="10" t="str">
        <x:v>Income, expenses, assets, liabilities, equity, and wealth</x:v>
      </x:c>
      <x:c r="D1530" s="14" t="str">
        <x:v>RECOMMENDED_BEFORE</x:v>
      </x:c>
      <x:c r="E1530" s="10" t="str">
        <x:v>T30.15</x:v>
      </x:c>
      <x:c r="F1530" s="10" t="str">
        <x:v>Estate planning, nominations, wills, and trusts</x:v>
      </x:c>
      <x:c r="G1530" s="10" t="str">
        <x:v>Suggested starting knowledge: Income, expenses, assets, liabilities, equity, and wealth. It helps you connect household cash flow, goals, protection, investing and long-term wealth.</x:v>
      </x:c>
      <x:c r="H1530" s="10" t="str">
        <x:v>Suggested learning order; learners can still explore freely.</x:v>
      </x:c>
      <x:c r="I1530" s="10" t="str">
        <x:v>Curated curriculum relationship</x:v>
      </x:c>
    </x:row>
    <x:row r="1531" ht="58" customHeight="1">
      <x:c r="A1531" s="9" t="str">
        <x:v>E1526</x:v>
      </x:c>
      <x:c r="B1531" s="9" t="str">
        <x:v>T30.16</x:v>
      </x:c>
      <x:c r="C1531" s="9" t="str">
        <x:v>Wealth preservation and intergenerational transfer</x:v>
      </x:c>
      <x:c r="D1531" s="15" t="str">
        <x:v>PART_OF</x:v>
      </x:c>
      <x:c r="E1531" s="9" t="str">
        <x:v>D30</x:v>
      </x:c>
      <x:c r="F1531" s="9" t="str">
        <x:v>Personal finance and wealth management</x:v>
      </x:c>
      <x:c r="G1531" s="9" t="str">
        <x:v>Curriculum membership. Use this link to move between the topic and its finance area.</x:v>
      </x:c>
      <x:c r="H1531" s="9" t="str">
        <x:v>Classification only; this edge is not a causal or calculation relationship.</x:v>
      </x:c>
      <x:c r="I1531" s="9" t="str">
        <x:v>Curated curriculum relationship</x:v>
      </x:c>
    </x:row>
    <x:row r="1532" ht="58" customHeight="1">
      <x:c r="A1532" s="10" t="str">
        <x:v>E1527</x:v>
      </x:c>
      <x:c r="B1532" s="10" t="str">
        <x:v>T30.16</x:v>
      </x:c>
      <x:c r="C1532" s="10" t="str">
        <x:v>Wealth preservation and intergenerational transfer</x:v>
      </x:c>
      <x:c r="D1532" s="14" t="str">
        <x:v>EXPLORE_WITH</x:v>
      </x:c>
      <x:c r="E1532" s="10" t="str">
        <x:v>T30.15</x:v>
      </x:c>
      <x:c r="F1532" s="10" t="str">
        <x:v>Estate planning, nominations, wills, and trusts</x:v>
      </x:c>
      <x:c r="G1532" s="10" t="str">
        <x:v>Study these together to connect household cash flow, goals, protection, investing and long-term wealth.</x:v>
      </x:c>
      <x:c r="H1532" s="10" t="str">
        <x:v>A topical exploration link, not a claim that one determines the other.</x:v>
      </x:c>
      <x:c r="I1532" s="10" t="str">
        <x:v>Curated curriculum relationship</x:v>
      </x:c>
    </x:row>
    <x:row r="1533" ht="58" customHeight="1">
      <x:c r="A1533" s="9" t="str">
        <x:v>E1528</x:v>
      </x:c>
      <x:c r="B1533" s="9" t="str">
        <x:v>T01.05</x:v>
      </x:c>
      <x:c r="C1533" s="9" t="str">
        <x:v>Income, expenses, assets, liabilities, equity, and wealth</x:v>
      </x:c>
      <x:c r="D1533" s="15" t="str">
        <x:v>RECOMMENDED_BEFORE</x:v>
      </x:c>
      <x:c r="E1533" s="9" t="str">
        <x:v>T30.16</x:v>
      </x:c>
      <x:c r="F1533" s="9" t="str">
        <x:v>Wealth preservation and intergenerational transfer</x:v>
      </x:c>
      <x:c r="G1533" s="9" t="str">
        <x:v>Suggested starting knowledge: Income, expenses, assets, liabilities, equity, and wealth. It helps you connect household cash flow, goals, protection, investing and long-term wealth.</x:v>
      </x:c>
      <x:c r="H1533" s="9" t="str">
        <x:v>Suggested learning order; learners can still explore freely.</x:v>
      </x:c>
      <x:c r="I1533" s="9" t="str">
        <x:v>Curated curriculum relationship</x:v>
      </x:c>
    </x:row>
    <x:row r="1534" ht="58" customHeight="1">
      <x:c r="A1534" s="10" t="str">
        <x:v>E1529</x:v>
      </x:c>
      <x:c r="B1534" s="10" t="str">
        <x:v>T30.17</x:v>
      </x:c>
      <x:c r="C1534" s="10" t="str">
        <x:v>Financial scams and investor protection</x:v>
      </x:c>
      <x:c r="D1534" s="14" t="str">
        <x:v>PART_OF</x:v>
      </x:c>
      <x:c r="E1534" s="10" t="str">
        <x:v>D30</x:v>
      </x:c>
      <x:c r="F1534" s="10" t="str">
        <x:v>Personal finance and wealth management</x:v>
      </x:c>
      <x:c r="G1534" s="10" t="str">
        <x:v>Curriculum membership. Use this link to move between the topic and its finance area.</x:v>
      </x:c>
      <x:c r="H1534" s="10" t="str">
        <x:v>Classification only; this edge is not a causal or calculation relationship.</x:v>
      </x:c>
      <x:c r="I1534" s="10" t="str">
        <x:v>Curated curriculum relationship</x:v>
      </x:c>
    </x:row>
    <x:row r="1535" ht="58" customHeight="1">
      <x:c r="A1535" s="9" t="str">
        <x:v>E1530</x:v>
      </x:c>
      <x:c r="B1535" s="9" t="str">
        <x:v>T30.17</x:v>
      </x:c>
      <x:c r="C1535" s="9" t="str">
        <x:v>Financial scams and investor protection</x:v>
      </x:c>
      <x:c r="D1535" s="15" t="str">
        <x:v>EXPLORE_WITH</x:v>
      </x:c>
      <x:c r="E1535" s="9" t="str">
        <x:v>T30.18</x:v>
      </x:c>
      <x:c r="F1535" s="9" t="str">
        <x:v>Adviser selection, fees, and conflicts of interest</x:v>
      </x:c>
      <x:c r="G1535" s="9" t="str">
        <x:v>Study these together to connect household cash flow, goals, protection, investing and long-term wealth.</x:v>
      </x:c>
      <x:c r="H1535" s="9" t="str">
        <x:v>A topical exploration link, not a claim that one determines the other.</x:v>
      </x:c>
      <x:c r="I1535" s="9" t="str">
        <x:v>Curated curriculum relationship</x:v>
      </x:c>
    </x:row>
    <x:row r="1536" ht="58" customHeight="1">
      <x:c r="A1536" s="10" t="str">
        <x:v>E1531</x:v>
      </x:c>
      <x:c r="B1536" s="10" t="str">
        <x:v>T01.05</x:v>
      </x:c>
      <x:c r="C1536" s="10" t="str">
        <x:v>Income, expenses, assets, liabilities, equity, and wealth</x:v>
      </x:c>
      <x:c r="D1536" s="14" t="str">
        <x:v>RECOMMENDED_BEFORE</x:v>
      </x:c>
      <x:c r="E1536" s="10" t="str">
        <x:v>T30.17</x:v>
      </x:c>
      <x:c r="F1536" s="10" t="str">
        <x:v>Financial scams and investor protection</x:v>
      </x:c>
      <x:c r="G1536" s="10" t="str">
        <x:v>Suggested starting knowledge: Income, expenses, assets, liabilities, equity, and wealth. It helps you connect household cash flow, goals, protection, investing and long-term wealth.</x:v>
      </x:c>
      <x:c r="H1536" s="10" t="str">
        <x:v>Suggested learning order; learners can still explore freely.</x:v>
      </x:c>
      <x:c r="I1536" s="10" t="str">
        <x:v>Curated curriculum relationship</x:v>
      </x:c>
    </x:row>
    <x:row r="1537" ht="58" customHeight="1">
      <x:c r="A1537" s="9" t="str">
        <x:v>E1532</x:v>
      </x:c>
      <x:c r="B1537" s="9" t="str">
        <x:v>T30.18</x:v>
      </x:c>
      <x:c r="C1537" s="9" t="str">
        <x:v>Adviser selection, fees, and conflicts of interest</x:v>
      </x:c>
      <x:c r="D1537" s="15" t="str">
        <x:v>PART_OF</x:v>
      </x:c>
      <x:c r="E1537" s="9" t="str">
        <x:v>D30</x:v>
      </x:c>
      <x:c r="F1537" s="9" t="str">
        <x:v>Personal finance and wealth management</x:v>
      </x:c>
      <x:c r="G1537" s="9" t="str">
        <x:v>Curriculum membership. Use this link to move between the topic and its finance area.</x:v>
      </x:c>
      <x:c r="H1537" s="9" t="str">
        <x:v>Classification only; this edge is not a causal or calculation relationship.</x:v>
      </x:c>
      <x:c r="I1537" s="9" t="str">
        <x:v>Curated curriculum relationship</x:v>
      </x:c>
    </x:row>
    <x:row r="1538" ht="58" customHeight="1">
      <x:c r="A1538" s="10" t="str">
        <x:v>E1533</x:v>
      </x:c>
      <x:c r="B1538" s="10" t="str">
        <x:v>T30.18</x:v>
      </x:c>
      <x:c r="C1538" s="10" t="str">
        <x:v>Adviser selection, fees, and conflicts of interest</x:v>
      </x:c>
      <x:c r="D1538" s="14" t="str">
        <x:v>EXPLORE_WITH</x:v>
      </x:c>
      <x:c r="E1538" s="10" t="str">
        <x:v>T30.08</x:v>
      </x:c>
      <x:c r="F1538" s="10" t="str">
        <x:v>Investment selection and asset allocation</x:v>
      </x:c>
      <x:c r="G1538" s="10" t="str">
        <x:v>Study these together to connect household cash flow, goals, protection, investing and long-term wealth.</x:v>
      </x:c>
      <x:c r="H1538" s="10" t="str">
        <x:v>A topical exploration link, not a claim that one determines the other.</x:v>
      </x:c>
      <x:c r="I1538" s="10" t="str">
        <x:v>Curated curriculum relationship</x:v>
      </x:c>
    </x:row>
    <x:row r="1539" ht="58" customHeight="1">
      <x:c r="A1539" s="9" t="str">
        <x:v>E1534</x:v>
      </x:c>
      <x:c r="B1539" s="9" t="str">
        <x:v>T01.05</x:v>
      </x:c>
      <x:c r="C1539" s="9" t="str">
        <x:v>Income, expenses, assets, liabilities, equity, and wealth</x:v>
      </x:c>
      <x:c r="D1539" s="15" t="str">
        <x:v>RECOMMENDED_BEFORE</x:v>
      </x:c>
      <x:c r="E1539" s="9" t="str">
        <x:v>T30.18</x:v>
      </x:c>
      <x:c r="F1539" s="9" t="str">
        <x:v>Adviser selection, fees, and conflicts of interest</x:v>
      </x:c>
      <x:c r="G1539" s="9" t="str">
        <x:v>Suggested starting knowledge: Income, expenses, assets, liabilities, equity, and wealth. It helps you connect household cash flow, goals, protection, investing and long-term wealth.</x:v>
      </x:c>
      <x:c r="H1539" s="9" t="str">
        <x:v>Suggested learning order; learners can still explore freely.</x:v>
      </x:c>
      <x:c r="I1539" s="9" t="str">
        <x:v>Curated curriculum relationship</x:v>
      </x:c>
    </x:row>
    <x:row r="1540" ht="58" customHeight="1">
      <x:c r="A1540" s="10" t="str">
        <x:v>E1535</x:v>
      </x:c>
      <x:c r="B1540" s="10" t="str">
        <x:v>T31.01</x:v>
      </x:c>
      <x:c r="C1540" s="10" t="str">
        <x:v>Direct versus indirect taxation</x:v>
      </x:c>
      <x:c r="D1540" s="14" t="str">
        <x:v>PART_OF</x:v>
      </x:c>
      <x:c r="E1540" s="10" t="str">
        <x:v>D31</x:v>
      </x:c>
      <x:c r="F1540" s="10" t="str">
        <x:v>Taxation in finance</x:v>
      </x:c>
      <x:c r="G1540" s="10" t="str">
        <x:v>Curriculum membership. Use this link to move between the topic and its finance area.</x:v>
      </x:c>
      <x:c r="H1540" s="10" t="str">
        <x:v>Classification only; this edge is not a causal or calculation relationship.</x:v>
      </x:c>
      <x:c r="I1540" s="10" t="str">
        <x:v>Curated curriculum relationship</x:v>
      </x:c>
    </x:row>
    <x:row r="1541" ht="58" customHeight="1">
      <x:c r="A1541" s="9" t="str">
        <x:v>E1536</x:v>
      </x:c>
      <x:c r="B1541" s="9" t="str">
        <x:v>T31.01</x:v>
      </x:c>
      <x:c r="C1541" s="9" t="str">
        <x:v>Direct versus indirect taxation</x:v>
      </x:c>
      <x:c r="D1541" s="15" t="str">
        <x:v>EXPLORE_WITH</x:v>
      </x:c>
      <x:c r="E1541" s="9" t="str">
        <x:v>T31.04</x:v>
      </x:c>
      <x:c r="F1541" s="9" t="str">
        <x:v>Individual and corporate taxation</x:v>
      </x:c>
      <x:c r="G1541" s="9" t="str">
        <x:v>Study these together to distinguish accounting outcomes from tax outcomes and compare after-tax cash flows.</x:v>
      </x:c>
      <x:c r="H1541" s="9" t="str">
        <x:v>A topical exploration link, not a claim that one determines the other.</x:v>
      </x:c>
      <x:c r="I1541" s="9" t="str">
        <x:v>Curated curriculum relationship</x:v>
      </x:c>
    </x:row>
    <x:row r="1542" ht="58" customHeight="1">
      <x:c r="A1542" s="10" t="str">
        <x:v>E1537</x:v>
      </x:c>
      <x:c r="B1542" s="10" t="str">
        <x:v>T04.05</x:v>
      </x:c>
      <x:c r="C1542" s="10" t="str">
        <x:v>Cash accounting versus accrual accounting</x:v>
      </x:c>
      <x:c r="D1542" s="14" t="str">
        <x:v>RECOMMENDED_BEFORE</x:v>
      </x:c>
      <x:c r="E1542" s="10" t="str">
        <x:v>T31.01</x:v>
      </x:c>
      <x:c r="F1542" s="10" t="str">
        <x:v>Direct versus indirect taxation</x:v>
      </x:c>
      <x:c r="G1542" s="10" t="str">
        <x:v>Suggested starting knowledge: Cash accounting versus accrual accounting. It helps you distinguish accounting outcomes from tax outcomes and compare after-tax cash flows.</x:v>
      </x:c>
      <x:c r="H1542" s="10" t="str">
        <x:v>Suggested learning order; learners can still explore freely.</x:v>
      </x:c>
      <x:c r="I1542" s="10" t="str">
        <x:v>Curated curriculum relationship</x:v>
      </x:c>
    </x:row>
    <x:row r="1543" ht="58" customHeight="1">
      <x:c r="A1543" s="9" t="str">
        <x:v>E1538</x:v>
      </x:c>
      <x:c r="B1543" s="9" t="str">
        <x:v>T31.02</x:v>
      </x:c>
      <x:c r="C1543" s="9" t="str">
        <x:v>Taxable income versus accounting income</x:v>
      </x:c>
      <x:c r="D1543" s="15" t="str">
        <x:v>PART_OF</x:v>
      </x:c>
      <x:c r="E1543" s="9" t="str">
        <x:v>D31</x:v>
      </x:c>
      <x:c r="F1543" s="9" t="str">
        <x:v>Taxation in finance</x:v>
      </x:c>
      <x:c r="G1543" s="9" t="str">
        <x:v>Curriculum membership. Use this link to move between the topic and its finance area.</x:v>
      </x:c>
      <x:c r="H1543" s="9" t="str">
        <x:v>Classification only; this edge is not a causal or calculation relationship.</x:v>
      </x:c>
      <x:c r="I1543" s="9" t="str">
        <x:v>Curated curriculum relationship</x:v>
      </x:c>
    </x:row>
    <x:row r="1544" ht="58" customHeight="1">
      <x:c r="A1544" s="10" t="str">
        <x:v>E1539</x:v>
      </x:c>
      <x:c r="B1544" s="10" t="str">
        <x:v>T31.02</x:v>
      </x:c>
      <x:c r="C1544" s="10" t="str">
        <x:v>Taxable income versus accounting income</x:v>
      </x:c>
      <x:c r="D1544" s="14" t="str">
        <x:v>EXPLORE_WITH</x:v>
      </x:c>
      <x:c r="E1544" s="10" t="str">
        <x:v>T31.09</x:v>
      </x:c>
      <x:c r="F1544" s="10" t="str">
        <x:v>Deferred tax</x:v>
      </x:c>
      <x:c r="G1544" s="10" t="str">
        <x:v>Study these together to distinguish accounting outcomes from tax outcomes and compare after-tax cash flows.</x:v>
      </x:c>
      <x:c r="H1544" s="10" t="str">
        <x:v>A topical exploration link, not a claim that one determines the other.</x:v>
      </x:c>
      <x:c r="I1544" s="10" t="str">
        <x:v>Curated curriculum relationship</x:v>
      </x:c>
    </x:row>
    <x:row r="1545" ht="58" customHeight="1">
      <x:c r="A1545" s="9" t="str">
        <x:v>E1540</x:v>
      </x:c>
      <x:c r="B1545" s="9" t="str">
        <x:v>T04.05</x:v>
      </x:c>
      <x:c r="C1545" s="9" t="str">
        <x:v>Cash accounting versus accrual accounting</x:v>
      </x:c>
      <x:c r="D1545" s="15" t="str">
        <x:v>RECOMMENDED_BEFORE</x:v>
      </x:c>
      <x:c r="E1545" s="9" t="str">
        <x:v>T31.02</x:v>
      </x:c>
      <x:c r="F1545" s="9" t="str">
        <x:v>Taxable income versus accounting income</x:v>
      </x:c>
      <x:c r="G1545" s="9" t="str">
        <x:v>Suggested starting knowledge: Cash accounting versus accrual accounting. It helps you distinguish accounting outcomes from tax outcomes and compare after-tax cash flows.</x:v>
      </x:c>
      <x:c r="H1545" s="9" t="str">
        <x:v>Suggested learning order; learners can still explore freely.</x:v>
      </x:c>
      <x:c r="I1545" s="9" t="str">
        <x:v>Curated curriculum relationship</x:v>
      </x:c>
    </x:row>
    <x:row r="1546" ht="58" customHeight="1">
      <x:c r="A1546" s="10" t="str">
        <x:v>E1541</x:v>
      </x:c>
      <x:c r="B1546" s="10" t="str">
        <x:v>T31.03</x:v>
      </x:c>
      <x:c r="C1546" s="10" t="str">
        <x:v>Marginal versus effective tax rates</x:v>
      </x:c>
      <x:c r="D1546" s="14" t="str">
        <x:v>PART_OF</x:v>
      </x:c>
      <x:c r="E1546" s="10" t="str">
        <x:v>D31</x:v>
      </x:c>
      <x:c r="F1546" s="10" t="str">
        <x:v>Taxation in finance</x:v>
      </x:c>
      <x:c r="G1546" s="10" t="str">
        <x:v>Curriculum membership. Use this link to move between the topic and its finance area.</x:v>
      </x:c>
      <x:c r="H1546" s="10" t="str">
        <x:v>Classification only; this edge is not a causal or calculation relationship.</x:v>
      </x:c>
      <x:c r="I1546" s="10" t="str">
        <x:v>Curated curriculum relationship</x:v>
      </x:c>
    </x:row>
    <x:row r="1547" ht="58" customHeight="1">
      <x:c r="A1547" s="9" t="str">
        <x:v>E1542</x:v>
      </x:c>
      <x:c r="B1547" s="9" t="str">
        <x:v>T31.03</x:v>
      </x:c>
      <x:c r="C1547" s="9" t="str">
        <x:v>Marginal versus effective tax rates</x:v>
      </x:c>
      <x:c r="D1547" s="15" t="str">
        <x:v>EXPLORE_WITH</x:v>
      </x:c>
      <x:c r="E1547" s="9" t="str">
        <x:v>T31.04</x:v>
      </x:c>
      <x:c r="F1547" s="9" t="str">
        <x:v>Individual and corporate taxation</x:v>
      </x:c>
      <x:c r="G1547" s="9" t="str">
        <x:v>Study these together to distinguish accounting outcomes from tax outcomes and compare after-tax cash flows.</x:v>
      </x:c>
      <x:c r="H1547" s="9" t="str">
        <x:v>A topical exploration link, not a claim that one determines the other.</x:v>
      </x:c>
      <x:c r="I1547" s="9" t="str">
        <x:v>Curated curriculum relationship</x:v>
      </x:c>
    </x:row>
    <x:row r="1548" ht="58" customHeight="1">
      <x:c r="A1548" s="10" t="str">
        <x:v>E1543</x:v>
      </x:c>
      <x:c r="B1548" s="10" t="str">
        <x:v>T04.05</x:v>
      </x:c>
      <x:c r="C1548" s="10" t="str">
        <x:v>Cash accounting versus accrual accounting</x:v>
      </x:c>
      <x:c r="D1548" s="14" t="str">
        <x:v>RECOMMENDED_BEFORE</x:v>
      </x:c>
      <x:c r="E1548" s="10" t="str">
        <x:v>T31.03</x:v>
      </x:c>
      <x:c r="F1548" s="10" t="str">
        <x:v>Marginal versus effective tax rates</x:v>
      </x:c>
      <x:c r="G1548" s="10" t="str">
        <x:v>Suggested starting knowledge: Cash accounting versus accrual accounting. It helps you distinguish accounting outcomes from tax outcomes and compare after-tax cash flows.</x:v>
      </x:c>
      <x:c r="H1548" s="10" t="str">
        <x:v>Suggested learning order; learners can still explore freely.</x:v>
      </x:c>
      <x:c r="I1548" s="10" t="str">
        <x:v>Curated curriculum relationship</x:v>
      </x:c>
    </x:row>
    <x:row r="1549" ht="58" customHeight="1">
      <x:c r="A1549" s="9" t="str">
        <x:v>E1544</x:v>
      </x:c>
      <x:c r="B1549" s="9" t="str">
        <x:v>T31.04</x:v>
      </x:c>
      <x:c r="C1549" s="9" t="str">
        <x:v>Individual and corporate taxation</x:v>
      </x:c>
      <x:c r="D1549" s="15" t="str">
        <x:v>PART_OF</x:v>
      </x:c>
      <x:c r="E1549" s="9" t="str">
        <x:v>D31</x:v>
      </x:c>
      <x:c r="F1549" s="9" t="str">
        <x:v>Taxation in finance</x:v>
      </x:c>
      <x:c r="G1549" s="9" t="str">
        <x:v>Curriculum membership. Use this link to move between the topic and its finance area.</x:v>
      </x:c>
      <x:c r="H1549" s="9" t="str">
        <x:v>Classification only; this edge is not a causal or calculation relationship.</x:v>
      </x:c>
      <x:c r="I1549" s="9" t="str">
        <x:v>Curated curriculum relationship</x:v>
      </x:c>
    </x:row>
    <x:row r="1550" ht="58" customHeight="1">
      <x:c r="A1550" s="10" t="str">
        <x:v>E1545</x:v>
      </x:c>
      <x:c r="B1550" s="10" t="str">
        <x:v>T31.04</x:v>
      </x:c>
      <x:c r="C1550" s="10" t="str">
        <x:v>Individual and corporate taxation</x:v>
      </x:c>
      <x:c r="D1550" s="14" t="str">
        <x:v>EXPLORE_WITH</x:v>
      </x:c>
      <x:c r="E1550" s="10" t="str">
        <x:v>T31.03</x:v>
      </x:c>
      <x:c r="F1550" s="10" t="str">
        <x:v>Marginal versus effective tax rates</x:v>
      </x:c>
      <x:c r="G1550" s="10" t="str">
        <x:v>Study these together to distinguish accounting outcomes from tax outcomes and compare after-tax cash flows.</x:v>
      </x:c>
      <x:c r="H1550" s="10" t="str">
        <x:v>A topical exploration link, not a claim that one determines the other.</x:v>
      </x:c>
      <x:c r="I1550" s="10" t="str">
        <x:v>Curated curriculum relationship</x:v>
      </x:c>
    </x:row>
    <x:row r="1551" ht="58" customHeight="1">
      <x:c r="A1551" s="9" t="str">
        <x:v>E1546</x:v>
      </x:c>
      <x:c r="B1551" s="9" t="str">
        <x:v>T04.05</x:v>
      </x:c>
      <x:c r="C1551" s="9" t="str">
        <x:v>Cash accounting versus accrual accounting</x:v>
      </x:c>
      <x:c r="D1551" s="15" t="str">
        <x:v>RECOMMENDED_BEFORE</x:v>
      </x:c>
      <x:c r="E1551" s="9" t="str">
        <x:v>T31.04</x:v>
      </x:c>
      <x:c r="F1551" s="9" t="str">
        <x:v>Individual and corporate taxation</x:v>
      </x:c>
      <x:c r="G1551" s="9" t="str">
        <x:v>Suggested starting knowledge: Cash accounting versus accrual accounting. It helps you distinguish accounting outcomes from tax outcomes and compare after-tax cash flows.</x:v>
      </x:c>
      <x:c r="H1551" s="9" t="str">
        <x:v>Suggested learning order; learners can still explore freely.</x:v>
      </x:c>
      <x:c r="I1551" s="9" t="str">
        <x:v>Curated curriculum relationship</x:v>
      </x:c>
    </x:row>
    <x:row r="1552" ht="58" customHeight="1">
      <x:c r="A1552" s="10" t="str">
        <x:v>E1547</x:v>
      </x:c>
      <x:c r="B1552" s="10" t="str">
        <x:v>T31.05</x:v>
      </x:c>
      <x:c r="C1552" s="10" t="str">
        <x:v>Capital gains, dividends, and interest taxation</x:v>
      </x:c>
      <x:c r="D1552" s="14" t="str">
        <x:v>PART_OF</x:v>
      </x:c>
      <x:c r="E1552" s="10" t="str">
        <x:v>D31</x:v>
      </x:c>
      <x:c r="F1552" s="10" t="str">
        <x:v>Taxation in finance</x:v>
      </x:c>
      <x:c r="G1552" s="10" t="str">
        <x:v>Curriculum membership. Use this link to move between the topic and its finance area.</x:v>
      </x:c>
      <x:c r="H1552" s="10" t="str">
        <x:v>Classification only; this edge is not a causal or calculation relationship.</x:v>
      </x:c>
      <x:c r="I1552" s="10" t="str">
        <x:v>Curated curriculum relationship</x:v>
      </x:c>
    </x:row>
    <x:row r="1553" ht="58" customHeight="1">
      <x:c r="A1553" s="9" t="str">
        <x:v>E1548</x:v>
      </x:c>
      <x:c r="B1553" s="9" t="str">
        <x:v>T31.05</x:v>
      </x:c>
      <x:c r="C1553" s="9" t="str">
        <x:v>Capital gains, dividends, and interest taxation</x:v>
      </x:c>
      <x:c r="D1553" s="15" t="str">
        <x:v>EXPLORE_WITH</x:v>
      </x:c>
      <x:c r="E1553" s="9" t="str">
        <x:v>T31.06</x:v>
      </x:c>
      <x:c r="F1553" s="9" t="str">
        <x:v>Tax treatment of investment products</x:v>
      </x:c>
      <x:c r="G1553" s="9" t="str">
        <x:v>Study these together to distinguish accounting outcomes from tax outcomes and compare after-tax cash flows.</x:v>
      </x:c>
      <x:c r="H1553" s="9" t="str">
        <x:v>A topical exploration link, not a claim that one determines the other.</x:v>
      </x:c>
      <x:c r="I1553" s="9" t="str">
        <x:v>Curated curriculum relationship</x:v>
      </x:c>
    </x:row>
    <x:row r="1554" ht="58" customHeight="1">
      <x:c r="A1554" s="10" t="str">
        <x:v>E1549</x:v>
      </x:c>
      <x:c r="B1554" s="10" t="str">
        <x:v>T04.05</x:v>
      </x:c>
      <x:c r="C1554" s="10" t="str">
        <x:v>Cash accounting versus accrual accounting</x:v>
      </x:c>
      <x:c r="D1554" s="14" t="str">
        <x:v>RECOMMENDED_BEFORE</x:v>
      </x:c>
      <x:c r="E1554" s="10" t="str">
        <x:v>T31.05</x:v>
      </x:c>
      <x:c r="F1554" s="10" t="str">
        <x:v>Capital gains, dividends, and interest taxation</x:v>
      </x:c>
      <x:c r="G1554" s="10" t="str">
        <x:v>Suggested starting knowledge: Cash accounting versus accrual accounting. It helps you distinguish accounting outcomes from tax outcomes and compare after-tax cash flows.</x:v>
      </x:c>
      <x:c r="H1554" s="10" t="str">
        <x:v>Suggested learning order; learners can still explore freely.</x:v>
      </x:c>
      <x:c r="I1554" s="10" t="str">
        <x:v>Curated curriculum relationship</x:v>
      </x:c>
    </x:row>
    <x:row r="1555" ht="58" customHeight="1">
      <x:c r="A1555" s="9" t="str">
        <x:v>E1550</x:v>
      </x:c>
      <x:c r="B1555" s="9" t="str">
        <x:v>T31.06</x:v>
      </x:c>
      <x:c r="C1555" s="9" t="str">
        <x:v>Tax treatment of investment products</x:v>
      </x:c>
      <x:c r="D1555" s="15" t="str">
        <x:v>PART_OF</x:v>
      </x:c>
      <x:c r="E1555" s="9" t="str">
        <x:v>D31</x:v>
      </x:c>
      <x:c r="F1555" s="9" t="str">
        <x:v>Taxation in finance</x:v>
      </x:c>
      <x:c r="G1555" s="9" t="str">
        <x:v>Curriculum membership. Use this link to move between the topic and its finance area.</x:v>
      </x:c>
      <x:c r="H1555" s="9" t="str">
        <x:v>Classification only; this edge is not a causal or calculation relationship.</x:v>
      </x:c>
      <x:c r="I1555" s="9" t="str">
        <x:v>Curated curriculum relationship</x:v>
      </x:c>
    </x:row>
    <x:row r="1556" ht="58" customHeight="1">
      <x:c r="A1556" s="10" t="str">
        <x:v>E1551</x:v>
      </x:c>
      <x:c r="B1556" s="10" t="str">
        <x:v>T31.06</x:v>
      </x:c>
      <x:c r="C1556" s="10" t="str">
        <x:v>Tax treatment of investment products</x:v>
      </x:c>
      <x:c r="D1556" s="14" t="str">
        <x:v>EXPLORE_WITH</x:v>
      </x:c>
      <x:c r="E1556" s="10" t="str">
        <x:v>T31.05</x:v>
      </x:c>
      <x:c r="F1556" s="10" t="str">
        <x:v>Capital gains, dividends, and interest taxation</x:v>
      </x:c>
      <x:c r="G1556" s="10" t="str">
        <x:v>Study these together to distinguish accounting outcomes from tax outcomes and compare after-tax cash flows.</x:v>
      </x:c>
      <x:c r="H1556" s="10" t="str">
        <x:v>A topical exploration link, not a claim that one determines the other.</x:v>
      </x:c>
      <x:c r="I1556" s="10" t="str">
        <x:v>Curated curriculum relationship</x:v>
      </x:c>
    </x:row>
    <x:row r="1557" ht="58" customHeight="1">
      <x:c r="A1557" s="9" t="str">
        <x:v>E1552</x:v>
      </x:c>
      <x:c r="B1557" s="9" t="str">
        <x:v>T04.05</x:v>
      </x:c>
      <x:c r="C1557" s="9" t="str">
        <x:v>Cash accounting versus accrual accounting</x:v>
      </x:c>
      <x:c r="D1557" s="15" t="str">
        <x:v>RECOMMENDED_BEFORE</x:v>
      </x:c>
      <x:c r="E1557" s="9" t="str">
        <x:v>T31.06</x:v>
      </x:c>
      <x:c r="F1557" s="9" t="str">
        <x:v>Tax treatment of investment products</x:v>
      </x:c>
      <x:c r="G1557" s="9" t="str">
        <x:v>Suggested starting knowledge: Cash accounting versus accrual accounting. It helps you distinguish accounting outcomes from tax outcomes and compare after-tax cash flows.</x:v>
      </x:c>
      <x:c r="H1557" s="9" t="str">
        <x:v>Suggested learning order; learners can still explore freely.</x:v>
      </x:c>
      <x:c r="I1557" s="9" t="str">
        <x:v>Curated curriculum relationship</x:v>
      </x:c>
    </x:row>
    <x:row r="1558" ht="58" customHeight="1">
      <x:c r="A1558" s="10" t="str">
        <x:v>E1553</x:v>
      </x:c>
      <x:c r="B1558" s="10" t="str">
        <x:v>T31.07</x:v>
      </x:c>
      <x:c r="C1558" s="10" t="str">
        <x:v>Tax depreciation and capital allowances</x:v>
      </x:c>
      <x:c r="D1558" s="14" t="str">
        <x:v>PART_OF</x:v>
      </x:c>
      <x:c r="E1558" s="10" t="str">
        <x:v>D31</x:v>
      </x:c>
      <x:c r="F1558" s="10" t="str">
        <x:v>Taxation in finance</x:v>
      </x:c>
      <x:c r="G1558" s="10" t="str">
        <x:v>Curriculum membership. Use this link to move between the topic and its finance area.</x:v>
      </x:c>
      <x:c r="H1558" s="10" t="str">
        <x:v>Classification only; this edge is not a causal or calculation relationship.</x:v>
      </x:c>
      <x:c r="I1558" s="10" t="str">
        <x:v>Curated curriculum relationship</x:v>
      </x:c>
    </x:row>
    <x:row r="1559" ht="58" customHeight="1">
      <x:c r="A1559" s="9" t="str">
        <x:v>E1554</x:v>
      </x:c>
      <x:c r="B1559" s="9" t="str">
        <x:v>T31.07</x:v>
      </x:c>
      <x:c r="C1559" s="9" t="str">
        <x:v>Tax depreciation and capital allowances</x:v>
      </x:c>
      <x:c r="D1559" s="15" t="str">
        <x:v>EXPLORE_WITH</x:v>
      </x:c>
      <x:c r="E1559" s="9" t="str">
        <x:v>T31.02</x:v>
      </x:c>
      <x:c r="F1559" s="9" t="str">
        <x:v>Taxable income versus accounting income</x:v>
      </x:c>
      <x:c r="G1559" s="9" t="str">
        <x:v>Study these together to distinguish accounting outcomes from tax outcomes and compare after-tax cash flows.</x:v>
      </x:c>
      <x:c r="H1559" s="9" t="str">
        <x:v>A topical exploration link, not a claim that one determines the other.</x:v>
      </x:c>
      <x:c r="I1559" s="9" t="str">
        <x:v>Curated curriculum relationship</x:v>
      </x:c>
    </x:row>
    <x:row r="1560" ht="58" customHeight="1">
      <x:c r="A1560" s="10" t="str">
        <x:v>E1555</x:v>
      </x:c>
      <x:c r="B1560" s="10" t="str">
        <x:v>T04.05</x:v>
      </x:c>
      <x:c r="C1560" s="10" t="str">
        <x:v>Cash accounting versus accrual accounting</x:v>
      </x:c>
      <x:c r="D1560" s="14" t="str">
        <x:v>RECOMMENDED_BEFORE</x:v>
      </x:c>
      <x:c r="E1560" s="10" t="str">
        <x:v>T31.07</x:v>
      </x:c>
      <x:c r="F1560" s="10" t="str">
        <x:v>Tax depreciation and capital allowances</x:v>
      </x:c>
      <x:c r="G1560" s="10" t="str">
        <x:v>Suggested starting knowledge: Cash accounting versus accrual accounting. It helps you distinguish accounting outcomes from tax outcomes and compare after-tax cash flows.</x:v>
      </x:c>
      <x:c r="H1560" s="10" t="str">
        <x:v>Suggested learning order; learners can still explore freely.</x:v>
      </x:c>
      <x:c r="I1560" s="10" t="str">
        <x:v>Curated curriculum relationship</x:v>
      </x:c>
    </x:row>
    <x:row r="1561" ht="58" customHeight="1">
      <x:c r="A1561" s="9" t="str">
        <x:v>E1556</x:v>
      </x:c>
      <x:c r="B1561" s="9" t="str">
        <x:v>T31.08</x:v>
      </x:c>
      <x:c r="C1561" s="9" t="str">
        <x:v>Loss set-offs and carryforwards</x:v>
      </x:c>
      <x:c r="D1561" s="15" t="str">
        <x:v>PART_OF</x:v>
      </x:c>
      <x:c r="E1561" s="9" t="str">
        <x:v>D31</x:v>
      </x:c>
      <x:c r="F1561" s="9" t="str">
        <x:v>Taxation in finance</x:v>
      </x:c>
      <x:c r="G1561" s="9" t="str">
        <x:v>Curriculum membership. Use this link to move between the topic and its finance area.</x:v>
      </x:c>
      <x:c r="H1561" s="9" t="str">
        <x:v>Classification only; this edge is not a causal or calculation relationship.</x:v>
      </x:c>
      <x:c r="I1561" s="9" t="str">
        <x:v>Curated curriculum relationship</x:v>
      </x:c>
    </x:row>
    <x:row r="1562" ht="58" customHeight="1">
      <x:c r="A1562" s="10" t="str">
        <x:v>E1557</x:v>
      </x:c>
      <x:c r="B1562" s="10" t="str">
        <x:v>T31.08</x:v>
      </x:c>
      <x:c r="C1562" s="10" t="str">
        <x:v>Loss set-offs and carryforwards</x:v>
      </x:c>
      <x:c r="D1562" s="14" t="str">
        <x:v>EXPLORE_WITH</x:v>
      </x:c>
      <x:c r="E1562" s="10" t="str">
        <x:v>T31.09</x:v>
      </x:c>
      <x:c r="F1562" s="10" t="str">
        <x:v>Deferred tax</x:v>
      </x:c>
      <x:c r="G1562" s="10" t="str">
        <x:v>Study these together to distinguish accounting outcomes from tax outcomes and compare after-tax cash flows.</x:v>
      </x:c>
      <x:c r="H1562" s="10" t="str">
        <x:v>A topical exploration link, not a claim that one determines the other.</x:v>
      </x:c>
      <x:c r="I1562" s="10" t="str">
        <x:v>Curated curriculum relationship</x:v>
      </x:c>
    </x:row>
    <x:row r="1563" ht="58" customHeight="1">
      <x:c r="A1563" s="9" t="str">
        <x:v>E1558</x:v>
      </x:c>
      <x:c r="B1563" s="9" t="str">
        <x:v>T04.05</x:v>
      </x:c>
      <x:c r="C1563" s="9" t="str">
        <x:v>Cash accounting versus accrual accounting</x:v>
      </x:c>
      <x:c r="D1563" s="15" t="str">
        <x:v>RECOMMENDED_BEFORE</x:v>
      </x:c>
      <x:c r="E1563" s="9" t="str">
        <x:v>T31.08</x:v>
      </x:c>
      <x:c r="F1563" s="9" t="str">
        <x:v>Loss set-offs and carryforwards</x:v>
      </x:c>
      <x:c r="G1563" s="9" t="str">
        <x:v>Suggested starting knowledge: Cash accounting versus accrual accounting. It helps you distinguish accounting outcomes from tax outcomes and compare after-tax cash flows.</x:v>
      </x:c>
      <x:c r="H1563" s="9" t="str">
        <x:v>Suggested learning order; learners can still explore freely.</x:v>
      </x:c>
      <x:c r="I1563" s="9" t="str">
        <x:v>Curated curriculum relationship</x:v>
      </x:c>
    </x:row>
    <x:row r="1564" ht="58" customHeight="1">
      <x:c r="A1564" s="10" t="str">
        <x:v>E1559</x:v>
      </x:c>
      <x:c r="B1564" s="10" t="str">
        <x:v>T31.09</x:v>
      </x:c>
      <x:c r="C1564" s="10" t="str">
        <x:v>Deferred tax</x:v>
      </x:c>
      <x:c r="D1564" s="14" t="str">
        <x:v>PART_OF</x:v>
      </x:c>
      <x:c r="E1564" s="10" t="str">
        <x:v>D31</x:v>
      </x:c>
      <x:c r="F1564" s="10" t="str">
        <x:v>Taxation in finance</x:v>
      </x:c>
      <x:c r="G1564" s="10" t="str">
        <x:v>Curriculum membership. Use this link to move between the topic and its finance area.</x:v>
      </x:c>
      <x:c r="H1564" s="10" t="str">
        <x:v>Classification only; this edge is not a causal or calculation relationship.</x:v>
      </x:c>
      <x:c r="I1564" s="10" t="str">
        <x:v>Curated curriculum relationship</x:v>
      </x:c>
    </x:row>
    <x:row r="1565" ht="58" customHeight="1">
      <x:c r="A1565" s="9" t="str">
        <x:v>E1560</x:v>
      </x:c>
      <x:c r="B1565" s="9" t="str">
        <x:v>T31.09</x:v>
      </x:c>
      <x:c r="C1565" s="9" t="str">
        <x:v>Deferred tax</x:v>
      </x:c>
      <x:c r="D1565" s="15" t="str">
        <x:v>EXPLORE_WITH</x:v>
      </x:c>
      <x:c r="E1565" s="9" t="str">
        <x:v>T31.02</x:v>
      </x:c>
      <x:c r="F1565" s="9" t="str">
        <x:v>Taxable income versus accounting income</x:v>
      </x:c>
      <x:c r="G1565" s="9" t="str">
        <x:v>Study these together to distinguish accounting outcomes from tax outcomes and compare after-tax cash flows.</x:v>
      </x:c>
      <x:c r="H1565" s="9" t="str">
        <x:v>A topical exploration link, not a claim that one determines the other.</x:v>
      </x:c>
      <x:c r="I1565" s="9" t="str">
        <x:v>Curated curriculum relationship</x:v>
      </x:c>
    </x:row>
    <x:row r="1566" ht="58" customHeight="1">
      <x:c r="A1566" s="10" t="str">
        <x:v>E1561</x:v>
      </x:c>
      <x:c r="B1566" s="10" t="str">
        <x:v>T04.05</x:v>
      </x:c>
      <x:c r="C1566" s="10" t="str">
        <x:v>Cash accounting versus accrual accounting</x:v>
      </x:c>
      <x:c r="D1566" s="14" t="str">
        <x:v>RECOMMENDED_BEFORE</x:v>
      </x:c>
      <x:c r="E1566" s="10" t="str">
        <x:v>T31.09</x:v>
      </x:c>
      <x:c r="F1566" s="10" t="str">
        <x:v>Deferred tax</x:v>
      </x:c>
      <x:c r="G1566" s="10" t="str">
        <x:v>Suggested starting knowledge: Cash accounting versus accrual accounting. It helps you distinguish accounting outcomes from tax outcomes and compare after-tax cash flows.</x:v>
      </x:c>
      <x:c r="H1566" s="10" t="str">
        <x:v>Suggested learning order; learners can still explore freely.</x:v>
      </x:c>
      <x:c r="I1566" s="10" t="str">
        <x:v>Curated curriculum relationship</x:v>
      </x:c>
    </x:row>
    <x:row r="1567" ht="58" customHeight="1">
      <x:c r="A1567" s="9" t="str">
        <x:v>E1562</x:v>
      </x:c>
      <x:c r="B1567" s="9" t="str">
        <x:v>T31.10</x:v>
      </x:c>
      <x:c r="C1567" s="9" t="str">
        <x:v>GST and its working-capital implications</x:v>
      </x:c>
      <x:c r="D1567" s="15" t="str">
        <x:v>PART_OF</x:v>
      </x:c>
      <x:c r="E1567" s="9" t="str">
        <x:v>D31</x:v>
      </x:c>
      <x:c r="F1567" s="9" t="str">
        <x:v>Taxation in finance</x:v>
      </x:c>
      <x:c r="G1567" s="9" t="str">
        <x:v>Curriculum membership. Use this link to move between the topic and its finance area.</x:v>
      </x:c>
      <x:c r="H1567" s="9" t="str">
        <x:v>Classification only; this edge is not a causal or calculation relationship.</x:v>
      </x:c>
      <x:c r="I1567" s="9" t="str">
        <x:v>Curated curriculum relationship</x:v>
      </x:c>
    </x:row>
    <x:row r="1568" ht="58" customHeight="1">
      <x:c r="A1568" s="10" t="str">
        <x:v>E1563</x:v>
      </x:c>
      <x:c r="B1568" s="10" t="str">
        <x:v>T31.10</x:v>
      </x:c>
      <x:c r="C1568" s="10" t="str">
        <x:v>GST and its working-capital implications</x:v>
      </x:c>
      <x:c r="D1568" s="14" t="str">
        <x:v>EXPLORE_WITH</x:v>
      </x:c>
      <x:c r="E1568" s="10" t="str">
        <x:v>T31.11</x:v>
      </x:c>
      <x:c r="F1568" s="10" t="str">
        <x:v>Withholding taxes and tax deducted at source</x:v>
      </x:c>
      <x:c r="G1568" s="10" t="str">
        <x:v>Study these together to distinguish accounting outcomes from tax outcomes and compare after-tax cash flows.</x:v>
      </x:c>
      <x:c r="H1568" s="10" t="str">
        <x:v>A topical exploration link, not a claim that one determines the other.</x:v>
      </x:c>
      <x:c r="I1568" s="10" t="str">
        <x:v>Curated curriculum relationship</x:v>
      </x:c>
    </x:row>
    <x:row r="1569" ht="58" customHeight="1">
      <x:c r="A1569" s="9" t="str">
        <x:v>E1564</x:v>
      </x:c>
      <x:c r="B1569" s="9" t="str">
        <x:v>T04.05</x:v>
      </x:c>
      <x:c r="C1569" s="9" t="str">
        <x:v>Cash accounting versus accrual accounting</x:v>
      </x:c>
      <x:c r="D1569" s="15" t="str">
        <x:v>RECOMMENDED_BEFORE</x:v>
      </x:c>
      <x:c r="E1569" s="9" t="str">
        <x:v>T31.10</x:v>
      </x:c>
      <x:c r="F1569" s="9" t="str">
        <x:v>GST and its working-capital implications</x:v>
      </x:c>
      <x:c r="G1569" s="9" t="str">
        <x:v>Suggested starting knowledge: Cash accounting versus accrual accounting. It helps you distinguish accounting outcomes from tax outcomes and compare after-tax cash flows.</x:v>
      </x:c>
      <x:c r="H1569" s="9" t="str">
        <x:v>Suggested learning order; learners can still explore freely.</x:v>
      </x:c>
      <x:c r="I1569" s="9" t="str">
        <x:v>Curated curriculum relationship</x:v>
      </x:c>
    </x:row>
    <x:row r="1570" ht="58" customHeight="1">
      <x:c r="A1570" s="10" t="str">
        <x:v>E1565</x:v>
      </x:c>
      <x:c r="B1570" s="10" t="str">
        <x:v>T31.11</x:v>
      </x:c>
      <x:c r="C1570" s="10" t="str">
        <x:v>Withholding taxes and tax deducted at source</x:v>
      </x:c>
      <x:c r="D1570" s="14" t="str">
        <x:v>PART_OF</x:v>
      </x:c>
      <x:c r="E1570" s="10" t="str">
        <x:v>D31</x:v>
      </x:c>
      <x:c r="F1570" s="10" t="str">
        <x:v>Taxation in finance</x:v>
      </x:c>
      <x:c r="G1570" s="10" t="str">
        <x:v>Curriculum membership. Use this link to move between the topic and its finance area.</x:v>
      </x:c>
      <x:c r="H1570" s="10" t="str">
        <x:v>Classification only; this edge is not a causal or calculation relationship.</x:v>
      </x:c>
      <x:c r="I1570" s="10" t="str">
        <x:v>Curated curriculum relationship</x:v>
      </x:c>
    </x:row>
    <x:row r="1571" ht="58" customHeight="1">
      <x:c r="A1571" s="9" t="str">
        <x:v>E1566</x:v>
      </x:c>
      <x:c r="B1571" s="9" t="str">
        <x:v>T31.11</x:v>
      </x:c>
      <x:c r="C1571" s="9" t="str">
        <x:v>Withholding taxes and tax deducted at source</x:v>
      </x:c>
      <x:c r="D1571" s="15" t="str">
        <x:v>EXPLORE_WITH</x:v>
      </x:c>
      <x:c r="E1571" s="9" t="str">
        <x:v>T31.10</x:v>
      </x:c>
      <x:c r="F1571" s="9" t="str">
        <x:v>GST and its working-capital implications</x:v>
      </x:c>
      <x:c r="G1571" s="9" t="str">
        <x:v>Study these together to distinguish accounting outcomes from tax outcomes and compare after-tax cash flows.</x:v>
      </x:c>
      <x:c r="H1571" s="9" t="str">
        <x:v>A topical exploration link, not a claim that one determines the other.</x:v>
      </x:c>
      <x:c r="I1571" s="9" t="str">
        <x:v>Curated curriculum relationship</x:v>
      </x:c>
    </x:row>
    <x:row r="1572" ht="58" customHeight="1">
      <x:c r="A1572" s="10" t="str">
        <x:v>E1567</x:v>
      </x:c>
      <x:c r="B1572" s="10" t="str">
        <x:v>T04.05</x:v>
      </x:c>
      <x:c r="C1572" s="10" t="str">
        <x:v>Cash accounting versus accrual accounting</x:v>
      </x:c>
      <x:c r="D1572" s="14" t="str">
        <x:v>RECOMMENDED_BEFORE</x:v>
      </x:c>
      <x:c r="E1572" s="10" t="str">
        <x:v>T31.11</x:v>
      </x:c>
      <x:c r="F1572" s="10" t="str">
        <x:v>Withholding taxes and tax deducted at source</x:v>
      </x:c>
      <x:c r="G1572" s="10" t="str">
        <x:v>Suggested starting knowledge: Cash accounting versus accrual accounting. It helps you distinguish accounting outcomes from tax outcomes and compare after-tax cash flows.</x:v>
      </x:c>
      <x:c r="H1572" s="10" t="str">
        <x:v>Suggested learning order; learners can still explore freely.</x:v>
      </x:c>
      <x:c r="I1572" s="10" t="str">
        <x:v>Curated curriculum relationship</x:v>
      </x:c>
    </x:row>
    <x:row r="1573" ht="58" customHeight="1">
      <x:c r="A1573" s="9" t="str">
        <x:v>E1568</x:v>
      </x:c>
      <x:c r="B1573" s="9" t="str">
        <x:v>T31.12</x:v>
      </x:c>
      <x:c r="C1573" s="9" t="str">
        <x:v>Cross-border taxation and tax treaties</x:v>
      </x:c>
      <x:c r="D1573" s="15" t="str">
        <x:v>PART_OF</x:v>
      </x:c>
      <x:c r="E1573" s="9" t="str">
        <x:v>D31</x:v>
      </x:c>
      <x:c r="F1573" s="9" t="str">
        <x:v>Taxation in finance</x:v>
      </x:c>
      <x:c r="G1573" s="9" t="str">
        <x:v>Curriculum membership. Use this link to move between the topic and its finance area.</x:v>
      </x:c>
      <x:c r="H1573" s="9" t="str">
        <x:v>Classification only; this edge is not a causal or calculation relationship.</x:v>
      </x:c>
      <x:c r="I1573" s="9" t="str">
        <x:v>Curated curriculum relationship</x:v>
      </x:c>
    </x:row>
    <x:row r="1574" ht="58" customHeight="1">
      <x:c r="A1574" s="10" t="str">
        <x:v>E1569</x:v>
      </x:c>
      <x:c r="B1574" s="10" t="str">
        <x:v>T31.12</x:v>
      </x:c>
      <x:c r="C1574" s="10" t="str">
        <x:v>Cross-border taxation and tax treaties</x:v>
      </x:c>
      <x:c r="D1574" s="14" t="str">
        <x:v>EXPLORE_WITH</x:v>
      </x:c>
      <x:c r="E1574" s="10" t="str">
        <x:v>T31.13</x:v>
      </x:c>
      <x:c r="F1574" s="10" t="str">
        <x:v>Transfer pricing for tax purposes</x:v>
      </x:c>
      <x:c r="G1574" s="10" t="str">
        <x:v>Study these together to distinguish accounting outcomes from tax outcomes and compare after-tax cash flows.</x:v>
      </x:c>
      <x:c r="H1574" s="10" t="str">
        <x:v>A topical exploration link, not a claim that one determines the other.</x:v>
      </x:c>
      <x:c r="I1574" s="10" t="str">
        <x:v>Curated curriculum relationship</x:v>
      </x:c>
    </x:row>
    <x:row r="1575" ht="58" customHeight="1">
      <x:c r="A1575" s="9" t="str">
        <x:v>E1570</x:v>
      </x:c>
      <x:c r="B1575" s="9" t="str">
        <x:v>T04.05</x:v>
      </x:c>
      <x:c r="C1575" s="9" t="str">
        <x:v>Cash accounting versus accrual accounting</x:v>
      </x:c>
      <x:c r="D1575" s="15" t="str">
        <x:v>RECOMMENDED_BEFORE</x:v>
      </x:c>
      <x:c r="E1575" s="9" t="str">
        <x:v>T31.12</x:v>
      </x:c>
      <x:c r="F1575" s="9" t="str">
        <x:v>Cross-border taxation and tax treaties</x:v>
      </x:c>
      <x:c r="G1575" s="9" t="str">
        <x:v>Suggested starting knowledge: Cash accounting versus accrual accounting. It helps you distinguish accounting outcomes from tax outcomes and compare after-tax cash flows.</x:v>
      </x:c>
      <x:c r="H1575" s="9" t="str">
        <x:v>Suggested learning order; learners can still explore freely.</x:v>
      </x:c>
      <x:c r="I1575" s="9" t="str">
        <x:v>Curated curriculum relationship</x:v>
      </x:c>
    </x:row>
    <x:row r="1576" ht="58" customHeight="1">
      <x:c r="A1576" s="10" t="str">
        <x:v>E1571</x:v>
      </x:c>
      <x:c r="B1576" s="10" t="str">
        <x:v>T31.13</x:v>
      </x:c>
      <x:c r="C1576" s="10" t="str">
        <x:v>Transfer pricing for tax purposes</x:v>
      </x:c>
      <x:c r="D1576" s="14" t="str">
        <x:v>PART_OF</x:v>
      </x:c>
      <x:c r="E1576" s="10" t="str">
        <x:v>D31</x:v>
      </x:c>
      <x:c r="F1576" s="10" t="str">
        <x:v>Taxation in finance</x:v>
      </x:c>
      <x:c r="G1576" s="10" t="str">
        <x:v>Curriculum membership. Use this link to move between the topic and its finance area.</x:v>
      </x:c>
      <x:c r="H1576" s="10" t="str">
        <x:v>Classification only; this edge is not a causal or calculation relationship.</x:v>
      </x:c>
      <x:c r="I1576" s="10" t="str">
        <x:v>Curated curriculum relationship</x:v>
      </x:c>
    </x:row>
    <x:row r="1577" ht="58" customHeight="1">
      <x:c r="A1577" s="9" t="str">
        <x:v>E1572</x:v>
      </x:c>
      <x:c r="B1577" s="9" t="str">
        <x:v>T31.13</x:v>
      </x:c>
      <x:c r="C1577" s="9" t="str">
        <x:v>Transfer pricing for tax purposes</x:v>
      </x:c>
      <x:c r="D1577" s="15" t="str">
        <x:v>EXPLORE_WITH</x:v>
      </x:c>
      <x:c r="E1577" s="9" t="str">
        <x:v>T31.12</x:v>
      </x:c>
      <x:c r="F1577" s="9" t="str">
        <x:v>Cross-border taxation and tax treaties</x:v>
      </x:c>
      <x:c r="G1577" s="9" t="str">
        <x:v>Study these together to distinguish accounting outcomes from tax outcomes and compare after-tax cash flows.</x:v>
      </x:c>
      <x:c r="H1577" s="9" t="str">
        <x:v>A topical exploration link, not a claim that one determines the other.</x:v>
      </x:c>
      <x:c r="I1577" s="9" t="str">
        <x:v>Curated curriculum relationship</x:v>
      </x:c>
    </x:row>
    <x:row r="1578" ht="58" customHeight="1">
      <x:c r="A1578" s="10" t="str">
        <x:v>E1573</x:v>
      </x:c>
      <x:c r="B1578" s="10" t="str">
        <x:v>T04.05</x:v>
      </x:c>
      <x:c r="C1578" s="10" t="str">
        <x:v>Cash accounting versus accrual accounting</x:v>
      </x:c>
      <x:c r="D1578" s="14" t="str">
        <x:v>RECOMMENDED_BEFORE</x:v>
      </x:c>
      <x:c r="E1578" s="10" t="str">
        <x:v>T31.13</x:v>
      </x:c>
      <x:c r="F1578" s="10" t="str">
        <x:v>Transfer pricing for tax purposes</x:v>
      </x:c>
      <x:c r="G1578" s="10" t="str">
        <x:v>Suggested starting knowledge: Cash accounting versus accrual accounting. It helps you distinguish accounting outcomes from tax outcomes and compare after-tax cash flows.</x:v>
      </x:c>
      <x:c r="H1578" s="10" t="str">
        <x:v>Suggested learning order; learners can still explore freely.</x:v>
      </x:c>
      <x:c r="I1578" s="10" t="str">
        <x:v>Curated curriculum relationship</x:v>
      </x:c>
    </x:row>
    <x:row r="1579" ht="58" customHeight="1">
      <x:c r="A1579" s="9" t="str">
        <x:v>E1574</x:v>
      </x:c>
      <x:c r="B1579" s="9" t="str">
        <x:v>T31.14</x:v>
      </x:c>
      <x:c r="C1579" s="9" t="str">
        <x:v>Transaction and restructuring taxation</x:v>
      </x:c>
      <x:c r="D1579" s="15" t="str">
        <x:v>PART_OF</x:v>
      </x:c>
      <x:c r="E1579" s="9" t="str">
        <x:v>D31</x:v>
      </x:c>
      <x:c r="F1579" s="9" t="str">
        <x:v>Taxation in finance</x:v>
      </x:c>
      <x:c r="G1579" s="9" t="str">
        <x:v>Curriculum membership. Use this link to move between the topic and its finance area.</x:v>
      </x:c>
      <x:c r="H1579" s="9" t="str">
        <x:v>Classification only; this edge is not a causal or calculation relationship.</x:v>
      </x:c>
      <x:c r="I1579" s="9" t="str">
        <x:v>Curated curriculum relationship</x:v>
      </x:c>
    </x:row>
    <x:row r="1580" ht="58" customHeight="1">
      <x:c r="A1580" s="10" t="str">
        <x:v>E1575</x:v>
      </x:c>
      <x:c r="B1580" s="10" t="str">
        <x:v>T31.14</x:v>
      </x:c>
      <x:c r="C1580" s="10" t="str">
        <x:v>Transaction and restructuring taxation</x:v>
      </x:c>
      <x:c r="D1580" s="14" t="str">
        <x:v>EXPLORE_WITH</x:v>
      </x:c>
      <x:c r="E1580" s="10" t="str">
        <x:v>T31.16</x:v>
      </x:c>
      <x:c r="F1580" s="10" t="str">
        <x:v>After-tax returns and tax-aware valuation</x:v>
      </x:c>
      <x:c r="G1580" s="10" t="str">
        <x:v>Study these together to distinguish accounting outcomes from tax outcomes and compare after-tax cash flows.</x:v>
      </x:c>
      <x:c r="H1580" s="10" t="str">
        <x:v>A topical exploration link, not a claim that one determines the other.</x:v>
      </x:c>
      <x:c r="I1580" s="10" t="str">
        <x:v>Curated curriculum relationship</x:v>
      </x:c>
    </x:row>
    <x:row r="1581" ht="58" customHeight="1">
      <x:c r="A1581" s="9" t="str">
        <x:v>E1576</x:v>
      </x:c>
      <x:c r="B1581" s="9" t="str">
        <x:v>T04.05</x:v>
      </x:c>
      <x:c r="C1581" s="9" t="str">
        <x:v>Cash accounting versus accrual accounting</x:v>
      </x:c>
      <x:c r="D1581" s="15" t="str">
        <x:v>RECOMMENDED_BEFORE</x:v>
      </x:c>
      <x:c r="E1581" s="9" t="str">
        <x:v>T31.14</x:v>
      </x:c>
      <x:c r="F1581" s="9" t="str">
        <x:v>Transaction and restructuring taxation</x:v>
      </x:c>
      <x:c r="G1581" s="9" t="str">
        <x:v>Suggested starting knowledge: Cash accounting versus accrual accounting. It helps you distinguish accounting outcomes from tax outcomes and compare after-tax cash flows.</x:v>
      </x:c>
      <x:c r="H1581" s="9" t="str">
        <x:v>Suggested learning order; learners can still explore freely.</x:v>
      </x:c>
      <x:c r="I1581" s="9" t="str">
        <x:v>Curated curriculum relationship</x:v>
      </x:c>
    </x:row>
    <x:row r="1582" ht="58" customHeight="1">
      <x:c r="A1582" s="10" t="str">
        <x:v>E1577</x:v>
      </x:c>
      <x:c r="B1582" s="10" t="str">
        <x:v>T31.15</x:v>
      </x:c>
      <x:c r="C1582" s="10" t="str">
        <x:v>Tax planning versus tax evasion</x:v>
      </x:c>
      <x:c r="D1582" s="14" t="str">
        <x:v>PART_OF</x:v>
      </x:c>
      <x:c r="E1582" s="10" t="str">
        <x:v>D31</x:v>
      </x:c>
      <x:c r="F1582" s="10" t="str">
        <x:v>Taxation in finance</x:v>
      </x:c>
      <x:c r="G1582" s="10" t="str">
        <x:v>Curriculum membership. Use this link to move between the topic and its finance area.</x:v>
      </x:c>
      <x:c r="H1582" s="10" t="str">
        <x:v>Classification only; this edge is not a causal or calculation relationship.</x:v>
      </x:c>
      <x:c r="I1582" s="10" t="str">
        <x:v>Curated curriculum relationship</x:v>
      </x:c>
    </x:row>
    <x:row r="1583" ht="58" customHeight="1">
      <x:c r="A1583" s="9" t="str">
        <x:v>E1578</x:v>
      </x:c>
      <x:c r="B1583" s="9" t="str">
        <x:v>T31.15</x:v>
      </x:c>
      <x:c r="C1583" s="9" t="str">
        <x:v>Tax planning versus tax evasion</x:v>
      </x:c>
      <x:c r="D1583" s="15" t="str">
        <x:v>EXPLORE_WITH</x:v>
      </x:c>
      <x:c r="E1583" s="9" t="str">
        <x:v>T31.04</x:v>
      </x:c>
      <x:c r="F1583" s="9" t="str">
        <x:v>Individual and corporate taxation</x:v>
      </x:c>
      <x:c r="G1583" s="9" t="str">
        <x:v>Study these together to distinguish accounting outcomes from tax outcomes and compare after-tax cash flows.</x:v>
      </x:c>
      <x:c r="H1583" s="9" t="str">
        <x:v>A topical exploration link, not a claim that one determines the other.</x:v>
      </x:c>
      <x:c r="I1583" s="9" t="str">
        <x:v>Curated curriculum relationship</x:v>
      </x:c>
    </x:row>
    <x:row r="1584" ht="58" customHeight="1">
      <x:c r="A1584" s="10" t="str">
        <x:v>E1579</x:v>
      </x:c>
      <x:c r="B1584" s="10" t="str">
        <x:v>T04.05</x:v>
      </x:c>
      <x:c r="C1584" s="10" t="str">
        <x:v>Cash accounting versus accrual accounting</x:v>
      </x:c>
      <x:c r="D1584" s="14" t="str">
        <x:v>RECOMMENDED_BEFORE</x:v>
      </x:c>
      <x:c r="E1584" s="10" t="str">
        <x:v>T31.15</x:v>
      </x:c>
      <x:c r="F1584" s="10" t="str">
        <x:v>Tax planning versus tax evasion</x:v>
      </x:c>
      <x:c r="G1584" s="10" t="str">
        <x:v>Suggested starting knowledge: Cash accounting versus accrual accounting. It helps you distinguish accounting outcomes from tax outcomes and compare after-tax cash flows.</x:v>
      </x:c>
      <x:c r="H1584" s="10" t="str">
        <x:v>Suggested learning order; learners can still explore freely.</x:v>
      </x:c>
      <x:c r="I1584" s="10" t="str">
        <x:v>Curated curriculum relationship</x:v>
      </x:c>
    </x:row>
    <x:row r="1585" ht="58" customHeight="1">
      <x:c r="A1585" s="9" t="str">
        <x:v>E1580</x:v>
      </x:c>
      <x:c r="B1585" s="9" t="str">
        <x:v>T31.16</x:v>
      </x:c>
      <x:c r="C1585" s="9" t="str">
        <x:v>After-tax returns and tax-aware valuation</x:v>
      </x:c>
      <x:c r="D1585" s="15" t="str">
        <x:v>PART_OF</x:v>
      </x:c>
      <x:c r="E1585" s="9" t="str">
        <x:v>D31</x:v>
      </x:c>
      <x:c r="F1585" s="9" t="str">
        <x:v>Taxation in finance</x:v>
      </x:c>
      <x:c r="G1585" s="9" t="str">
        <x:v>Curriculum membership. Use this link to move between the topic and its finance area.</x:v>
      </x:c>
      <x:c r="H1585" s="9" t="str">
        <x:v>Classification only; this edge is not a causal or calculation relationship.</x:v>
      </x:c>
      <x:c r="I1585" s="9" t="str">
        <x:v>Curated curriculum relationship</x:v>
      </x:c>
    </x:row>
    <x:row r="1586" ht="58" customHeight="1">
      <x:c r="A1586" s="10" t="str">
        <x:v>E1581</x:v>
      </x:c>
      <x:c r="B1586" s="10" t="str">
        <x:v>T31.16</x:v>
      </x:c>
      <x:c r="C1586" s="10" t="str">
        <x:v>After-tax returns and tax-aware valuation</x:v>
      </x:c>
      <x:c r="D1586" s="14" t="str">
        <x:v>EXPLORE_WITH</x:v>
      </x:c>
      <x:c r="E1586" s="10" t="str">
        <x:v>T31.05</x:v>
      </x:c>
      <x:c r="F1586" s="10" t="str">
        <x:v>Capital gains, dividends, and interest taxation</x:v>
      </x:c>
      <x:c r="G1586" s="10" t="str">
        <x:v>Study these together to distinguish accounting outcomes from tax outcomes and compare after-tax cash flows.</x:v>
      </x:c>
      <x:c r="H1586" s="10" t="str">
        <x:v>A topical exploration link, not a claim that one determines the other.</x:v>
      </x:c>
      <x:c r="I1586" s="10" t="str">
        <x:v>Curated curriculum relationship</x:v>
      </x:c>
    </x:row>
    <x:row r="1587" ht="58" customHeight="1">
      <x:c r="A1587" s="9" t="str">
        <x:v>E1582</x:v>
      </x:c>
      <x:c r="B1587" s="9" t="str">
        <x:v>T04.05</x:v>
      </x:c>
      <x:c r="C1587" s="9" t="str">
        <x:v>Cash accounting versus accrual accounting</x:v>
      </x:c>
      <x:c r="D1587" s="15" t="str">
        <x:v>RECOMMENDED_BEFORE</x:v>
      </x:c>
      <x:c r="E1587" s="9" t="str">
        <x:v>T31.16</x:v>
      </x:c>
      <x:c r="F1587" s="9" t="str">
        <x:v>After-tax returns and tax-aware valuation</x:v>
      </x:c>
      <x:c r="G1587" s="9" t="str">
        <x:v>Suggested starting knowledge: Cash accounting versus accrual accounting. It helps you distinguish accounting outcomes from tax outcomes and compare after-tax cash flows.</x:v>
      </x:c>
      <x:c r="H1587" s="9" t="str">
        <x:v>Suggested learning order; learners can still explore freely.</x:v>
      </x:c>
      <x:c r="I1587" s="9" t="str">
        <x:v>Curated curriculum relationship</x:v>
      </x:c>
    </x:row>
    <x:row r="1588" ht="58" customHeight="1">
      <x:c r="A1588" s="10" t="str">
        <x:v>E1583</x:v>
      </x:c>
      <x:c r="B1588" s="10" t="str">
        <x:v>T32.01</x:v>
      </x:c>
      <x:c r="C1588" s="10" t="str">
        <x:v>GDP, growth, productivity, and business cycles</x:v>
      </x:c>
      <x:c r="D1588" s="14" t="str">
        <x:v>PART_OF</x:v>
      </x:c>
      <x:c r="E1588" s="10" t="str">
        <x:v>D32</x:v>
      </x:c>
      <x:c r="F1588" s="10" t="str">
        <x:v>Macroeconomics, monetary policy, and public finance</x:v>
      </x:c>
      <x:c r="G1588" s="10" t="str">
        <x:v>Curriculum membership. Use this link to move between the topic and its finance area.</x:v>
      </x:c>
      <x:c r="H1588" s="10" t="str">
        <x:v>Classification only; this edge is not a causal or calculation relationship.</x:v>
      </x:c>
      <x:c r="I1588" s="10" t="str">
        <x:v>Curated curriculum relationship</x:v>
      </x:c>
    </x:row>
    <x:row r="1589" ht="58" customHeight="1">
      <x:c r="A1589" s="9" t="str">
        <x:v>E1584</x:v>
      </x:c>
      <x:c r="B1589" s="9" t="str">
        <x:v>T32.01</x:v>
      </x:c>
      <x:c r="C1589" s="9" t="str">
        <x:v>GDP, growth, productivity, and business cycles</x:v>
      </x:c>
      <x:c r="D1589" s="15" t="str">
        <x:v>EXPLORE_WITH</x:v>
      </x:c>
      <x:c r="E1589" s="9" t="str">
        <x:v>T32.15</x:v>
      </x:c>
      <x:c r="F1589" s="9" t="str">
        <x:v>Leading indicators and macroeconomic forecasting</x:v>
      </x:c>
      <x:c r="G1589" s="9" t="str">
        <x:v>Study these together to trace economic conditions and policy transmission into funding, earnings and asset prices.</x:v>
      </x:c>
      <x:c r="H1589" s="9" t="str">
        <x:v>A topical exploration link, not a claim that one determines the other.</x:v>
      </x:c>
      <x:c r="I1589" s="9" t="str">
        <x:v>Curated curriculum relationship</x:v>
      </x:c>
    </x:row>
    <x:row r="1590" ht="58" customHeight="1">
      <x:c r="A1590" s="10" t="str">
        <x:v>E1585</x:v>
      </x:c>
      <x:c r="B1590" s="10" t="str">
        <x:v>T01.03</x:v>
      </x:c>
      <x:c r="C1590" s="10" t="str">
        <x:v>The financial system: households, businesses, governments, and intermediaries</x:v>
      </x:c>
      <x:c r="D1590" s="14" t="str">
        <x:v>RECOMMENDED_BEFORE</x:v>
      </x:c>
      <x:c r="E1590" s="10" t="str">
        <x:v>T32.01</x:v>
      </x:c>
      <x:c r="F1590" s="10" t="str">
        <x:v>GDP, growth, productivity, and business cycles</x:v>
      </x:c>
      <x:c r="G1590" s="10" t="str">
        <x:v>Suggested starting knowledge: The financial system: households, businesses, governments, and intermediaries. It helps you trace economic conditions and policy transmission into funding, earnings and asset prices.</x:v>
      </x:c>
      <x:c r="H1590" s="10" t="str">
        <x:v>Suggested learning order; learners can still explore freely.</x:v>
      </x:c>
      <x:c r="I1590" s="10" t="str">
        <x:v>Curated curriculum relationship</x:v>
      </x:c>
    </x:row>
    <x:row r="1591" ht="58" customHeight="1">
      <x:c r="A1591" s="9" t="str">
        <x:v>E1586</x:v>
      </x:c>
      <x:c r="B1591" s="9" t="str">
        <x:v>T32.02</x:v>
      </x:c>
      <x:c r="C1591" s="9" t="str">
        <x:v>Inflation, disinflation, and deflation</x:v>
      </x:c>
      <x:c r="D1591" s="15" t="str">
        <x:v>PART_OF</x:v>
      </x:c>
      <x:c r="E1591" s="9" t="str">
        <x:v>D32</x:v>
      </x:c>
      <x:c r="F1591" s="9" t="str">
        <x:v>Macroeconomics, monetary policy, and public finance</x:v>
      </x:c>
      <x:c r="G1591" s="9" t="str">
        <x:v>Curriculum membership. Use this link to move between the topic and its finance area.</x:v>
      </x:c>
      <x:c r="H1591" s="9" t="str">
        <x:v>Classification only; this edge is not a causal or calculation relationship.</x:v>
      </x:c>
      <x:c r="I1591" s="9" t="str">
        <x:v>Curated curriculum relationship</x:v>
      </x:c>
    </x:row>
    <x:row r="1592" ht="58" customHeight="1">
      <x:c r="A1592" s="10" t="str">
        <x:v>E1587</x:v>
      </x:c>
      <x:c r="B1592" s="10" t="str">
        <x:v>T32.02</x:v>
      </x:c>
      <x:c r="C1592" s="10" t="str">
        <x:v>Inflation, disinflation, and deflation</x:v>
      </x:c>
      <x:c r="D1592" s="14" t="str">
        <x:v>EXPLORE_WITH</x:v>
      </x:c>
      <x:c r="E1592" s="10" t="str">
        <x:v>T32.05</x:v>
      </x:c>
      <x:c r="F1592" s="10" t="str">
        <x:v>Central banks and monetary transmission</x:v>
      </x:c>
      <x:c r="G1592" s="10" t="str">
        <x:v>Study these together to trace economic conditions and policy transmission into funding, earnings and asset prices.</x:v>
      </x:c>
      <x:c r="H1592" s="10" t="str">
        <x:v>A topical exploration link, not a claim that one determines the other.</x:v>
      </x:c>
      <x:c r="I1592" s="10" t="str">
        <x:v>Curated curriculum relationship</x:v>
      </x:c>
    </x:row>
    <x:row r="1593" ht="58" customHeight="1">
      <x:c r="A1593" s="9" t="str">
        <x:v>E1588</x:v>
      </x:c>
      <x:c r="B1593" s="9" t="str">
        <x:v>T01.03</x:v>
      </x:c>
      <x:c r="C1593" s="9" t="str">
        <x:v>The financial system: households, businesses, governments, and intermediaries</x:v>
      </x:c>
      <x:c r="D1593" s="15" t="str">
        <x:v>RECOMMENDED_BEFORE</x:v>
      </x:c>
      <x:c r="E1593" s="9" t="str">
        <x:v>T32.02</x:v>
      </x:c>
      <x:c r="F1593" s="9" t="str">
        <x:v>Inflation, disinflation, and deflation</x:v>
      </x:c>
      <x:c r="G1593" s="9" t="str">
        <x:v>Suggested starting knowledge: The financial system: households, businesses, governments, and intermediaries. It helps you trace economic conditions and policy transmission into funding, earnings and asset prices.</x:v>
      </x:c>
      <x:c r="H1593" s="9" t="str">
        <x:v>Suggested learning order; learners can still explore freely.</x:v>
      </x:c>
      <x:c r="I1593" s="9" t="str">
        <x:v>Curated curriculum relationship</x:v>
      </x:c>
    </x:row>
    <x:row r="1594" ht="58" customHeight="1">
      <x:c r="A1594" s="10" t="str">
        <x:v>E1589</x:v>
      </x:c>
      <x:c r="B1594" s="10" t="str">
        <x:v>T32.03</x:v>
      </x:c>
      <x:c r="C1594" s="10" t="str">
        <x:v>Employment, wages, and consumption</x:v>
      </x:c>
      <x:c r="D1594" s="14" t="str">
        <x:v>PART_OF</x:v>
      </x:c>
      <x:c r="E1594" s="10" t="str">
        <x:v>D32</x:v>
      </x:c>
      <x:c r="F1594" s="10" t="str">
        <x:v>Macroeconomics, monetary policy, and public finance</x:v>
      </x:c>
      <x:c r="G1594" s="10" t="str">
        <x:v>Curriculum membership. Use this link to move between the topic and its finance area.</x:v>
      </x:c>
      <x:c r="H1594" s="10" t="str">
        <x:v>Classification only; this edge is not a causal or calculation relationship.</x:v>
      </x:c>
      <x:c r="I1594" s="10" t="str">
        <x:v>Curated curriculum relationship</x:v>
      </x:c>
    </x:row>
    <x:row r="1595" ht="58" customHeight="1">
      <x:c r="A1595" s="9" t="str">
        <x:v>E1590</x:v>
      </x:c>
      <x:c r="B1595" s="9" t="str">
        <x:v>T32.03</x:v>
      </x:c>
      <x:c r="C1595" s="9" t="str">
        <x:v>Employment, wages, and consumption</x:v>
      </x:c>
      <x:c r="D1595" s="15" t="str">
        <x:v>EXPLORE_WITH</x:v>
      </x:c>
      <x:c r="E1595" s="9" t="str">
        <x:v>T32.01</x:v>
      </x:c>
      <x:c r="F1595" s="9" t="str">
        <x:v>GDP, growth, productivity, and business cycles</x:v>
      </x:c>
      <x:c r="G1595" s="9" t="str">
        <x:v>Study these together to trace economic conditions and policy transmission into funding, earnings and asset prices.</x:v>
      </x:c>
      <x:c r="H1595" s="9" t="str">
        <x:v>A topical exploration link, not a claim that one determines the other.</x:v>
      </x:c>
      <x:c r="I1595" s="9" t="str">
        <x:v>Curated curriculum relationship</x:v>
      </x:c>
    </x:row>
    <x:row r="1596" ht="58" customHeight="1">
      <x:c r="A1596" s="10" t="str">
        <x:v>E1591</x:v>
      </x:c>
      <x:c r="B1596" s="10" t="str">
        <x:v>T01.03</x:v>
      </x:c>
      <x:c r="C1596" s="10" t="str">
        <x:v>The financial system: households, businesses, governments, and intermediaries</x:v>
      </x:c>
      <x:c r="D1596" s="14" t="str">
        <x:v>RECOMMENDED_BEFORE</x:v>
      </x:c>
      <x:c r="E1596" s="10" t="str">
        <x:v>T32.03</x:v>
      </x:c>
      <x:c r="F1596" s="10" t="str">
        <x:v>Employment, wages, and consumption</x:v>
      </x:c>
      <x:c r="G1596" s="10" t="str">
        <x:v>Suggested starting knowledge: The financial system: households, businesses, governments, and intermediaries. It helps you trace economic conditions and policy transmission into funding, earnings and asset prices.</x:v>
      </x:c>
      <x:c r="H1596" s="10" t="str">
        <x:v>Suggested learning order; learners can still explore freely.</x:v>
      </x:c>
      <x:c r="I1596" s="10" t="str">
        <x:v>Curated curriculum relationship</x:v>
      </x:c>
    </x:row>
    <x:row r="1597" ht="58" customHeight="1">
      <x:c r="A1597" s="9" t="str">
        <x:v>E1592</x:v>
      </x:c>
      <x:c r="B1597" s="9" t="str">
        <x:v>T32.04</x:v>
      </x:c>
      <x:c r="C1597" s="9" t="str">
        <x:v>Money supply, credit, and liquidity</x:v>
      </x:c>
      <x:c r="D1597" s="15" t="str">
        <x:v>PART_OF</x:v>
      </x:c>
      <x:c r="E1597" s="9" t="str">
        <x:v>D32</x:v>
      </x:c>
      <x:c r="F1597" s="9" t="str">
        <x:v>Macroeconomics, monetary policy, and public finance</x:v>
      </x:c>
      <x:c r="G1597" s="9" t="str">
        <x:v>Curriculum membership. Use this link to move between the topic and its finance area.</x:v>
      </x:c>
      <x:c r="H1597" s="9" t="str">
        <x:v>Classification only; this edge is not a causal or calculation relationship.</x:v>
      </x:c>
      <x:c r="I1597" s="9" t="str">
        <x:v>Curated curriculum relationship</x:v>
      </x:c>
    </x:row>
    <x:row r="1598" ht="58" customHeight="1">
      <x:c r="A1598" s="10" t="str">
        <x:v>E1593</x:v>
      </x:c>
      <x:c r="B1598" s="10" t="str">
        <x:v>T32.04</x:v>
      </x:c>
      <x:c r="C1598" s="10" t="str">
        <x:v>Money supply, credit, and liquidity</x:v>
      </x:c>
      <x:c r="D1598" s="14" t="str">
        <x:v>EXPLORE_WITH</x:v>
      </x:c>
      <x:c r="E1598" s="10" t="str">
        <x:v>T32.05</x:v>
      </x:c>
      <x:c r="F1598" s="10" t="str">
        <x:v>Central banks and monetary transmission</x:v>
      </x:c>
      <x:c r="G1598" s="10" t="str">
        <x:v>Study these together to trace economic conditions and policy transmission into funding, earnings and asset prices.</x:v>
      </x:c>
      <x:c r="H1598" s="10" t="str">
        <x:v>A topical exploration link, not a claim that one determines the other.</x:v>
      </x:c>
      <x:c r="I1598" s="10" t="str">
        <x:v>Curated curriculum relationship</x:v>
      </x:c>
    </x:row>
    <x:row r="1599" ht="58" customHeight="1">
      <x:c r="A1599" s="9" t="str">
        <x:v>E1594</x:v>
      </x:c>
      <x:c r="B1599" s="9" t="str">
        <x:v>T01.03</x:v>
      </x:c>
      <x:c r="C1599" s="9" t="str">
        <x:v>The financial system: households, businesses, governments, and intermediaries</x:v>
      </x:c>
      <x:c r="D1599" s="15" t="str">
        <x:v>RECOMMENDED_BEFORE</x:v>
      </x:c>
      <x:c r="E1599" s="9" t="str">
        <x:v>T32.04</x:v>
      </x:c>
      <x:c r="F1599" s="9" t="str">
        <x:v>Money supply, credit, and liquidity</x:v>
      </x:c>
      <x:c r="G1599" s="9" t="str">
        <x:v>Suggested starting knowledge: The financial system: households, businesses, governments, and intermediaries. It helps you trace economic conditions and policy transmission into funding, earnings and asset prices.</x:v>
      </x:c>
      <x:c r="H1599" s="9" t="str">
        <x:v>Suggested learning order; learners can still explore freely.</x:v>
      </x:c>
      <x:c r="I1599" s="9" t="str">
        <x:v>Curated curriculum relationship</x:v>
      </x:c>
    </x:row>
    <x:row r="1600" ht="58" customHeight="1">
      <x:c r="A1600" s="10" t="str">
        <x:v>E1595</x:v>
      </x:c>
      <x:c r="B1600" s="10" t="str">
        <x:v>T32.05</x:v>
      </x:c>
      <x:c r="C1600" s="10" t="str">
        <x:v>Central banks and monetary transmission</x:v>
      </x:c>
      <x:c r="D1600" s="14" t="str">
        <x:v>PART_OF</x:v>
      </x:c>
      <x:c r="E1600" s="10" t="str">
        <x:v>D32</x:v>
      </x:c>
      <x:c r="F1600" s="10" t="str">
        <x:v>Macroeconomics, monetary policy, and public finance</x:v>
      </x:c>
      <x:c r="G1600" s="10" t="str">
        <x:v>Curriculum membership. Use this link to move between the topic and its finance area.</x:v>
      </x:c>
      <x:c r="H1600" s="10" t="str">
        <x:v>Classification only; this edge is not a causal or calculation relationship.</x:v>
      </x:c>
      <x:c r="I1600" s="10" t="str">
        <x:v>Curated curriculum relationship</x:v>
      </x:c>
    </x:row>
    <x:row r="1601" ht="58" customHeight="1">
      <x:c r="A1601" s="9" t="str">
        <x:v>E1596</x:v>
      </x:c>
      <x:c r="B1601" s="9" t="str">
        <x:v>T32.05</x:v>
      </x:c>
      <x:c r="C1601" s="9" t="str">
        <x:v>Central banks and monetary transmission</x:v>
      </x:c>
      <x:c r="D1601" s="15" t="str">
        <x:v>EXPLORE_WITH</x:v>
      </x:c>
      <x:c r="E1601" s="9" t="str">
        <x:v>T32.06</x:v>
      </x:c>
      <x:c r="F1601" s="9" t="str">
        <x:v>Policy rates, reserve requirements, and open-market operations</x:v>
      </x:c>
      <x:c r="G1601" s="9" t="str">
        <x:v>Study these together to trace economic conditions and policy transmission into funding, earnings and asset prices.</x:v>
      </x:c>
      <x:c r="H1601" s="9" t="str">
        <x:v>A topical exploration link, not a claim that one determines the other.</x:v>
      </x:c>
      <x:c r="I1601" s="9" t="str">
        <x:v>Curated curriculum relationship</x:v>
      </x:c>
    </x:row>
    <x:row r="1602" ht="58" customHeight="1">
      <x:c r="A1602" s="10" t="str">
        <x:v>E1597</x:v>
      </x:c>
      <x:c r="B1602" s="10" t="str">
        <x:v>T01.03</x:v>
      </x:c>
      <x:c r="C1602" s="10" t="str">
        <x:v>The financial system: households, businesses, governments, and intermediaries</x:v>
      </x:c>
      <x:c r="D1602" s="14" t="str">
        <x:v>RECOMMENDED_BEFORE</x:v>
      </x:c>
      <x:c r="E1602" s="10" t="str">
        <x:v>T32.05</x:v>
      </x:c>
      <x:c r="F1602" s="10" t="str">
        <x:v>Central banks and monetary transmission</x:v>
      </x:c>
      <x:c r="G1602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02" s="10" t="str">
        <x:v>Suggested learning order; learners can still explore freely.</x:v>
      </x:c>
      <x:c r="I1602" s="10" t="str">
        <x:v>Curated curriculum relationship</x:v>
      </x:c>
    </x:row>
    <x:row r="1603" ht="58" customHeight="1">
      <x:c r="A1603" s="9" t="str">
        <x:v>E1598</x:v>
      </x:c>
      <x:c r="B1603" s="9" t="str">
        <x:v>T32.06</x:v>
      </x:c>
      <x:c r="C1603" s="9" t="str">
        <x:v>Policy rates, reserve requirements, and open-market operations</x:v>
      </x:c>
      <x:c r="D1603" s="15" t="str">
        <x:v>PART_OF</x:v>
      </x:c>
      <x:c r="E1603" s="9" t="str">
        <x:v>D32</x:v>
      </x:c>
      <x:c r="F1603" s="9" t="str">
        <x:v>Macroeconomics, monetary policy, and public finance</x:v>
      </x:c>
      <x:c r="G1603" s="9" t="str">
        <x:v>Curriculum membership. Use this link to move between the topic and its finance area.</x:v>
      </x:c>
      <x:c r="H1603" s="9" t="str">
        <x:v>Classification only; this edge is not a causal or calculation relationship.</x:v>
      </x:c>
      <x:c r="I1603" s="9" t="str">
        <x:v>Curated curriculum relationship</x:v>
      </x:c>
    </x:row>
    <x:row r="1604" ht="58" customHeight="1">
      <x:c r="A1604" s="10" t="str">
        <x:v>E1599</x:v>
      </x:c>
      <x:c r="B1604" s="10" t="str">
        <x:v>T32.06</x:v>
      </x:c>
      <x:c r="C1604" s="10" t="str">
        <x:v>Policy rates, reserve requirements, and open-market operations</x:v>
      </x:c>
      <x:c r="D1604" s="14" t="str">
        <x:v>EXPLORE_WITH</x:v>
      </x:c>
      <x:c r="E1604" s="10" t="str">
        <x:v>T32.07</x:v>
      </x:c>
      <x:c r="F1604" s="10" t="str">
        <x:v>Quantitative easing and tightening</x:v>
      </x:c>
      <x:c r="G1604" s="10" t="str">
        <x:v>Study these together to trace economic conditions and policy transmission into funding, earnings and asset prices.</x:v>
      </x:c>
      <x:c r="H1604" s="10" t="str">
        <x:v>A topical exploration link, not a claim that one determines the other.</x:v>
      </x:c>
      <x:c r="I1604" s="10" t="str">
        <x:v>Curated curriculum relationship</x:v>
      </x:c>
    </x:row>
    <x:row r="1605" ht="58" customHeight="1">
      <x:c r="A1605" s="9" t="str">
        <x:v>E1600</x:v>
      </x:c>
      <x:c r="B1605" s="9" t="str">
        <x:v>T01.03</x:v>
      </x:c>
      <x:c r="C1605" s="9" t="str">
        <x:v>The financial system: households, businesses, governments, and intermediaries</x:v>
      </x:c>
      <x:c r="D1605" s="15" t="str">
        <x:v>RECOMMENDED_BEFORE</x:v>
      </x:c>
      <x:c r="E1605" s="9" t="str">
        <x:v>T32.06</x:v>
      </x:c>
      <x:c r="F1605" s="9" t="str">
        <x:v>Policy rates, reserve requirements, and open-market operations</x:v>
      </x:c>
      <x:c r="G1605" s="9" t="str">
        <x:v>Suggested starting knowledge: The financial system: households, businesses, governments, and intermediaries. It helps you trace economic conditions and policy transmission into funding, earnings and asset prices.</x:v>
      </x:c>
      <x:c r="H1605" s="9" t="str">
        <x:v>Suggested learning order; learners can still explore freely.</x:v>
      </x:c>
      <x:c r="I1605" s="9" t="str">
        <x:v>Curated curriculum relationship</x:v>
      </x:c>
    </x:row>
    <x:row r="1606" ht="58" customHeight="1">
      <x:c r="A1606" s="10" t="str">
        <x:v>E1601</x:v>
      </x:c>
      <x:c r="B1606" s="10" t="str">
        <x:v>T32.07</x:v>
      </x:c>
      <x:c r="C1606" s="10" t="str">
        <x:v>Quantitative easing and tightening</x:v>
      </x:c>
      <x:c r="D1606" s="14" t="str">
        <x:v>PART_OF</x:v>
      </x:c>
      <x:c r="E1606" s="10" t="str">
        <x:v>D32</x:v>
      </x:c>
      <x:c r="F1606" s="10" t="str">
        <x:v>Macroeconomics, monetary policy, and public finance</x:v>
      </x:c>
      <x:c r="G1606" s="10" t="str">
        <x:v>Curriculum membership. Use this link to move between the topic and its finance area.</x:v>
      </x:c>
      <x:c r="H1606" s="10" t="str">
        <x:v>Classification only; this edge is not a causal or calculation relationship.</x:v>
      </x:c>
      <x:c r="I1606" s="10" t="str">
        <x:v>Curated curriculum relationship</x:v>
      </x:c>
    </x:row>
    <x:row r="1607" ht="58" customHeight="1">
      <x:c r="A1607" s="9" t="str">
        <x:v>E1602</x:v>
      </x:c>
      <x:c r="B1607" s="9" t="str">
        <x:v>T32.07</x:v>
      </x:c>
      <x:c r="C1607" s="9" t="str">
        <x:v>Quantitative easing and tightening</x:v>
      </x:c>
      <x:c r="D1607" s="15" t="str">
        <x:v>EXPLORE_WITH</x:v>
      </x:c>
      <x:c r="E1607" s="9" t="str">
        <x:v>T32.06</x:v>
      </x:c>
      <x:c r="F1607" s="9" t="str">
        <x:v>Policy rates, reserve requirements, and open-market operations</x:v>
      </x:c>
      <x:c r="G1607" s="9" t="str">
        <x:v>Study these together to trace economic conditions and policy transmission into funding, earnings and asset prices.</x:v>
      </x:c>
      <x:c r="H1607" s="9" t="str">
        <x:v>A topical exploration link, not a claim that one determines the other.</x:v>
      </x:c>
      <x:c r="I1607" s="9" t="str">
        <x:v>Curated curriculum relationship</x:v>
      </x:c>
    </x:row>
    <x:row r="1608" ht="58" customHeight="1">
      <x:c r="A1608" s="10" t="str">
        <x:v>E1603</x:v>
      </x:c>
      <x:c r="B1608" s="10" t="str">
        <x:v>T01.03</x:v>
      </x:c>
      <x:c r="C1608" s="10" t="str">
        <x:v>The financial system: households, businesses, governments, and intermediaries</x:v>
      </x:c>
      <x:c r="D1608" s="14" t="str">
        <x:v>RECOMMENDED_BEFORE</x:v>
      </x:c>
      <x:c r="E1608" s="10" t="str">
        <x:v>T32.07</x:v>
      </x:c>
      <x:c r="F1608" s="10" t="str">
        <x:v>Quantitative easing and tightening</x:v>
      </x:c>
      <x:c r="G1608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08" s="10" t="str">
        <x:v>Suggested learning order; learners can still explore freely.</x:v>
      </x:c>
      <x:c r="I1608" s="10" t="str">
        <x:v>Curated curriculum relationship</x:v>
      </x:c>
    </x:row>
    <x:row r="1609" ht="58" customHeight="1">
      <x:c r="A1609" s="9" t="str">
        <x:v>E1604</x:v>
      </x:c>
      <x:c r="B1609" s="9" t="str">
        <x:v>T32.08</x:v>
      </x:c>
      <x:c r="C1609" s="9" t="str">
        <x:v>Fiscal policy, taxation, and government spending</x:v>
      </x:c>
      <x:c r="D1609" s="15" t="str">
        <x:v>PART_OF</x:v>
      </x:c>
      <x:c r="E1609" s="9" t="str">
        <x:v>D32</x:v>
      </x:c>
      <x:c r="F1609" s="9" t="str">
        <x:v>Macroeconomics, monetary policy, and public finance</x:v>
      </x:c>
      <x:c r="G1609" s="9" t="str">
        <x:v>Curriculum membership. Use this link to move between the topic and its finance area.</x:v>
      </x:c>
      <x:c r="H1609" s="9" t="str">
        <x:v>Classification only; this edge is not a causal or calculation relationship.</x:v>
      </x:c>
      <x:c r="I1609" s="9" t="str">
        <x:v>Curated curriculum relationship</x:v>
      </x:c>
    </x:row>
    <x:row r="1610" ht="58" customHeight="1">
      <x:c r="A1610" s="10" t="str">
        <x:v>E1605</x:v>
      </x:c>
      <x:c r="B1610" s="10" t="str">
        <x:v>T32.08</x:v>
      </x:c>
      <x:c r="C1610" s="10" t="str">
        <x:v>Fiscal policy, taxation, and government spending</x:v>
      </x:c>
      <x:c r="D1610" s="14" t="str">
        <x:v>EXPLORE_WITH</x:v>
      </x:c>
      <x:c r="E1610" s="10" t="str">
        <x:v>T32.09</x:v>
      </x:c>
      <x:c r="F1610" s="10" t="str">
        <x:v>Fiscal deficits and public debt</x:v>
      </x:c>
      <x:c r="G1610" s="10" t="str">
        <x:v>Study these together to trace economic conditions and policy transmission into funding, earnings and asset prices.</x:v>
      </x:c>
      <x:c r="H1610" s="10" t="str">
        <x:v>A topical exploration link, not a claim that one determines the other.</x:v>
      </x:c>
      <x:c r="I1610" s="10" t="str">
        <x:v>Curated curriculum relationship</x:v>
      </x:c>
    </x:row>
    <x:row r="1611" ht="58" customHeight="1">
      <x:c r="A1611" s="9" t="str">
        <x:v>E1606</x:v>
      </x:c>
      <x:c r="B1611" s="9" t="str">
        <x:v>T01.03</x:v>
      </x:c>
      <x:c r="C1611" s="9" t="str">
        <x:v>The financial system: households, businesses, governments, and intermediaries</x:v>
      </x:c>
      <x:c r="D1611" s="15" t="str">
        <x:v>RECOMMENDED_BEFORE</x:v>
      </x:c>
      <x:c r="E1611" s="9" t="str">
        <x:v>T32.08</x:v>
      </x:c>
      <x:c r="F1611" s="9" t="str">
        <x:v>Fiscal policy, taxation, and government spending</x:v>
      </x:c>
      <x:c r="G1611" s="9" t="str">
        <x:v>Suggested starting knowledge: The financial system: households, businesses, governments, and intermediaries. It helps you trace economic conditions and policy transmission into funding, earnings and asset prices.</x:v>
      </x:c>
      <x:c r="H1611" s="9" t="str">
        <x:v>Suggested learning order; learners can still explore freely.</x:v>
      </x:c>
      <x:c r="I1611" s="9" t="str">
        <x:v>Curated curriculum relationship</x:v>
      </x:c>
    </x:row>
    <x:row r="1612" ht="58" customHeight="1">
      <x:c r="A1612" s="10" t="str">
        <x:v>E1607</x:v>
      </x:c>
      <x:c r="B1612" s="10" t="str">
        <x:v>T32.09</x:v>
      </x:c>
      <x:c r="C1612" s="10" t="str">
        <x:v>Fiscal deficits and public debt</x:v>
      </x:c>
      <x:c r="D1612" s="14" t="str">
        <x:v>PART_OF</x:v>
      </x:c>
      <x:c r="E1612" s="10" t="str">
        <x:v>D32</x:v>
      </x:c>
      <x:c r="F1612" s="10" t="str">
        <x:v>Macroeconomics, monetary policy, and public finance</x:v>
      </x:c>
      <x:c r="G1612" s="10" t="str">
        <x:v>Curriculum membership. Use this link to move between the topic and its finance area.</x:v>
      </x:c>
      <x:c r="H1612" s="10" t="str">
        <x:v>Classification only; this edge is not a causal or calculation relationship.</x:v>
      </x:c>
      <x:c r="I1612" s="10" t="str">
        <x:v>Curated curriculum relationship</x:v>
      </x:c>
    </x:row>
    <x:row r="1613" ht="58" customHeight="1">
      <x:c r="A1613" s="9" t="str">
        <x:v>E1608</x:v>
      </x:c>
      <x:c r="B1613" s="9" t="str">
        <x:v>T32.09</x:v>
      </x:c>
      <x:c r="C1613" s="9" t="str">
        <x:v>Fiscal deficits and public debt</x:v>
      </x:c>
      <x:c r="D1613" s="15" t="str">
        <x:v>EXPLORE_WITH</x:v>
      </x:c>
      <x:c r="E1613" s="9" t="str">
        <x:v>T32.10</x:v>
      </x:c>
      <x:c r="F1613" s="9" t="str">
        <x:v>Sovereign borrowing and debt sustainability</x:v>
      </x:c>
      <x:c r="G1613" s="9" t="str">
        <x:v>Study these together to trace economic conditions and policy transmission into funding, earnings and asset prices.</x:v>
      </x:c>
      <x:c r="H1613" s="9" t="str">
        <x:v>A topical exploration link, not a claim that one determines the other.</x:v>
      </x:c>
      <x:c r="I1613" s="9" t="str">
        <x:v>Curated curriculum relationship</x:v>
      </x:c>
    </x:row>
    <x:row r="1614" ht="58" customHeight="1">
      <x:c r="A1614" s="10" t="str">
        <x:v>E1609</x:v>
      </x:c>
      <x:c r="B1614" s="10" t="str">
        <x:v>T01.03</x:v>
      </x:c>
      <x:c r="C1614" s="10" t="str">
        <x:v>The financial system: households, businesses, governments, and intermediaries</x:v>
      </x:c>
      <x:c r="D1614" s="14" t="str">
        <x:v>RECOMMENDED_BEFORE</x:v>
      </x:c>
      <x:c r="E1614" s="10" t="str">
        <x:v>T32.09</x:v>
      </x:c>
      <x:c r="F1614" s="10" t="str">
        <x:v>Fiscal deficits and public debt</x:v>
      </x:c>
      <x:c r="G1614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14" s="10" t="str">
        <x:v>Suggested learning order; learners can still explore freely.</x:v>
      </x:c>
      <x:c r="I1614" s="10" t="str">
        <x:v>Curated curriculum relationship</x:v>
      </x:c>
    </x:row>
    <x:row r="1615" ht="58" customHeight="1">
      <x:c r="A1615" s="9" t="str">
        <x:v>E1610</x:v>
      </x:c>
      <x:c r="B1615" s="9" t="str">
        <x:v>T32.10</x:v>
      </x:c>
      <x:c r="C1615" s="9" t="str">
        <x:v>Sovereign borrowing and debt sustainability</x:v>
      </x:c>
      <x:c r="D1615" s="15" t="str">
        <x:v>PART_OF</x:v>
      </x:c>
      <x:c r="E1615" s="9" t="str">
        <x:v>D32</x:v>
      </x:c>
      <x:c r="F1615" s="9" t="str">
        <x:v>Macroeconomics, monetary policy, and public finance</x:v>
      </x:c>
      <x:c r="G1615" s="9" t="str">
        <x:v>Curriculum membership. Use this link to move between the topic and its finance area.</x:v>
      </x:c>
      <x:c r="H1615" s="9" t="str">
        <x:v>Classification only; this edge is not a causal or calculation relationship.</x:v>
      </x:c>
      <x:c r="I1615" s="9" t="str">
        <x:v>Curated curriculum relationship</x:v>
      </x:c>
    </x:row>
    <x:row r="1616" ht="58" customHeight="1">
      <x:c r="A1616" s="10" t="str">
        <x:v>E1611</x:v>
      </x:c>
      <x:c r="B1616" s="10" t="str">
        <x:v>T32.10</x:v>
      </x:c>
      <x:c r="C1616" s="10" t="str">
        <x:v>Sovereign borrowing and debt sustainability</x:v>
      </x:c>
      <x:c r="D1616" s="14" t="str">
        <x:v>EXPLORE_WITH</x:v>
      </x:c>
      <x:c r="E1616" s="10" t="str">
        <x:v>T32.09</x:v>
      </x:c>
      <x:c r="F1616" s="10" t="str">
        <x:v>Fiscal deficits and public debt</x:v>
      </x:c>
      <x:c r="G1616" s="10" t="str">
        <x:v>Study these together to trace economic conditions and policy transmission into funding, earnings and asset prices.</x:v>
      </x:c>
      <x:c r="H1616" s="10" t="str">
        <x:v>A topical exploration link, not a claim that one determines the other.</x:v>
      </x:c>
      <x:c r="I1616" s="10" t="str">
        <x:v>Curated curriculum relationship</x:v>
      </x:c>
    </x:row>
    <x:row r="1617" ht="58" customHeight="1">
      <x:c r="A1617" s="9" t="str">
        <x:v>E1612</x:v>
      </x:c>
      <x:c r="B1617" s="9" t="str">
        <x:v>T01.03</x:v>
      </x:c>
      <x:c r="C1617" s="9" t="str">
        <x:v>The financial system: households, businesses, governments, and intermediaries</x:v>
      </x:c>
      <x:c r="D1617" s="15" t="str">
        <x:v>RECOMMENDED_BEFORE</x:v>
      </x:c>
      <x:c r="E1617" s="9" t="str">
        <x:v>T32.10</x:v>
      </x:c>
      <x:c r="F1617" s="9" t="str">
        <x:v>Sovereign borrowing and debt sustainability</x:v>
      </x:c>
      <x:c r="G1617" s="9" t="str">
        <x:v>Suggested starting knowledge: The financial system: households, businesses, governments, and intermediaries. It helps you trace economic conditions and policy transmission into funding, earnings and asset prices.</x:v>
      </x:c>
      <x:c r="H1617" s="9" t="str">
        <x:v>Suggested learning order; learners can still explore freely.</x:v>
      </x:c>
      <x:c r="I1617" s="9" t="str">
        <x:v>Curated curriculum relationship</x:v>
      </x:c>
    </x:row>
    <x:row r="1618" ht="58" customHeight="1">
      <x:c r="A1618" s="10" t="str">
        <x:v>E1613</x:v>
      </x:c>
      <x:c r="B1618" s="10" t="str">
        <x:v>T32.11</x:v>
      </x:c>
      <x:c r="C1618" s="10" t="str">
        <x:v>Balance of payments and international capital flows</x:v>
      </x:c>
      <x:c r="D1618" s="14" t="str">
        <x:v>PART_OF</x:v>
      </x:c>
      <x:c r="E1618" s="10" t="str">
        <x:v>D32</x:v>
      </x:c>
      <x:c r="F1618" s="10" t="str">
        <x:v>Macroeconomics, monetary policy, and public finance</x:v>
      </x:c>
      <x:c r="G1618" s="10" t="str">
        <x:v>Curriculum membership. Use this link to move between the topic and its finance area.</x:v>
      </x:c>
      <x:c r="H1618" s="10" t="str">
        <x:v>Classification only; this edge is not a causal or calculation relationship.</x:v>
      </x:c>
      <x:c r="I1618" s="10" t="str">
        <x:v>Curated curriculum relationship</x:v>
      </x:c>
    </x:row>
    <x:row r="1619" ht="58" customHeight="1">
      <x:c r="A1619" s="9" t="str">
        <x:v>E1614</x:v>
      </x:c>
      <x:c r="B1619" s="9" t="str">
        <x:v>T32.11</x:v>
      </x:c>
      <x:c r="C1619" s="9" t="str">
        <x:v>Balance of payments and international capital flows</x:v>
      </x:c>
      <x:c r="D1619" s="15" t="str">
        <x:v>EXPLORE_WITH</x:v>
      </x:c>
      <x:c r="E1619" s="9" t="str">
        <x:v>T32.12</x:v>
      </x:c>
      <x:c r="F1619" s="9" t="str">
        <x:v>Exchange-rate regimes</x:v>
      </x:c>
      <x:c r="G1619" s="9" t="str">
        <x:v>Study these together to trace economic conditions and policy transmission into funding, earnings and asset prices.</x:v>
      </x:c>
      <x:c r="H1619" s="9" t="str">
        <x:v>A topical exploration link, not a claim that one determines the other.</x:v>
      </x:c>
      <x:c r="I1619" s="9" t="str">
        <x:v>Curated curriculum relationship</x:v>
      </x:c>
    </x:row>
    <x:row r="1620" ht="58" customHeight="1">
      <x:c r="A1620" s="10" t="str">
        <x:v>E1615</x:v>
      </x:c>
      <x:c r="B1620" s="10" t="str">
        <x:v>T01.03</x:v>
      </x:c>
      <x:c r="C1620" s="10" t="str">
        <x:v>The financial system: households, businesses, governments, and intermediaries</x:v>
      </x:c>
      <x:c r="D1620" s="14" t="str">
        <x:v>RECOMMENDED_BEFORE</x:v>
      </x:c>
      <x:c r="E1620" s="10" t="str">
        <x:v>T32.11</x:v>
      </x:c>
      <x:c r="F1620" s="10" t="str">
        <x:v>Balance of payments and international capital flows</x:v>
      </x:c>
      <x:c r="G1620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20" s="10" t="str">
        <x:v>Suggested learning order; learners can still explore freely.</x:v>
      </x:c>
      <x:c r="I1620" s="10" t="str">
        <x:v>Curated curriculum relationship</x:v>
      </x:c>
    </x:row>
    <x:row r="1621" ht="58" customHeight="1">
      <x:c r="A1621" s="9" t="str">
        <x:v>E1616</x:v>
      </x:c>
      <x:c r="B1621" s="9" t="str">
        <x:v>T32.12</x:v>
      </x:c>
      <x:c r="C1621" s="9" t="str">
        <x:v>Exchange-rate regimes</x:v>
      </x:c>
      <x:c r="D1621" s="15" t="str">
        <x:v>PART_OF</x:v>
      </x:c>
      <x:c r="E1621" s="9" t="str">
        <x:v>D32</x:v>
      </x:c>
      <x:c r="F1621" s="9" t="str">
        <x:v>Macroeconomics, monetary policy, and public finance</x:v>
      </x:c>
      <x:c r="G1621" s="9" t="str">
        <x:v>Curriculum membership. Use this link to move between the topic and its finance area.</x:v>
      </x:c>
      <x:c r="H1621" s="9" t="str">
        <x:v>Classification only; this edge is not a causal or calculation relationship.</x:v>
      </x:c>
      <x:c r="I1621" s="9" t="str">
        <x:v>Curated curriculum relationship</x:v>
      </x:c>
    </x:row>
    <x:row r="1622" ht="58" customHeight="1">
      <x:c r="A1622" s="10" t="str">
        <x:v>E1617</x:v>
      </x:c>
      <x:c r="B1622" s="10" t="str">
        <x:v>T32.12</x:v>
      </x:c>
      <x:c r="C1622" s="10" t="str">
        <x:v>Exchange-rate regimes</x:v>
      </x:c>
      <x:c r="D1622" s="14" t="str">
        <x:v>EXPLORE_WITH</x:v>
      </x:c>
      <x:c r="E1622" s="10" t="str">
        <x:v>T32.11</x:v>
      </x:c>
      <x:c r="F1622" s="10" t="str">
        <x:v>Balance of payments and international capital flows</x:v>
      </x:c>
      <x:c r="G1622" s="10" t="str">
        <x:v>Study these together to trace economic conditions and policy transmission into funding, earnings and asset prices.</x:v>
      </x:c>
      <x:c r="H1622" s="10" t="str">
        <x:v>A topical exploration link, not a claim that one determines the other.</x:v>
      </x:c>
      <x:c r="I1622" s="10" t="str">
        <x:v>Curated curriculum relationship</x:v>
      </x:c>
    </x:row>
    <x:row r="1623" ht="58" customHeight="1">
      <x:c r="A1623" s="9" t="str">
        <x:v>E1618</x:v>
      </x:c>
      <x:c r="B1623" s="9" t="str">
        <x:v>T01.03</x:v>
      </x:c>
      <x:c r="C1623" s="9" t="str">
        <x:v>The financial system: households, businesses, governments, and intermediaries</x:v>
      </x:c>
      <x:c r="D1623" s="15" t="str">
        <x:v>RECOMMENDED_BEFORE</x:v>
      </x:c>
      <x:c r="E1623" s="9" t="str">
        <x:v>T32.12</x:v>
      </x:c>
      <x:c r="F1623" s="9" t="str">
        <x:v>Exchange-rate regimes</x:v>
      </x:c>
      <x:c r="G1623" s="9" t="str">
        <x:v>Suggested starting knowledge: The financial system: households, businesses, governments, and intermediaries. It helps you trace economic conditions and policy transmission into funding, earnings and asset prices.</x:v>
      </x:c>
      <x:c r="H1623" s="9" t="str">
        <x:v>Suggested learning order; learners can still explore freely.</x:v>
      </x:c>
      <x:c r="I1623" s="9" t="str">
        <x:v>Curated curriculum relationship</x:v>
      </x:c>
    </x:row>
    <x:row r="1624" ht="58" customHeight="1">
      <x:c r="A1624" s="10" t="str">
        <x:v>E1619</x:v>
      </x:c>
      <x:c r="B1624" s="10" t="str">
        <x:v>T32.13</x:v>
      </x:c>
      <x:c r="C1624" s="10" t="str">
        <x:v>Sovereign credit risk</x:v>
      </x:c>
      <x:c r="D1624" s="14" t="str">
        <x:v>PART_OF</x:v>
      </x:c>
      <x:c r="E1624" s="10" t="str">
        <x:v>D32</x:v>
      </x:c>
      <x:c r="F1624" s="10" t="str">
        <x:v>Macroeconomics, monetary policy, and public finance</x:v>
      </x:c>
      <x:c r="G1624" s="10" t="str">
        <x:v>Curriculum membership. Use this link to move between the topic and its finance area.</x:v>
      </x:c>
      <x:c r="H1624" s="10" t="str">
        <x:v>Classification only; this edge is not a causal or calculation relationship.</x:v>
      </x:c>
      <x:c r="I1624" s="10" t="str">
        <x:v>Curated curriculum relationship</x:v>
      </x:c>
    </x:row>
    <x:row r="1625" ht="58" customHeight="1">
      <x:c r="A1625" s="9" t="str">
        <x:v>E1620</x:v>
      </x:c>
      <x:c r="B1625" s="9" t="str">
        <x:v>T32.13</x:v>
      </x:c>
      <x:c r="C1625" s="9" t="str">
        <x:v>Sovereign credit risk</x:v>
      </x:c>
      <x:c r="D1625" s="15" t="str">
        <x:v>EXPLORE_WITH</x:v>
      </x:c>
      <x:c r="E1625" s="9" t="str">
        <x:v>T32.10</x:v>
      </x:c>
      <x:c r="F1625" s="9" t="str">
        <x:v>Sovereign borrowing and debt sustainability</x:v>
      </x:c>
      <x:c r="G1625" s="9" t="str">
        <x:v>Study these together to trace economic conditions and policy transmission into funding, earnings and asset prices.</x:v>
      </x:c>
      <x:c r="H1625" s="9" t="str">
        <x:v>A topical exploration link, not a claim that one determines the other.</x:v>
      </x:c>
      <x:c r="I1625" s="9" t="str">
        <x:v>Curated curriculum relationship</x:v>
      </x:c>
    </x:row>
    <x:row r="1626" ht="58" customHeight="1">
      <x:c r="A1626" s="10" t="str">
        <x:v>E1621</x:v>
      </x:c>
      <x:c r="B1626" s="10" t="str">
        <x:v>T01.03</x:v>
      </x:c>
      <x:c r="C1626" s="10" t="str">
        <x:v>The financial system: households, businesses, governments, and intermediaries</x:v>
      </x:c>
      <x:c r="D1626" s="14" t="str">
        <x:v>RECOMMENDED_BEFORE</x:v>
      </x:c>
      <x:c r="E1626" s="10" t="str">
        <x:v>T32.13</x:v>
      </x:c>
      <x:c r="F1626" s="10" t="str">
        <x:v>Sovereign credit risk</x:v>
      </x:c>
      <x:c r="G1626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26" s="10" t="str">
        <x:v>Suggested learning order; learners can still explore freely.</x:v>
      </x:c>
      <x:c r="I1626" s="10" t="str">
        <x:v>Curated curriculum relationship</x:v>
      </x:c>
    </x:row>
    <x:row r="1627" ht="58" customHeight="1">
      <x:c r="A1627" s="9" t="str">
        <x:v>E1622</x:v>
      </x:c>
      <x:c r="B1627" s="9" t="str">
        <x:v>T32.14</x:v>
      </x:c>
      <x:c r="C1627" s="9" t="str">
        <x:v>Financial repression and capital controls</x:v>
      </x:c>
      <x:c r="D1627" s="15" t="str">
        <x:v>PART_OF</x:v>
      </x:c>
      <x:c r="E1627" s="9" t="str">
        <x:v>D32</x:v>
      </x:c>
      <x:c r="F1627" s="9" t="str">
        <x:v>Macroeconomics, monetary policy, and public finance</x:v>
      </x:c>
      <x:c r="G1627" s="9" t="str">
        <x:v>Curriculum membership. Use this link to move between the topic and its finance area.</x:v>
      </x:c>
      <x:c r="H1627" s="9" t="str">
        <x:v>Classification only; this edge is not a causal or calculation relationship.</x:v>
      </x:c>
      <x:c r="I1627" s="9" t="str">
        <x:v>Curated curriculum relationship</x:v>
      </x:c>
    </x:row>
    <x:row r="1628" ht="58" customHeight="1">
      <x:c r="A1628" s="10" t="str">
        <x:v>E1623</x:v>
      </x:c>
      <x:c r="B1628" s="10" t="str">
        <x:v>T32.14</x:v>
      </x:c>
      <x:c r="C1628" s="10" t="str">
        <x:v>Financial repression and capital controls</x:v>
      </x:c>
      <x:c r="D1628" s="14" t="str">
        <x:v>EXPLORE_WITH</x:v>
      </x:c>
      <x:c r="E1628" s="10" t="str">
        <x:v>T32.12</x:v>
      </x:c>
      <x:c r="F1628" s="10" t="str">
        <x:v>Exchange-rate regimes</x:v>
      </x:c>
      <x:c r="G1628" s="10" t="str">
        <x:v>Study these together to trace economic conditions and policy transmission into funding, earnings and asset prices.</x:v>
      </x:c>
      <x:c r="H1628" s="10" t="str">
        <x:v>A topical exploration link, not a claim that one determines the other.</x:v>
      </x:c>
      <x:c r="I1628" s="10" t="str">
        <x:v>Curated curriculum relationship</x:v>
      </x:c>
    </x:row>
    <x:row r="1629" ht="58" customHeight="1">
      <x:c r="A1629" s="9" t="str">
        <x:v>E1624</x:v>
      </x:c>
      <x:c r="B1629" s="9" t="str">
        <x:v>T01.03</x:v>
      </x:c>
      <x:c r="C1629" s="9" t="str">
        <x:v>The financial system: households, businesses, governments, and intermediaries</x:v>
      </x:c>
      <x:c r="D1629" s="15" t="str">
        <x:v>RECOMMENDED_BEFORE</x:v>
      </x:c>
      <x:c r="E1629" s="9" t="str">
        <x:v>T32.14</x:v>
      </x:c>
      <x:c r="F1629" s="9" t="str">
        <x:v>Financial repression and capital controls</x:v>
      </x:c>
      <x:c r="G1629" s="9" t="str">
        <x:v>Suggested starting knowledge: The financial system: households, businesses, governments, and intermediaries. It helps you trace economic conditions and policy transmission into funding, earnings and asset prices.</x:v>
      </x:c>
      <x:c r="H1629" s="9" t="str">
        <x:v>Suggested learning order; learners can still explore freely.</x:v>
      </x:c>
      <x:c r="I1629" s="9" t="str">
        <x:v>Curated curriculum relationship</x:v>
      </x:c>
    </x:row>
    <x:row r="1630" ht="58" customHeight="1">
      <x:c r="A1630" s="10" t="str">
        <x:v>E1625</x:v>
      </x:c>
      <x:c r="B1630" s="10" t="str">
        <x:v>T32.15</x:v>
      </x:c>
      <x:c r="C1630" s="10" t="str">
        <x:v>Leading indicators and macroeconomic forecasting</x:v>
      </x:c>
      <x:c r="D1630" s="14" t="str">
        <x:v>PART_OF</x:v>
      </x:c>
      <x:c r="E1630" s="10" t="str">
        <x:v>D32</x:v>
      </x:c>
      <x:c r="F1630" s="10" t="str">
        <x:v>Macroeconomics, monetary policy, and public finance</x:v>
      </x:c>
      <x:c r="G1630" s="10" t="str">
        <x:v>Curriculum membership. Use this link to move between the topic and its finance area.</x:v>
      </x:c>
      <x:c r="H1630" s="10" t="str">
        <x:v>Classification only; this edge is not a causal or calculation relationship.</x:v>
      </x:c>
      <x:c r="I1630" s="10" t="str">
        <x:v>Curated curriculum relationship</x:v>
      </x:c>
    </x:row>
    <x:row r="1631" ht="58" customHeight="1">
      <x:c r="A1631" s="9" t="str">
        <x:v>E1626</x:v>
      </x:c>
      <x:c r="B1631" s="9" t="str">
        <x:v>T32.15</x:v>
      </x:c>
      <x:c r="C1631" s="9" t="str">
        <x:v>Leading indicators and macroeconomic forecasting</x:v>
      </x:c>
      <x:c r="D1631" s="15" t="str">
        <x:v>EXPLORE_WITH</x:v>
      </x:c>
      <x:c r="E1631" s="9" t="str">
        <x:v>T32.01</x:v>
      </x:c>
      <x:c r="F1631" s="9" t="str">
        <x:v>GDP, growth, productivity, and business cycles</x:v>
      </x:c>
      <x:c r="G1631" s="9" t="str">
        <x:v>Study these together to trace economic conditions and policy transmission into funding, earnings and asset prices.</x:v>
      </x:c>
      <x:c r="H1631" s="9" t="str">
        <x:v>A topical exploration link, not a claim that one determines the other.</x:v>
      </x:c>
      <x:c r="I1631" s="9" t="str">
        <x:v>Curated curriculum relationship</x:v>
      </x:c>
    </x:row>
    <x:row r="1632" ht="58" customHeight="1">
      <x:c r="A1632" s="10" t="str">
        <x:v>E1627</x:v>
      </x:c>
      <x:c r="B1632" s="10" t="str">
        <x:v>T01.03</x:v>
      </x:c>
      <x:c r="C1632" s="10" t="str">
        <x:v>The financial system: households, businesses, governments, and intermediaries</x:v>
      </x:c>
      <x:c r="D1632" s="14" t="str">
        <x:v>RECOMMENDED_BEFORE</x:v>
      </x:c>
      <x:c r="E1632" s="10" t="str">
        <x:v>T32.15</x:v>
      </x:c>
      <x:c r="F1632" s="10" t="str">
        <x:v>Leading indicators and macroeconomic forecasting</x:v>
      </x:c>
      <x:c r="G1632" s="10" t="str">
        <x:v>Suggested starting knowledge: The financial system: households, businesses, governments, and intermediaries. It helps you trace economic conditions and policy transmission into funding, earnings and asset prices.</x:v>
      </x:c>
      <x:c r="H1632" s="10" t="str">
        <x:v>Suggested learning order; learners can still explore freely.</x:v>
      </x:c>
      <x:c r="I1632" s="10" t="str">
        <x:v>Curated curriculum relationship</x:v>
      </x:c>
    </x:row>
    <x:row r="1633" ht="58" customHeight="1">
      <x:c r="A1633" s="9" t="str">
        <x:v>E1628</x:v>
      </x:c>
      <x:c r="B1633" s="9" t="str">
        <x:v>T32.16</x:v>
      </x:c>
      <x:c r="C1633" s="9" t="str">
        <x:v>How macroeconomic changes affect companies, valuations, and portfolios</x:v>
      </x:c>
      <x:c r="D1633" s="15" t="str">
        <x:v>PART_OF</x:v>
      </x:c>
      <x:c r="E1633" s="9" t="str">
        <x:v>D32</x:v>
      </x:c>
      <x:c r="F1633" s="9" t="str">
        <x:v>Macroeconomics, monetary policy, and public finance</x:v>
      </x:c>
      <x:c r="G1633" s="9" t="str">
        <x:v>Curriculum membership. Use this link to move between the topic and its finance area.</x:v>
      </x:c>
      <x:c r="H1633" s="9" t="str">
        <x:v>Classification only; this edge is not a causal or calculation relationship.</x:v>
      </x:c>
      <x:c r="I1633" s="9" t="str">
        <x:v>Curated curriculum relationship</x:v>
      </x:c>
    </x:row>
    <x:row r="1634" ht="58" customHeight="1">
      <x:c r="A1634" s="10" t="str">
        <x:v>E1629</x:v>
      </x:c>
      <x:c r="B1634" s="10" t="str">
        <x:v>T32.16</x:v>
      </x:c>
      <x:c r="C1634" s="10" t="str">
        <x:v>How macroeconomic changes affect companies, valuations, and portfolios</x:v>
      </x:c>
      <x:c r="D1634" s="14" t="str">
        <x:v>EXPLORE_WITH</x:v>
      </x:c>
      <x:c r="E1634" s="10" t="str">
        <x:v>T32.05</x:v>
      </x:c>
      <x:c r="F1634" s="10" t="str">
        <x:v>Central banks and monetary transmission</x:v>
      </x:c>
      <x:c r="G1634" s="10" t="str">
        <x:v>Study these together to trace economic conditions and policy transmission into funding, earnings and asset prices.</x:v>
      </x:c>
      <x:c r="H1634" s="10" t="str">
        <x:v>A topical exploration link, not a claim that one determines the other.</x:v>
      </x:c>
      <x:c r="I1634" s="10" t="str">
        <x:v>Curated curriculum relationship</x:v>
      </x:c>
    </x:row>
    <x:row r="1635" ht="58" customHeight="1">
      <x:c r="A1635" s="9" t="str">
        <x:v>E1630</x:v>
      </x:c>
      <x:c r="B1635" s="9" t="str">
        <x:v>T01.03</x:v>
      </x:c>
      <x:c r="C1635" s="9" t="str">
        <x:v>The financial system: households, businesses, governments, and intermediaries</x:v>
      </x:c>
      <x:c r="D1635" s="15" t="str">
        <x:v>RECOMMENDED_BEFORE</x:v>
      </x:c>
      <x:c r="E1635" s="9" t="str">
        <x:v>T32.16</x:v>
      </x:c>
      <x:c r="F1635" s="9" t="str">
        <x:v>How macroeconomic changes affect companies, valuations, and portfolios</x:v>
      </x:c>
      <x:c r="G1635" s="9" t="str">
        <x:v>Suggested starting knowledge: The financial system: households, businesses, governments, and intermediaries. It helps you trace economic conditions and policy transmission into funding, earnings and asset prices.</x:v>
      </x:c>
      <x:c r="H1635" s="9" t="str">
        <x:v>Suggested learning order; learners can still explore freely.</x:v>
      </x:c>
      <x:c r="I1635" s="9" t="str">
        <x:v>Curated curriculum relationship</x:v>
      </x:c>
    </x:row>
    <x:row r="1636" ht="58" customHeight="1">
      <x:c r="A1636" s="10" t="str">
        <x:v>E1631</x:v>
      </x:c>
      <x:c r="B1636" s="10" t="str">
        <x:v>T33.01</x:v>
      </x:c>
      <x:c r="C1636" s="10" t="str">
        <x:v>Currency quotations and cross-rates</x:v>
      </x:c>
      <x:c r="D1636" s="14" t="str">
        <x:v>PART_OF</x:v>
      </x:c>
      <x:c r="E1636" s="10" t="str">
        <x:v>D33</x:v>
      </x:c>
      <x:c r="F1636" s="10" t="str">
        <x:v>International finance and foreign exchange</x:v>
      </x:c>
      <x:c r="G1636" s="10" t="str">
        <x:v>Curriculum membership. Use this link to move between the topic and its finance area.</x:v>
      </x:c>
      <x:c r="H1636" s="10" t="str">
        <x:v>Classification only; this edge is not a causal or calculation relationship.</x:v>
      </x:c>
      <x:c r="I1636" s="10" t="str">
        <x:v>Curated curriculum relationship</x:v>
      </x:c>
    </x:row>
    <x:row r="1637" ht="58" customHeight="1">
      <x:c r="A1637" s="9" t="str">
        <x:v>E1632</x:v>
      </x:c>
      <x:c r="B1637" s="9" t="str">
        <x:v>T33.01</x:v>
      </x:c>
      <x:c r="C1637" s="9" t="str">
        <x:v>Currency quotations and cross-rates</x:v>
      </x:c>
      <x:c r="D1637" s="15" t="str">
        <x:v>EXPLORE_WITH</x:v>
      </x:c>
      <x:c r="E1637" s="9" t="str">
        <x:v>T33.02</x:v>
      </x:c>
      <x:c r="F1637" s="9" t="str">
        <x:v>Spot and forward foreign-exchange markets</x:v>
      </x:c>
      <x:c r="G1637" s="9" t="str">
        <x:v>Study these together to keep currency exposure, cash flows, financing and discount rates consistent.</x:v>
      </x:c>
      <x:c r="H1637" s="9" t="str">
        <x:v>A topical exploration link, not a claim that one determines the other.</x:v>
      </x:c>
      <x:c r="I1637" s="9" t="str">
        <x:v>Curated curriculum relationship</x:v>
      </x:c>
    </x:row>
    <x:row r="1638" ht="58" customHeight="1">
      <x:c r="A1638" s="10" t="str">
        <x:v>E1633</x:v>
      </x:c>
      <x:c r="B1638" s="10" t="str">
        <x:v>T03.09</x:v>
      </x:c>
      <x:c r="C1638" s="10" t="str">
        <x:v>Real versus nominal interest rates</x:v>
      </x:c>
      <x:c r="D1638" s="14" t="str">
        <x:v>RECOMMENDED_BEFORE</x:v>
      </x:c>
      <x:c r="E1638" s="10" t="str">
        <x:v>T33.01</x:v>
      </x:c>
      <x:c r="F1638" s="10" t="str">
        <x:v>Currency quotations and cross-rates</x:v>
      </x:c>
      <x:c r="G1638" s="10" t="str">
        <x:v>Suggested starting knowledge: Real versus nominal interest rates. It helps you keep currency exposure, cash flows, financing and discount rates consistent.</x:v>
      </x:c>
      <x:c r="H1638" s="10" t="str">
        <x:v>Suggested learning order; learners can still explore freely.</x:v>
      </x:c>
      <x:c r="I1638" s="10" t="str">
        <x:v>Curated curriculum relationship</x:v>
      </x:c>
    </x:row>
    <x:row r="1639" ht="58" customHeight="1">
      <x:c r="A1639" s="9" t="str">
        <x:v>E1634</x:v>
      </x:c>
      <x:c r="B1639" s="9" t="str">
        <x:v>T33.02</x:v>
      </x:c>
      <x:c r="C1639" s="9" t="str">
        <x:v>Spot and forward foreign-exchange markets</x:v>
      </x:c>
      <x:c r="D1639" s="15" t="str">
        <x:v>PART_OF</x:v>
      </x:c>
      <x:c r="E1639" s="9" t="str">
        <x:v>D33</x:v>
      </x:c>
      <x:c r="F1639" s="9" t="str">
        <x:v>International finance and foreign exchange</x:v>
      </x:c>
      <x:c r="G1639" s="9" t="str">
        <x:v>Curriculum membership. Use this link to move between the topic and its finance area.</x:v>
      </x:c>
      <x:c r="H1639" s="9" t="str">
        <x:v>Classification only; this edge is not a causal or calculation relationship.</x:v>
      </x:c>
      <x:c r="I1639" s="9" t="str">
        <x:v>Curated curriculum relationship</x:v>
      </x:c>
    </x:row>
    <x:row r="1640" ht="58" customHeight="1">
      <x:c r="A1640" s="10" t="str">
        <x:v>E1635</x:v>
      </x:c>
      <x:c r="B1640" s="10" t="str">
        <x:v>T33.02</x:v>
      </x:c>
      <x:c r="C1640" s="10" t="str">
        <x:v>Spot and forward foreign-exchange markets</x:v>
      </x:c>
      <x:c r="D1640" s="14" t="str">
        <x:v>EXPLORE_WITH</x:v>
      </x:c>
      <x:c r="E1640" s="10" t="str">
        <x:v>T33.05</x:v>
      </x:c>
      <x:c r="F1640" s="10" t="str">
        <x:v>Forward premiums and discounts</x:v>
      </x:c>
      <x:c r="G1640" s="10" t="str">
        <x:v>Study these together to keep currency exposure, cash flows, financing and discount rates consistent.</x:v>
      </x:c>
      <x:c r="H1640" s="10" t="str">
        <x:v>A topical exploration link, not a claim that one determines the other.</x:v>
      </x:c>
      <x:c r="I1640" s="10" t="str">
        <x:v>Curated curriculum relationship</x:v>
      </x:c>
    </x:row>
    <x:row r="1641" ht="58" customHeight="1">
      <x:c r="A1641" s="9" t="str">
        <x:v>E1636</x:v>
      </x:c>
      <x:c r="B1641" s="9" t="str">
        <x:v>T03.09</x:v>
      </x:c>
      <x:c r="C1641" s="9" t="str">
        <x:v>Real versus nominal interest rates</x:v>
      </x:c>
      <x:c r="D1641" s="15" t="str">
        <x:v>RECOMMENDED_BEFORE</x:v>
      </x:c>
      <x:c r="E1641" s="9" t="str">
        <x:v>T33.02</x:v>
      </x:c>
      <x:c r="F1641" s="9" t="str">
        <x:v>Spot and forward foreign-exchange markets</x:v>
      </x:c>
      <x:c r="G1641" s="9" t="str">
        <x:v>Suggested starting knowledge: Real versus nominal interest rates. It helps you keep currency exposure, cash flows, financing and discount rates consistent.</x:v>
      </x:c>
      <x:c r="H1641" s="9" t="str">
        <x:v>Suggested learning order; learners can still explore freely.</x:v>
      </x:c>
      <x:c r="I1641" s="9" t="str">
        <x:v>Curated curriculum relationship</x:v>
      </x:c>
    </x:row>
    <x:row r="1642" ht="58" customHeight="1">
      <x:c r="A1642" s="10" t="str">
        <x:v>E1637</x:v>
      </x:c>
      <x:c r="B1642" s="10" t="str">
        <x:v>T33.03</x:v>
      </x:c>
      <x:c r="C1642" s="10" t="str">
        <x:v>Purchasing power parity</x:v>
      </x:c>
      <x:c r="D1642" s="14" t="str">
        <x:v>PART_OF</x:v>
      </x:c>
      <x:c r="E1642" s="10" t="str">
        <x:v>D33</x:v>
      </x:c>
      <x:c r="F1642" s="10" t="str">
        <x:v>International finance and foreign exchange</x:v>
      </x:c>
      <x:c r="G1642" s="10" t="str">
        <x:v>Curriculum membership. Use this link to move between the topic and its finance area.</x:v>
      </x:c>
      <x:c r="H1642" s="10" t="str">
        <x:v>Classification only; this edge is not a causal or calculation relationship.</x:v>
      </x:c>
      <x:c r="I1642" s="10" t="str">
        <x:v>Curated curriculum relationship</x:v>
      </x:c>
    </x:row>
    <x:row r="1643" ht="58" customHeight="1">
      <x:c r="A1643" s="9" t="str">
        <x:v>E1638</x:v>
      </x:c>
      <x:c r="B1643" s="9" t="str">
        <x:v>T33.03</x:v>
      </x:c>
      <x:c r="C1643" s="9" t="str">
        <x:v>Purchasing power parity</x:v>
      </x:c>
      <x:c r="D1643" s="15" t="str">
        <x:v>EXPLORE_WITH</x:v>
      </x:c>
      <x:c r="E1643" s="9" t="str">
        <x:v>T33.01</x:v>
      </x:c>
      <x:c r="F1643" s="9" t="str">
        <x:v>Currency quotations and cross-rates</x:v>
      </x:c>
      <x:c r="G1643" s="9" t="str">
        <x:v>Study these together to keep currency exposure, cash flows, financing and discount rates consistent.</x:v>
      </x:c>
      <x:c r="H1643" s="9" t="str">
        <x:v>A topical exploration link, not a claim that one determines the other.</x:v>
      </x:c>
      <x:c r="I1643" s="9" t="str">
        <x:v>Curated curriculum relationship</x:v>
      </x:c>
    </x:row>
    <x:row r="1644" ht="58" customHeight="1">
      <x:c r="A1644" s="10" t="str">
        <x:v>E1639</x:v>
      </x:c>
      <x:c r="B1644" s="10" t="str">
        <x:v>T03.09</x:v>
      </x:c>
      <x:c r="C1644" s="10" t="str">
        <x:v>Real versus nominal interest rates</x:v>
      </x:c>
      <x:c r="D1644" s="14" t="str">
        <x:v>RECOMMENDED_BEFORE</x:v>
      </x:c>
      <x:c r="E1644" s="10" t="str">
        <x:v>T33.03</x:v>
      </x:c>
      <x:c r="F1644" s="10" t="str">
        <x:v>Purchasing power parity</x:v>
      </x:c>
      <x:c r="G1644" s="10" t="str">
        <x:v>Suggested starting knowledge: Real versus nominal interest rates. It helps you keep currency exposure, cash flows, financing and discount rates consistent.</x:v>
      </x:c>
      <x:c r="H1644" s="10" t="str">
        <x:v>Suggested learning order; learners can still explore freely.</x:v>
      </x:c>
      <x:c r="I1644" s="10" t="str">
        <x:v>Curated curriculum relationship</x:v>
      </x:c>
    </x:row>
    <x:row r="1645" ht="58" customHeight="1">
      <x:c r="A1645" s="9" t="str">
        <x:v>E1640</x:v>
      </x:c>
      <x:c r="B1645" s="9" t="str">
        <x:v>T33.04</x:v>
      </x:c>
      <x:c r="C1645" s="9" t="str">
        <x:v>Covered and uncovered interest-rate parity</x:v>
      </x:c>
      <x:c r="D1645" s="15" t="str">
        <x:v>PART_OF</x:v>
      </x:c>
      <x:c r="E1645" s="9" t="str">
        <x:v>D33</x:v>
      </x:c>
      <x:c r="F1645" s="9" t="str">
        <x:v>International finance and foreign exchange</x:v>
      </x:c>
      <x:c r="G1645" s="9" t="str">
        <x:v>Curriculum membership. Use this link to move between the topic and its finance area.</x:v>
      </x:c>
      <x:c r="H1645" s="9" t="str">
        <x:v>Classification only; this edge is not a causal or calculation relationship.</x:v>
      </x:c>
      <x:c r="I1645" s="9" t="str">
        <x:v>Curated curriculum relationship</x:v>
      </x:c>
    </x:row>
    <x:row r="1646" ht="58" customHeight="1">
      <x:c r="A1646" s="10" t="str">
        <x:v>E1641</x:v>
      </x:c>
      <x:c r="B1646" s="10" t="str">
        <x:v>T33.04</x:v>
      </x:c>
      <x:c r="C1646" s="10" t="str">
        <x:v>Covered and uncovered interest-rate parity</x:v>
      </x:c>
      <x:c r="D1646" s="14" t="str">
        <x:v>EXPLORE_WITH</x:v>
      </x:c>
      <x:c r="E1646" s="10" t="str">
        <x:v>T33.05</x:v>
      </x:c>
      <x:c r="F1646" s="10" t="str">
        <x:v>Forward premiums and discounts</x:v>
      </x:c>
      <x:c r="G1646" s="10" t="str">
        <x:v>Study these together to keep currency exposure, cash flows, financing and discount rates consistent.</x:v>
      </x:c>
      <x:c r="H1646" s="10" t="str">
        <x:v>A topical exploration link, not a claim that one determines the other.</x:v>
      </x:c>
      <x:c r="I1646" s="10" t="str">
        <x:v>Curated curriculum relationship</x:v>
      </x:c>
    </x:row>
    <x:row r="1647" ht="58" customHeight="1">
      <x:c r="A1647" s="9" t="str">
        <x:v>E1642</x:v>
      </x:c>
      <x:c r="B1647" s="9" t="str">
        <x:v>T03.09</x:v>
      </x:c>
      <x:c r="C1647" s="9" t="str">
        <x:v>Real versus nominal interest rates</x:v>
      </x:c>
      <x:c r="D1647" s="15" t="str">
        <x:v>RECOMMENDED_BEFORE</x:v>
      </x:c>
      <x:c r="E1647" s="9" t="str">
        <x:v>T33.04</x:v>
      </x:c>
      <x:c r="F1647" s="9" t="str">
        <x:v>Covered and uncovered interest-rate parity</x:v>
      </x:c>
      <x:c r="G1647" s="9" t="str">
        <x:v>Suggested starting knowledge: Real versus nominal interest rates. It helps you keep currency exposure, cash flows, financing and discount rates consistent.</x:v>
      </x:c>
      <x:c r="H1647" s="9" t="str">
        <x:v>Suggested learning order; learners can still explore freely.</x:v>
      </x:c>
      <x:c r="I1647" s="9" t="str">
        <x:v>Curated curriculum relationship</x:v>
      </x:c>
    </x:row>
    <x:row r="1648" ht="58" customHeight="1">
      <x:c r="A1648" s="10" t="str">
        <x:v>E1643</x:v>
      </x:c>
      <x:c r="B1648" s="10" t="str">
        <x:v>T33.05</x:v>
      </x:c>
      <x:c r="C1648" s="10" t="str">
        <x:v>Forward premiums and discounts</x:v>
      </x:c>
      <x:c r="D1648" s="14" t="str">
        <x:v>PART_OF</x:v>
      </x:c>
      <x:c r="E1648" s="10" t="str">
        <x:v>D33</x:v>
      </x:c>
      <x:c r="F1648" s="10" t="str">
        <x:v>International finance and foreign exchange</x:v>
      </x:c>
      <x:c r="G1648" s="10" t="str">
        <x:v>Curriculum membership. Use this link to move between the topic and its finance area.</x:v>
      </x:c>
      <x:c r="H1648" s="10" t="str">
        <x:v>Classification only; this edge is not a causal or calculation relationship.</x:v>
      </x:c>
      <x:c r="I1648" s="10" t="str">
        <x:v>Curated curriculum relationship</x:v>
      </x:c>
    </x:row>
    <x:row r="1649" ht="58" customHeight="1">
      <x:c r="A1649" s="9" t="str">
        <x:v>E1644</x:v>
      </x:c>
      <x:c r="B1649" s="9" t="str">
        <x:v>T33.05</x:v>
      </x:c>
      <x:c r="C1649" s="9" t="str">
        <x:v>Forward premiums and discounts</x:v>
      </x:c>
      <x:c r="D1649" s="15" t="str">
        <x:v>EXPLORE_WITH</x:v>
      </x:c>
      <x:c r="E1649" s="9" t="str">
        <x:v>T33.04</x:v>
      </x:c>
      <x:c r="F1649" s="9" t="str">
        <x:v>Covered and uncovered interest-rate parity</x:v>
      </x:c>
      <x:c r="G1649" s="9" t="str">
        <x:v>Study these together to keep currency exposure, cash flows, financing and discount rates consistent.</x:v>
      </x:c>
      <x:c r="H1649" s="9" t="str">
        <x:v>A topical exploration link, not a claim that one determines the other.</x:v>
      </x:c>
      <x:c r="I1649" s="9" t="str">
        <x:v>Curated curriculum relationship</x:v>
      </x:c>
    </x:row>
    <x:row r="1650" ht="58" customHeight="1">
      <x:c r="A1650" s="10" t="str">
        <x:v>E1645</x:v>
      </x:c>
      <x:c r="B1650" s="10" t="str">
        <x:v>T03.09</x:v>
      </x:c>
      <x:c r="C1650" s="10" t="str">
        <x:v>Real versus nominal interest rates</x:v>
      </x:c>
      <x:c r="D1650" s="14" t="str">
        <x:v>RECOMMENDED_BEFORE</x:v>
      </x:c>
      <x:c r="E1650" s="10" t="str">
        <x:v>T33.05</x:v>
      </x:c>
      <x:c r="F1650" s="10" t="str">
        <x:v>Forward premiums and discounts</x:v>
      </x:c>
      <x:c r="G1650" s="10" t="str">
        <x:v>Suggested starting knowledge: Real versus nominal interest rates. It helps you keep currency exposure, cash flows, financing and discount rates consistent.</x:v>
      </x:c>
      <x:c r="H1650" s="10" t="str">
        <x:v>Suggested learning order; learners can still explore freely.</x:v>
      </x:c>
      <x:c r="I1650" s="10" t="str">
        <x:v>Curated curriculum relationship</x:v>
      </x:c>
    </x:row>
    <x:row r="1651" ht="58" customHeight="1">
      <x:c r="A1651" s="9" t="str">
        <x:v>E1646</x:v>
      </x:c>
      <x:c r="B1651" s="9" t="str">
        <x:v>T33.06</x:v>
      </x:c>
      <x:c r="C1651" s="9" t="str">
        <x:v>Carry trades</x:v>
      </x:c>
      <x:c r="D1651" s="15" t="str">
        <x:v>PART_OF</x:v>
      </x:c>
      <x:c r="E1651" s="9" t="str">
        <x:v>D33</x:v>
      </x:c>
      <x:c r="F1651" s="9" t="str">
        <x:v>International finance and foreign exchange</x:v>
      </x:c>
      <x:c r="G1651" s="9" t="str">
        <x:v>Curriculum membership. Use this link to move between the topic and its finance area.</x:v>
      </x:c>
      <x:c r="H1651" s="9" t="str">
        <x:v>Classification only; this edge is not a causal or calculation relationship.</x:v>
      </x:c>
      <x:c r="I1651" s="9" t="str">
        <x:v>Curated curriculum relationship</x:v>
      </x:c>
    </x:row>
    <x:row r="1652" ht="58" customHeight="1">
      <x:c r="A1652" s="10" t="str">
        <x:v>E1647</x:v>
      </x:c>
      <x:c r="B1652" s="10" t="str">
        <x:v>T33.06</x:v>
      </x:c>
      <x:c r="C1652" s="10" t="str">
        <x:v>Carry trades</x:v>
      </x:c>
      <x:c r="D1652" s="14" t="str">
        <x:v>EXPLORE_WITH</x:v>
      </x:c>
      <x:c r="E1652" s="10" t="str">
        <x:v>T33.04</x:v>
      </x:c>
      <x:c r="F1652" s="10" t="str">
        <x:v>Covered and uncovered interest-rate parity</x:v>
      </x:c>
      <x:c r="G1652" s="10" t="str">
        <x:v>Study these together to keep currency exposure, cash flows, financing and discount rates consistent.</x:v>
      </x:c>
      <x:c r="H1652" s="10" t="str">
        <x:v>A topical exploration link, not a claim that one determines the other.</x:v>
      </x:c>
      <x:c r="I1652" s="10" t="str">
        <x:v>Curated curriculum relationship</x:v>
      </x:c>
    </x:row>
    <x:row r="1653" ht="58" customHeight="1">
      <x:c r="A1653" s="9" t="str">
        <x:v>E1648</x:v>
      </x:c>
      <x:c r="B1653" s="9" t="str">
        <x:v>T03.09</x:v>
      </x:c>
      <x:c r="C1653" s="9" t="str">
        <x:v>Real versus nominal interest rates</x:v>
      </x:c>
      <x:c r="D1653" s="15" t="str">
        <x:v>RECOMMENDED_BEFORE</x:v>
      </x:c>
      <x:c r="E1653" s="9" t="str">
        <x:v>T33.06</x:v>
      </x:c>
      <x:c r="F1653" s="9" t="str">
        <x:v>Carry trades</x:v>
      </x:c>
      <x:c r="G1653" s="9" t="str">
        <x:v>Suggested starting knowledge: Real versus nominal interest rates. It helps you keep currency exposure, cash flows, financing and discount rates consistent.</x:v>
      </x:c>
      <x:c r="H1653" s="9" t="str">
        <x:v>Suggested learning order; learners can still explore freely.</x:v>
      </x:c>
      <x:c r="I1653" s="9" t="str">
        <x:v>Curated curriculum relationship</x:v>
      </x:c>
    </x:row>
    <x:row r="1654" ht="58" customHeight="1">
      <x:c r="A1654" s="10" t="str">
        <x:v>E1649</x:v>
      </x:c>
      <x:c r="B1654" s="10" t="str">
        <x:v>T33.07</x:v>
      </x:c>
      <x:c r="C1654" s="10" t="str">
        <x:v>Transaction, translation, and economic exposure</x:v>
      </x:c>
      <x:c r="D1654" s="14" t="str">
        <x:v>PART_OF</x:v>
      </x:c>
      <x:c r="E1654" s="10" t="str">
        <x:v>D33</x:v>
      </x:c>
      <x:c r="F1654" s="10" t="str">
        <x:v>International finance and foreign exchange</x:v>
      </x:c>
      <x:c r="G1654" s="10" t="str">
        <x:v>Curriculum membership. Use this link to move between the topic and its finance area.</x:v>
      </x:c>
      <x:c r="H1654" s="10" t="str">
        <x:v>Classification only; this edge is not a causal or calculation relationship.</x:v>
      </x:c>
      <x:c r="I1654" s="10" t="str">
        <x:v>Curated curriculum relationship</x:v>
      </x:c>
    </x:row>
    <x:row r="1655" ht="58" customHeight="1">
      <x:c r="A1655" s="9" t="str">
        <x:v>E1650</x:v>
      </x:c>
      <x:c r="B1655" s="9" t="str">
        <x:v>T33.07</x:v>
      </x:c>
      <x:c r="C1655" s="9" t="str">
        <x:v>Transaction, translation, and economic exposure</x:v>
      </x:c>
      <x:c r="D1655" s="15" t="str">
        <x:v>EXPLORE_WITH</x:v>
      </x:c>
      <x:c r="E1655" s="9" t="str">
        <x:v>T33.08</x:v>
      </x:c>
      <x:c r="F1655" s="9" t="str">
        <x:v>Currency hedging</x:v>
      </x:c>
      <x:c r="G1655" s="9" t="str">
        <x:v>Study these together to keep currency exposure, cash flows, financing and discount rates consistent.</x:v>
      </x:c>
      <x:c r="H1655" s="9" t="str">
        <x:v>A topical exploration link, not a claim that one determines the other.</x:v>
      </x:c>
      <x:c r="I1655" s="9" t="str">
        <x:v>Curated curriculum relationship</x:v>
      </x:c>
    </x:row>
    <x:row r="1656" ht="58" customHeight="1">
      <x:c r="A1656" s="10" t="str">
        <x:v>E1651</x:v>
      </x:c>
      <x:c r="B1656" s="10" t="str">
        <x:v>T03.09</x:v>
      </x:c>
      <x:c r="C1656" s="10" t="str">
        <x:v>Real versus nominal interest rates</x:v>
      </x:c>
      <x:c r="D1656" s="14" t="str">
        <x:v>RECOMMENDED_BEFORE</x:v>
      </x:c>
      <x:c r="E1656" s="10" t="str">
        <x:v>T33.07</x:v>
      </x:c>
      <x:c r="F1656" s="10" t="str">
        <x:v>Transaction, translation, and economic exposure</x:v>
      </x:c>
      <x:c r="G1656" s="10" t="str">
        <x:v>Suggested starting knowledge: Real versus nominal interest rates. It helps you keep currency exposure, cash flows, financing and discount rates consistent.</x:v>
      </x:c>
      <x:c r="H1656" s="10" t="str">
        <x:v>Suggested learning order; learners can still explore freely.</x:v>
      </x:c>
      <x:c r="I1656" s="10" t="str">
        <x:v>Curated curriculum relationship</x:v>
      </x:c>
    </x:row>
    <x:row r="1657" ht="58" customHeight="1">
      <x:c r="A1657" s="9" t="str">
        <x:v>E1652</x:v>
      </x:c>
      <x:c r="B1657" s="9" t="str">
        <x:v>T33.08</x:v>
      </x:c>
      <x:c r="C1657" s="9" t="str">
        <x:v>Currency hedging</x:v>
      </x:c>
      <x:c r="D1657" s="15" t="str">
        <x:v>PART_OF</x:v>
      </x:c>
      <x:c r="E1657" s="9" t="str">
        <x:v>D33</x:v>
      </x:c>
      <x:c r="F1657" s="9" t="str">
        <x:v>International finance and foreign exchange</x:v>
      </x:c>
      <x:c r="G1657" s="9" t="str">
        <x:v>Curriculum membership. Use this link to move between the topic and its finance area.</x:v>
      </x:c>
      <x:c r="H1657" s="9" t="str">
        <x:v>Classification only; this edge is not a causal or calculation relationship.</x:v>
      </x:c>
      <x:c r="I1657" s="9" t="str">
        <x:v>Curated curriculum relationship</x:v>
      </x:c>
    </x:row>
    <x:row r="1658" ht="58" customHeight="1">
      <x:c r="A1658" s="10" t="str">
        <x:v>E1653</x:v>
      </x:c>
      <x:c r="B1658" s="10" t="str">
        <x:v>T33.08</x:v>
      </x:c>
      <x:c r="C1658" s="10" t="str">
        <x:v>Currency hedging</x:v>
      </x:c>
      <x:c r="D1658" s="14" t="str">
        <x:v>EXPLORE_WITH</x:v>
      </x:c>
      <x:c r="E1658" s="10" t="str">
        <x:v>T33.07</x:v>
      </x:c>
      <x:c r="F1658" s="10" t="str">
        <x:v>Transaction, translation, and economic exposure</x:v>
      </x:c>
      <x:c r="G1658" s="10" t="str">
        <x:v>Study these together to keep currency exposure, cash flows, financing and discount rates consistent.</x:v>
      </x:c>
      <x:c r="H1658" s="10" t="str">
        <x:v>A topical exploration link, not a claim that one determines the other.</x:v>
      </x:c>
      <x:c r="I1658" s="10" t="str">
        <x:v>Curated curriculum relationship</x:v>
      </x:c>
    </x:row>
    <x:row r="1659" ht="58" customHeight="1">
      <x:c r="A1659" s="9" t="str">
        <x:v>E1654</x:v>
      </x:c>
      <x:c r="B1659" s="9" t="str">
        <x:v>T03.09</x:v>
      </x:c>
      <x:c r="C1659" s="9" t="str">
        <x:v>Real versus nominal interest rates</x:v>
      </x:c>
      <x:c r="D1659" s="15" t="str">
        <x:v>RECOMMENDED_BEFORE</x:v>
      </x:c>
      <x:c r="E1659" s="9" t="str">
        <x:v>T33.08</x:v>
      </x:c>
      <x:c r="F1659" s="9" t="str">
        <x:v>Currency hedging</x:v>
      </x:c>
      <x:c r="G1659" s="9" t="str">
        <x:v>Suggested starting knowledge: Real versus nominal interest rates. It helps you keep currency exposure, cash flows, financing and discount rates consistent.</x:v>
      </x:c>
      <x:c r="H1659" s="9" t="str">
        <x:v>Suggested learning order; learners can still explore freely.</x:v>
      </x:c>
      <x:c r="I1659" s="9" t="str">
        <x:v>Curated curriculum relationship</x:v>
      </x:c>
    </x:row>
    <x:row r="1660" ht="58" customHeight="1">
      <x:c r="A1660" s="10" t="str">
        <x:v>E1655</x:v>
      </x:c>
      <x:c r="B1660" s="10" t="str">
        <x:v>T33.09</x:v>
      </x:c>
      <x:c r="C1660" s="10" t="str">
        <x:v>Cross-border investment and financing</x:v>
      </x:c>
      <x:c r="D1660" s="14" t="str">
        <x:v>PART_OF</x:v>
      </x:c>
      <x:c r="E1660" s="10" t="str">
        <x:v>D33</x:v>
      </x:c>
      <x:c r="F1660" s="10" t="str">
        <x:v>International finance and foreign exchange</x:v>
      </x:c>
      <x:c r="G1660" s="10" t="str">
        <x:v>Curriculum membership. Use this link to move between the topic and its finance area.</x:v>
      </x:c>
      <x:c r="H1660" s="10" t="str">
        <x:v>Classification only; this edge is not a causal or calculation relationship.</x:v>
      </x:c>
      <x:c r="I1660" s="10" t="str">
        <x:v>Curated curriculum relationship</x:v>
      </x:c>
    </x:row>
    <x:row r="1661" ht="58" customHeight="1">
      <x:c r="A1661" s="9" t="str">
        <x:v>E1656</x:v>
      </x:c>
      <x:c r="B1661" s="9" t="str">
        <x:v>T33.09</x:v>
      </x:c>
      <x:c r="C1661" s="9" t="str">
        <x:v>Cross-border investment and financing</x:v>
      </x:c>
      <x:c r="D1661" s="15" t="str">
        <x:v>EXPLORE_WITH</x:v>
      </x:c>
      <x:c r="E1661" s="9" t="str">
        <x:v>T33.10</x:v>
      </x:c>
      <x:c r="F1661" s="9" t="str">
        <x:v>International cost of capital</x:v>
      </x:c>
      <x:c r="G1661" s="9" t="str">
        <x:v>Study these together to keep currency exposure, cash flows, financing and discount rates consistent.</x:v>
      </x:c>
      <x:c r="H1661" s="9" t="str">
        <x:v>A topical exploration link, not a claim that one determines the other.</x:v>
      </x:c>
      <x:c r="I1661" s="9" t="str">
        <x:v>Curated curriculum relationship</x:v>
      </x:c>
    </x:row>
    <x:row r="1662" ht="58" customHeight="1">
      <x:c r="A1662" s="10" t="str">
        <x:v>E1657</x:v>
      </x:c>
      <x:c r="B1662" s="10" t="str">
        <x:v>T03.09</x:v>
      </x:c>
      <x:c r="C1662" s="10" t="str">
        <x:v>Real versus nominal interest rates</x:v>
      </x:c>
      <x:c r="D1662" s="14" t="str">
        <x:v>RECOMMENDED_BEFORE</x:v>
      </x:c>
      <x:c r="E1662" s="10" t="str">
        <x:v>T33.09</x:v>
      </x:c>
      <x:c r="F1662" s="10" t="str">
        <x:v>Cross-border investment and financing</x:v>
      </x:c>
      <x:c r="G1662" s="10" t="str">
        <x:v>Suggested starting knowledge: Real versus nominal interest rates. It helps you keep currency exposure, cash flows, financing and discount rates consistent.</x:v>
      </x:c>
      <x:c r="H1662" s="10" t="str">
        <x:v>Suggested learning order; learners can still explore freely.</x:v>
      </x:c>
      <x:c r="I1662" s="10" t="str">
        <x:v>Curated curriculum relationship</x:v>
      </x:c>
    </x:row>
    <x:row r="1663" ht="58" customHeight="1">
      <x:c r="A1663" s="9" t="str">
        <x:v>E1658</x:v>
      </x:c>
      <x:c r="B1663" s="9" t="str">
        <x:v>T33.10</x:v>
      </x:c>
      <x:c r="C1663" s="9" t="str">
        <x:v>International cost of capital</x:v>
      </x:c>
      <x:c r="D1663" s="15" t="str">
        <x:v>PART_OF</x:v>
      </x:c>
      <x:c r="E1663" s="9" t="str">
        <x:v>D33</x:v>
      </x:c>
      <x:c r="F1663" s="9" t="str">
        <x:v>International finance and foreign exchange</x:v>
      </x:c>
      <x:c r="G1663" s="9" t="str">
        <x:v>Curriculum membership. Use this link to move between the topic and its finance area.</x:v>
      </x:c>
      <x:c r="H1663" s="9" t="str">
        <x:v>Classification only; this edge is not a causal or calculation relationship.</x:v>
      </x:c>
      <x:c r="I1663" s="9" t="str">
        <x:v>Curated curriculum relationship</x:v>
      </x:c>
    </x:row>
    <x:row r="1664" ht="58" customHeight="1">
      <x:c r="A1664" s="10" t="str">
        <x:v>E1659</x:v>
      </x:c>
      <x:c r="B1664" s="10" t="str">
        <x:v>T33.10</x:v>
      </x:c>
      <x:c r="C1664" s="10" t="str">
        <x:v>International cost of capital</x:v>
      </x:c>
      <x:c r="D1664" s="14" t="str">
        <x:v>EXPLORE_WITH</x:v>
      </x:c>
      <x:c r="E1664" s="10" t="str">
        <x:v>T33.11</x:v>
      </x:c>
      <x:c r="F1664" s="10" t="str">
        <x:v>Country and political risk</x:v>
      </x:c>
      <x:c r="G1664" s="10" t="str">
        <x:v>Study these together to keep currency exposure, cash flows, financing and discount rates consistent.</x:v>
      </x:c>
      <x:c r="H1664" s="10" t="str">
        <x:v>A topical exploration link, not a claim that one determines the other.</x:v>
      </x:c>
      <x:c r="I1664" s="10" t="str">
        <x:v>Curated curriculum relationship</x:v>
      </x:c>
    </x:row>
    <x:row r="1665" ht="58" customHeight="1">
      <x:c r="A1665" s="9" t="str">
        <x:v>E1660</x:v>
      </x:c>
      <x:c r="B1665" s="9" t="str">
        <x:v>T03.09</x:v>
      </x:c>
      <x:c r="C1665" s="9" t="str">
        <x:v>Real versus nominal interest rates</x:v>
      </x:c>
      <x:c r="D1665" s="15" t="str">
        <x:v>RECOMMENDED_BEFORE</x:v>
      </x:c>
      <x:c r="E1665" s="9" t="str">
        <x:v>T33.10</x:v>
      </x:c>
      <x:c r="F1665" s="9" t="str">
        <x:v>International cost of capital</x:v>
      </x:c>
      <x:c r="G1665" s="9" t="str">
        <x:v>Suggested starting knowledge: Real versus nominal interest rates. It helps you keep currency exposure, cash flows, financing and discount rates consistent.</x:v>
      </x:c>
      <x:c r="H1665" s="9" t="str">
        <x:v>Suggested learning order; learners can still explore freely.</x:v>
      </x:c>
      <x:c r="I1665" s="9" t="str">
        <x:v>Curated curriculum relationship</x:v>
      </x:c>
    </x:row>
    <x:row r="1666" ht="58" customHeight="1">
      <x:c r="A1666" s="10" t="str">
        <x:v>E1661</x:v>
      </x:c>
      <x:c r="B1666" s="10" t="str">
        <x:v>T33.11</x:v>
      </x:c>
      <x:c r="C1666" s="10" t="str">
        <x:v>Country and political risk</x:v>
      </x:c>
      <x:c r="D1666" s="14" t="str">
        <x:v>PART_OF</x:v>
      </x:c>
      <x:c r="E1666" s="10" t="str">
        <x:v>D33</x:v>
      </x:c>
      <x:c r="F1666" s="10" t="str">
        <x:v>International finance and foreign exchange</x:v>
      </x:c>
      <x:c r="G1666" s="10" t="str">
        <x:v>Curriculum membership. Use this link to move between the topic and its finance area.</x:v>
      </x:c>
      <x:c r="H1666" s="10" t="str">
        <x:v>Classification only; this edge is not a causal or calculation relationship.</x:v>
      </x:c>
      <x:c r="I1666" s="10" t="str">
        <x:v>Curated curriculum relationship</x:v>
      </x:c>
    </x:row>
    <x:row r="1667" ht="58" customHeight="1">
      <x:c r="A1667" s="9" t="str">
        <x:v>E1662</x:v>
      </x:c>
      <x:c r="B1667" s="9" t="str">
        <x:v>T33.11</x:v>
      </x:c>
      <x:c r="C1667" s="9" t="str">
        <x:v>Country and political risk</x:v>
      </x:c>
      <x:c r="D1667" s="15" t="str">
        <x:v>EXPLORE_WITH</x:v>
      </x:c>
      <x:c r="E1667" s="9" t="str">
        <x:v>T33.10</x:v>
      </x:c>
      <x:c r="F1667" s="9" t="str">
        <x:v>International cost of capital</x:v>
      </x:c>
      <x:c r="G1667" s="9" t="str">
        <x:v>Study these together to keep currency exposure, cash flows, financing and discount rates consistent.</x:v>
      </x:c>
      <x:c r="H1667" s="9" t="str">
        <x:v>A topical exploration link, not a claim that one determines the other.</x:v>
      </x:c>
      <x:c r="I1667" s="9" t="str">
        <x:v>Curated curriculum relationship</x:v>
      </x:c>
    </x:row>
    <x:row r="1668" ht="58" customHeight="1">
      <x:c r="A1668" s="10" t="str">
        <x:v>E1663</x:v>
      </x:c>
      <x:c r="B1668" s="10" t="str">
        <x:v>T03.09</x:v>
      </x:c>
      <x:c r="C1668" s="10" t="str">
        <x:v>Real versus nominal interest rates</x:v>
      </x:c>
      <x:c r="D1668" s="14" t="str">
        <x:v>RECOMMENDED_BEFORE</x:v>
      </x:c>
      <x:c r="E1668" s="10" t="str">
        <x:v>T33.11</x:v>
      </x:c>
      <x:c r="F1668" s="10" t="str">
        <x:v>Country and political risk</x:v>
      </x:c>
      <x:c r="G1668" s="10" t="str">
        <x:v>Suggested starting knowledge: Real versus nominal interest rates. It helps you keep currency exposure, cash flows, financing and discount rates consistent.</x:v>
      </x:c>
      <x:c r="H1668" s="10" t="str">
        <x:v>Suggested learning order; learners can still explore freely.</x:v>
      </x:c>
      <x:c r="I1668" s="10" t="str">
        <x:v>Curated curriculum relationship</x:v>
      </x:c>
    </x:row>
    <x:row r="1669" ht="58" customHeight="1">
      <x:c r="A1669" s="9" t="str">
        <x:v>E1664</x:v>
      </x:c>
      <x:c r="B1669" s="9" t="str">
        <x:v>T33.12</x:v>
      </x:c>
      <x:c r="C1669" s="9" t="str">
        <x:v>Multinational capital budgeting</x:v>
      </x:c>
      <x:c r="D1669" s="15" t="str">
        <x:v>PART_OF</x:v>
      </x:c>
      <x:c r="E1669" s="9" t="str">
        <x:v>D33</x:v>
      </x:c>
      <x:c r="F1669" s="9" t="str">
        <x:v>International finance and foreign exchange</x:v>
      </x:c>
      <x:c r="G1669" s="9" t="str">
        <x:v>Curriculum membership. Use this link to move between the topic and its finance area.</x:v>
      </x:c>
      <x:c r="H1669" s="9" t="str">
        <x:v>Classification only; this edge is not a causal or calculation relationship.</x:v>
      </x:c>
      <x:c r="I1669" s="9" t="str">
        <x:v>Curated curriculum relationship</x:v>
      </x:c>
    </x:row>
    <x:row r="1670" ht="58" customHeight="1">
      <x:c r="A1670" s="10" t="str">
        <x:v>E1665</x:v>
      </x:c>
      <x:c r="B1670" s="10" t="str">
        <x:v>T33.12</x:v>
      </x:c>
      <x:c r="C1670" s="10" t="str">
        <x:v>Multinational capital budgeting</x:v>
      </x:c>
      <x:c r="D1670" s="14" t="str">
        <x:v>EXPLORE_WITH</x:v>
      </x:c>
      <x:c r="E1670" s="10" t="str">
        <x:v>T33.09</x:v>
      </x:c>
      <x:c r="F1670" s="10" t="str">
        <x:v>Cross-border investment and financing</x:v>
      </x:c>
      <x:c r="G1670" s="10" t="str">
        <x:v>Study these together to keep currency exposure, cash flows, financing and discount rates consistent.</x:v>
      </x:c>
      <x:c r="H1670" s="10" t="str">
        <x:v>A topical exploration link, not a claim that one determines the other.</x:v>
      </x:c>
      <x:c r="I1670" s="10" t="str">
        <x:v>Curated curriculum relationship</x:v>
      </x:c>
    </x:row>
    <x:row r="1671" ht="58" customHeight="1">
      <x:c r="A1671" s="9" t="str">
        <x:v>E1666</x:v>
      </x:c>
      <x:c r="B1671" s="9" t="str">
        <x:v>T03.09</x:v>
      </x:c>
      <x:c r="C1671" s="9" t="str">
        <x:v>Real versus nominal interest rates</x:v>
      </x:c>
      <x:c r="D1671" s="15" t="str">
        <x:v>RECOMMENDED_BEFORE</x:v>
      </x:c>
      <x:c r="E1671" s="9" t="str">
        <x:v>T33.12</x:v>
      </x:c>
      <x:c r="F1671" s="9" t="str">
        <x:v>Multinational capital budgeting</x:v>
      </x:c>
      <x:c r="G1671" s="9" t="str">
        <x:v>Suggested starting knowledge: Real versus nominal interest rates. It helps you keep currency exposure, cash flows, financing and discount rates consistent.</x:v>
      </x:c>
      <x:c r="H1671" s="9" t="str">
        <x:v>Suggested learning order; learners can still explore freely.</x:v>
      </x:c>
      <x:c r="I1671" s="9" t="str">
        <x:v>Curated curriculum relationship</x:v>
      </x:c>
    </x:row>
    <x:row r="1672" ht="58" customHeight="1">
      <x:c r="A1672" s="10" t="str">
        <x:v>E1667</x:v>
      </x:c>
      <x:c r="B1672" s="10" t="str">
        <x:v>T33.13</x:v>
      </x:c>
      <x:c r="C1672" s="10" t="str">
        <x:v>Trade finance, letters of credit, and documentary collections</x:v>
      </x:c>
      <x:c r="D1672" s="14" t="str">
        <x:v>PART_OF</x:v>
      </x:c>
      <x:c r="E1672" s="10" t="str">
        <x:v>D33</x:v>
      </x:c>
      <x:c r="F1672" s="10" t="str">
        <x:v>International finance and foreign exchange</x:v>
      </x:c>
      <x:c r="G1672" s="10" t="str">
        <x:v>Curriculum membership. Use this link to move between the topic and its finance area.</x:v>
      </x:c>
      <x:c r="H1672" s="10" t="str">
        <x:v>Classification only; this edge is not a causal or calculation relationship.</x:v>
      </x:c>
      <x:c r="I1672" s="10" t="str">
        <x:v>Curated curriculum relationship</x:v>
      </x:c>
    </x:row>
    <x:row r="1673" ht="58" customHeight="1">
      <x:c r="A1673" s="9" t="str">
        <x:v>E1668</x:v>
      </x:c>
      <x:c r="B1673" s="9" t="str">
        <x:v>T33.13</x:v>
      </x:c>
      <x:c r="C1673" s="9" t="str">
        <x:v>Trade finance, letters of credit, and documentary collections</x:v>
      </x:c>
      <x:c r="D1673" s="15" t="str">
        <x:v>EXPLORE_WITH</x:v>
      </x:c>
      <x:c r="E1673" s="9" t="str">
        <x:v>T33.14</x:v>
      </x:c>
      <x:c r="F1673" s="9" t="str">
        <x:v>Export credit and international guarantees</x:v>
      </x:c>
      <x:c r="G1673" s="9" t="str">
        <x:v>Study these together to keep currency exposure, cash flows, financing and discount rates consistent.</x:v>
      </x:c>
      <x:c r="H1673" s="9" t="str">
        <x:v>A topical exploration link, not a claim that one determines the other.</x:v>
      </x:c>
      <x:c r="I1673" s="9" t="str">
        <x:v>Curated curriculum relationship</x:v>
      </x:c>
    </x:row>
    <x:row r="1674" ht="58" customHeight="1">
      <x:c r="A1674" s="10" t="str">
        <x:v>E1669</x:v>
      </x:c>
      <x:c r="B1674" s="10" t="str">
        <x:v>T03.09</x:v>
      </x:c>
      <x:c r="C1674" s="10" t="str">
        <x:v>Real versus nominal interest rates</x:v>
      </x:c>
      <x:c r="D1674" s="14" t="str">
        <x:v>RECOMMENDED_BEFORE</x:v>
      </x:c>
      <x:c r="E1674" s="10" t="str">
        <x:v>T33.13</x:v>
      </x:c>
      <x:c r="F1674" s="10" t="str">
        <x:v>Trade finance, letters of credit, and documentary collections</x:v>
      </x:c>
      <x:c r="G1674" s="10" t="str">
        <x:v>Suggested starting knowledge: Real versus nominal interest rates. It helps you keep currency exposure, cash flows, financing and discount rates consistent.</x:v>
      </x:c>
      <x:c r="H1674" s="10" t="str">
        <x:v>Suggested learning order; learners can still explore freely.</x:v>
      </x:c>
      <x:c r="I1674" s="10" t="str">
        <x:v>Curated curriculum relationship</x:v>
      </x:c>
    </x:row>
    <x:row r="1675" ht="58" customHeight="1">
      <x:c r="A1675" s="9" t="str">
        <x:v>E1670</x:v>
      </x:c>
      <x:c r="B1675" s="9" t="str">
        <x:v>T33.14</x:v>
      </x:c>
      <x:c r="C1675" s="9" t="str">
        <x:v>Export credit and international guarantees</x:v>
      </x:c>
      <x:c r="D1675" s="15" t="str">
        <x:v>PART_OF</x:v>
      </x:c>
      <x:c r="E1675" s="9" t="str">
        <x:v>D33</x:v>
      </x:c>
      <x:c r="F1675" s="9" t="str">
        <x:v>International finance and foreign exchange</x:v>
      </x:c>
      <x:c r="G1675" s="9" t="str">
        <x:v>Curriculum membership. Use this link to move between the topic and its finance area.</x:v>
      </x:c>
      <x:c r="H1675" s="9" t="str">
        <x:v>Classification only; this edge is not a causal or calculation relationship.</x:v>
      </x:c>
      <x:c r="I1675" s="9" t="str">
        <x:v>Curated curriculum relationship</x:v>
      </x:c>
    </x:row>
    <x:row r="1676" ht="58" customHeight="1">
      <x:c r="A1676" s="10" t="str">
        <x:v>E1671</x:v>
      </x:c>
      <x:c r="B1676" s="10" t="str">
        <x:v>T33.14</x:v>
      </x:c>
      <x:c r="C1676" s="10" t="str">
        <x:v>Export credit and international guarantees</x:v>
      </x:c>
      <x:c r="D1676" s="14" t="str">
        <x:v>EXPLORE_WITH</x:v>
      </x:c>
      <x:c r="E1676" s="10" t="str">
        <x:v>T33.13</x:v>
      </x:c>
      <x:c r="F1676" s="10" t="str">
        <x:v>Trade finance, letters of credit, and documentary collections</x:v>
      </x:c>
      <x:c r="G1676" s="10" t="str">
        <x:v>Study these together to keep currency exposure, cash flows, financing and discount rates consistent.</x:v>
      </x:c>
      <x:c r="H1676" s="10" t="str">
        <x:v>A topical exploration link, not a claim that one determines the other.</x:v>
      </x:c>
      <x:c r="I1676" s="10" t="str">
        <x:v>Curated curriculum relationship</x:v>
      </x:c>
    </x:row>
    <x:row r="1677" ht="58" customHeight="1">
      <x:c r="A1677" s="9" t="str">
        <x:v>E1672</x:v>
      </x:c>
      <x:c r="B1677" s="9" t="str">
        <x:v>T03.09</x:v>
      </x:c>
      <x:c r="C1677" s="9" t="str">
        <x:v>Real versus nominal interest rates</x:v>
      </x:c>
      <x:c r="D1677" s="15" t="str">
        <x:v>RECOMMENDED_BEFORE</x:v>
      </x:c>
      <x:c r="E1677" s="9" t="str">
        <x:v>T33.14</x:v>
      </x:c>
      <x:c r="F1677" s="9" t="str">
        <x:v>Export credit and international guarantees</x:v>
      </x:c>
      <x:c r="G1677" s="9" t="str">
        <x:v>Suggested starting knowledge: Real versus nominal interest rates. It helps you keep currency exposure, cash flows, financing and discount rates consistent.</x:v>
      </x:c>
      <x:c r="H1677" s="9" t="str">
        <x:v>Suggested learning order; learners can still explore freely.</x:v>
      </x:c>
      <x:c r="I1677" s="9" t="str">
        <x:v>Curated curriculum relationship</x:v>
      </x:c>
    </x:row>
    <x:row r="1678" ht="58" customHeight="1">
      <x:c r="A1678" s="10" t="str">
        <x:v>E1673</x:v>
      </x:c>
      <x:c r="B1678" s="10" t="str">
        <x:v>T33.15</x:v>
      </x:c>
      <x:c r="C1678" s="10" t="str">
        <x:v>Offshore funding and foreign-currency debt</x:v>
      </x:c>
      <x:c r="D1678" s="14" t="str">
        <x:v>PART_OF</x:v>
      </x:c>
      <x:c r="E1678" s="10" t="str">
        <x:v>D33</x:v>
      </x:c>
      <x:c r="F1678" s="10" t="str">
        <x:v>International finance and foreign exchange</x:v>
      </x:c>
      <x:c r="G1678" s="10" t="str">
        <x:v>Curriculum membership. Use this link to move between the topic and its finance area.</x:v>
      </x:c>
      <x:c r="H1678" s="10" t="str">
        <x:v>Classification only; this edge is not a causal or calculation relationship.</x:v>
      </x:c>
      <x:c r="I1678" s="10" t="str">
        <x:v>Curated curriculum relationship</x:v>
      </x:c>
    </x:row>
    <x:row r="1679" ht="58" customHeight="1">
      <x:c r="A1679" s="9" t="str">
        <x:v>E1674</x:v>
      </x:c>
      <x:c r="B1679" s="9" t="str">
        <x:v>T33.15</x:v>
      </x:c>
      <x:c r="C1679" s="9" t="str">
        <x:v>Offshore funding and foreign-currency debt</x:v>
      </x:c>
      <x:c r="D1679" s="15" t="str">
        <x:v>EXPLORE_WITH</x:v>
      </x:c>
      <x:c r="E1679" s="9" t="str">
        <x:v>T33.07</x:v>
      </x:c>
      <x:c r="F1679" s="9" t="str">
        <x:v>Transaction, translation, and economic exposure</x:v>
      </x:c>
      <x:c r="G1679" s="9" t="str">
        <x:v>Study these together to keep currency exposure, cash flows, financing and discount rates consistent.</x:v>
      </x:c>
      <x:c r="H1679" s="9" t="str">
        <x:v>A topical exploration link, not a claim that one determines the other.</x:v>
      </x:c>
      <x:c r="I1679" s="9" t="str">
        <x:v>Curated curriculum relationship</x:v>
      </x:c>
    </x:row>
    <x:row r="1680" ht="58" customHeight="1">
      <x:c r="A1680" s="10" t="str">
        <x:v>E1675</x:v>
      </x:c>
      <x:c r="B1680" s="10" t="str">
        <x:v>T03.09</x:v>
      </x:c>
      <x:c r="C1680" s="10" t="str">
        <x:v>Real versus nominal interest rates</x:v>
      </x:c>
      <x:c r="D1680" s="14" t="str">
        <x:v>RECOMMENDED_BEFORE</x:v>
      </x:c>
      <x:c r="E1680" s="10" t="str">
        <x:v>T33.15</x:v>
      </x:c>
      <x:c r="F1680" s="10" t="str">
        <x:v>Offshore funding and foreign-currency debt</x:v>
      </x:c>
      <x:c r="G1680" s="10" t="str">
        <x:v>Suggested starting knowledge: Real versus nominal interest rates. It helps you keep currency exposure, cash flows, financing and discount rates consistent.</x:v>
      </x:c>
      <x:c r="H1680" s="10" t="str">
        <x:v>Suggested learning order; learners can still explore freely.</x:v>
      </x:c>
      <x:c r="I1680" s="10" t="str">
        <x:v>Curated curriculum relationship</x:v>
      </x:c>
    </x:row>
    <x:row r="1681" ht="58" customHeight="1">
      <x:c r="A1681" s="9" t="str">
        <x:v>E1676</x:v>
      </x:c>
      <x:c r="B1681" s="9" t="str">
        <x:v>T33.16</x:v>
      </x:c>
      <x:c r="C1681" s="9" t="str">
        <x:v>Global portfolio diversification</x:v>
      </x:c>
      <x:c r="D1681" s="15" t="str">
        <x:v>PART_OF</x:v>
      </x:c>
      <x:c r="E1681" s="9" t="str">
        <x:v>D33</x:v>
      </x:c>
      <x:c r="F1681" s="9" t="str">
        <x:v>International finance and foreign exchange</x:v>
      </x:c>
      <x:c r="G1681" s="9" t="str">
        <x:v>Curriculum membership. Use this link to move between the topic and its finance area.</x:v>
      </x:c>
      <x:c r="H1681" s="9" t="str">
        <x:v>Classification only; this edge is not a causal or calculation relationship.</x:v>
      </x:c>
      <x:c r="I1681" s="9" t="str">
        <x:v>Curated curriculum relationship</x:v>
      </x:c>
    </x:row>
    <x:row r="1682" ht="58" customHeight="1">
      <x:c r="A1682" s="10" t="str">
        <x:v>E1677</x:v>
      </x:c>
      <x:c r="B1682" s="10" t="str">
        <x:v>T33.16</x:v>
      </x:c>
      <x:c r="C1682" s="10" t="str">
        <x:v>Global portfolio diversification</x:v>
      </x:c>
      <x:c r="D1682" s="14" t="str">
        <x:v>EXPLORE_WITH</x:v>
      </x:c>
      <x:c r="E1682" s="10" t="str">
        <x:v>T33.09</x:v>
      </x:c>
      <x:c r="F1682" s="10" t="str">
        <x:v>Cross-border investment and financing</x:v>
      </x:c>
      <x:c r="G1682" s="10" t="str">
        <x:v>Study these together to keep currency exposure, cash flows, financing and discount rates consistent.</x:v>
      </x:c>
      <x:c r="H1682" s="10" t="str">
        <x:v>A topical exploration link, not a claim that one determines the other.</x:v>
      </x:c>
      <x:c r="I1682" s="10" t="str">
        <x:v>Curated curriculum relationship</x:v>
      </x:c>
    </x:row>
    <x:row r="1683" ht="58" customHeight="1">
      <x:c r="A1683" s="9" t="str">
        <x:v>E1678</x:v>
      </x:c>
      <x:c r="B1683" s="9" t="str">
        <x:v>T03.09</x:v>
      </x:c>
      <x:c r="C1683" s="9" t="str">
        <x:v>Real versus nominal interest rates</x:v>
      </x:c>
      <x:c r="D1683" s="15" t="str">
        <x:v>RECOMMENDED_BEFORE</x:v>
      </x:c>
      <x:c r="E1683" s="9" t="str">
        <x:v>T33.16</x:v>
      </x:c>
      <x:c r="F1683" s="9" t="str">
        <x:v>Global portfolio diversification</x:v>
      </x:c>
      <x:c r="G1683" s="9" t="str">
        <x:v>Suggested starting knowledge: Real versus nominal interest rates. It helps you keep currency exposure, cash flows, financing and discount rates consistent.</x:v>
      </x:c>
      <x:c r="H1683" s="9" t="str">
        <x:v>Suggested learning order; learners can still explore freely.</x:v>
      </x:c>
      <x:c r="I1683" s="9" t="str">
        <x:v>Curated curriculum relationship</x:v>
      </x:c>
    </x:row>
    <x:row r="1684" ht="58" customHeight="1">
      <x:c r="A1684" s="10" t="str">
        <x:v>E1679</x:v>
      </x:c>
      <x:c r="B1684" s="10" t="str">
        <x:v>T34.01</x:v>
      </x:c>
      <x:c r="C1684" s="10" t="str">
        <x:v>Exchanges, brokers, dealers, and market makers</x:v>
      </x:c>
      <x:c r="D1684" s="14" t="str">
        <x:v>PART_OF</x:v>
      </x:c>
      <x:c r="E1684" s="10" t="str">
        <x:v>D34</x:v>
      </x:c>
      <x:c r="F1684" s="10" t="str">
        <x:v>Market infrastructure, regulation, and governance</x:v>
      </x:c>
      <x:c r="G1684" s="10" t="str">
        <x:v>Curriculum membership. Use this link to move between the topic and its finance area.</x:v>
      </x:c>
      <x:c r="H1684" s="10" t="str">
        <x:v>Classification only; this edge is not a causal or calculation relationship.</x:v>
      </x:c>
      <x:c r="I1684" s="10" t="str">
        <x:v>Curated curriculum relationship</x:v>
      </x:c>
    </x:row>
    <x:row r="1685" ht="58" customHeight="1">
      <x:c r="A1685" s="9" t="str">
        <x:v>E1680</x:v>
      </x:c>
      <x:c r="B1685" s="9" t="str">
        <x:v>T34.01</x:v>
      </x:c>
      <x:c r="C1685" s="9" t="str">
        <x:v>Exchanges, brokers, dealers, and market makers</x:v>
      </x:c>
      <x:c r="D1685" s="15" t="str">
        <x:v>EXPLORE_WITH</x:v>
      </x:c>
      <x:c r="E1685" s="9" t="str">
        <x:v>T34.03</x:v>
      </x:c>
      <x:c r="F1685" s="9" t="str">
        <x:v>Trade execution, clearing, and settlement</x:v>
      </x:c>
      <x:c r="G1685" s="9" t="str">
        <x:v>Study these together to understand how transactions are executed, safeguarded and governed.</x:v>
      </x:c>
      <x:c r="H1685" s="9" t="str">
        <x:v>A topical exploration link, not a claim that one determines the other.</x:v>
      </x:c>
      <x:c r="I1685" s="9" t="str">
        <x:v>Curated curriculum relationship</x:v>
      </x:c>
    </x:row>
    <x:row r="1686" ht="58" customHeight="1">
      <x:c r="A1686" s="10" t="str">
        <x:v>E1681</x:v>
      </x:c>
      <x:c r="B1686" s="10" t="str">
        <x:v>T01.03</x:v>
      </x:c>
      <x:c r="C1686" s="10" t="str">
        <x:v>The financial system: households, businesses, governments, and intermediaries</x:v>
      </x:c>
      <x:c r="D1686" s="14" t="str">
        <x:v>RECOMMENDED_BEFORE</x:v>
      </x:c>
      <x:c r="E1686" s="10" t="str">
        <x:v>T34.01</x:v>
      </x:c>
      <x:c r="F1686" s="10" t="str">
        <x:v>Exchanges, brokers, dealers, and market makers</x:v>
      </x:c>
      <x:c r="G1686" s="10" t="str">
        <x:v>Suggested starting knowledge: The financial system: households, businesses, governments, and intermediaries. It helps you understand how transactions are executed, safeguarded and governed.</x:v>
      </x:c>
      <x:c r="H1686" s="10" t="str">
        <x:v>Suggested learning order; learners can still explore freely.</x:v>
      </x:c>
      <x:c r="I1686" s="10" t="str">
        <x:v>Curated curriculum relationship</x:v>
      </x:c>
    </x:row>
    <x:row r="1687" ht="58" customHeight="1">
      <x:c r="A1687" s="9" t="str">
        <x:v>E1682</x:v>
      </x:c>
      <x:c r="B1687" s="9" t="str">
        <x:v>T34.02</x:v>
      </x:c>
      <x:c r="C1687" s="9" t="str">
        <x:v>Custodians, depositories, and clearing houses</x:v>
      </x:c>
      <x:c r="D1687" s="15" t="str">
        <x:v>PART_OF</x:v>
      </x:c>
      <x:c r="E1687" s="9" t="str">
        <x:v>D34</x:v>
      </x:c>
      <x:c r="F1687" s="9" t="str">
        <x:v>Market infrastructure, regulation, and governance</x:v>
      </x:c>
      <x:c r="G1687" s="9" t="str">
        <x:v>Curriculum membership. Use this link to move between the topic and its finance area.</x:v>
      </x:c>
      <x:c r="H1687" s="9" t="str">
        <x:v>Classification only; this edge is not a causal or calculation relationship.</x:v>
      </x:c>
      <x:c r="I1687" s="9" t="str">
        <x:v>Curated curriculum relationship</x:v>
      </x:c>
    </x:row>
    <x:row r="1688" ht="58" customHeight="1">
      <x:c r="A1688" s="10" t="str">
        <x:v>E1683</x:v>
      </x:c>
      <x:c r="B1688" s="10" t="str">
        <x:v>T34.02</x:v>
      </x:c>
      <x:c r="C1688" s="10" t="str">
        <x:v>Custodians, depositories, and clearing houses</x:v>
      </x:c>
      <x:c r="D1688" s="14" t="str">
        <x:v>EXPLORE_WITH</x:v>
      </x:c>
      <x:c r="E1688" s="10" t="str">
        <x:v>T34.03</x:v>
      </x:c>
      <x:c r="F1688" s="10" t="str">
        <x:v>Trade execution, clearing, and settlement</x:v>
      </x:c>
      <x:c r="G1688" s="10" t="str">
        <x:v>Study these together to understand how transactions are executed, safeguarded and governed.</x:v>
      </x:c>
      <x:c r="H1688" s="10" t="str">
        <x:v>A topical exploration link, not a claim that one determines the other.</x:v>
      </x:c>
      <x:c r="I1688" s="10" t="str">
        <x:v>Curated curriculum relationship</x:v>
      </x:c>
    </x:row>
    <x:row r="1689" ht="58" customHeight="1">
      <x:c r="A1689" s="9" t="str">
        <x:v>E1684</x:v>
      </x:c>
      <x:c r="B1689" s="9" t="str">
        <x:v>T01.03</x:v>
      </x:c>
      <x:c r="C1689" s="9" t="str">
        <x:v>The financial system: households, businesses, governments, and intermediaries</x:v>
      </x:c>
      <x:c r="D1689" s="15" t="str">
        <x:v>RECOMMENDED_BEFORE</x:v>
      </x:c>
      <x:c r="E1689" s="9" t="str">
        <x:v>T34.02</x:v>
      </x:c>
      <x:c r="F1689" s="9" t="str">
        <x:v>Custodians, depositories, and clearing houses</x:v>
      </x:c>
      <x:c r="G1689" s="9" t="str">
        <x:v>Suggested starting knowledge: The financial system: households, businesses, governments, and intermediaries. It helps you understand how transactions are executed, safeguarded and governed.</x:v>
      </x:c>
      <x:c r="H1689" s="9" t="str">
        <x:v>Suggested learning order; learners can still explore freely.</x:v>
      </x:c>
      <x:c r="I1689" s="9" t="str">
        <x:v>Curated curriculum relationship</x:v>
      </x:c>
    </x:row>
    <x:row r="1690" ht="58" customHeight="1">
      <x:c r="A1690" s="10" t="str">
        <x:v>E1685</x:v>
      </x:c>
      <x:c r="B1690" s="10" t="str">
        <x:v>T34.03</x:v>
      </x:c>
      <x:c r="C1690" s="10" t="str">
        <x:v>Trade execution, clearing, and settlement</x:v>
      </x:c>
      <x:c r="D1690" s="14" t="str">
        <x:v>PART_OF</x:v>
      </x:c>
      <x:c r="E1690" s="10" t="str">
        <x:v>D34</x:v>
      </x:c>
      <x:c r="F1690" s="10" t="str">
        <x:v>Market infrastructure, regulation, and governance</x:v>
      </x:c>
      <x:c r="G1690" s="10" t="str">
        <x:v>Curriculum membership. Use this link to move between the topic and its finance area.</x:v>
      </x:c>
      <x:c r="H1690" s="10" t="str">
        <x:v>Classification only; this edge is not a causal or calculation relationship.</x:v>
      </x:c>
      <x:c r="I1690" s="10" t="str">
        <x:v>Curated curriculum relationship</x:v>
      </x:c>
    </x:row>
    <x:row r="1691" ht="58" customHeight="1">
      <x:c r="A1691" s="9" t="str">
        <x:v>E1686</x:v>
      </x:c>
      <x:c r="B1691" s="9" t="str">
        <x:v>T34.03</x:v>
      </x:c>
      <x:c r="C1691" s="9" t="str">
        <x:v>Trade execution, clearing, and settlement</x:v>
      </x:c>
      <x:c r="D1691" s="15" t="str">
        <x:v>EXPLORE_WITH</x:v>
      </x:c>
      <x:c r="E1691" s="9" t="str">
        <x:v>T34.02</x:v>
      </x:c>
      <x:c r="F1691" s="9" t="str">
        <x:v>Custodians, depositories, and clearing houses</x:v>
      </x:c>
      <x:c r="G1691" s="9" t="str">
        <x:v>Study these together to understand how transactions are executed, safeguarded and governed.</x:v>
      </x:c>
      <x:c r="H1691" s="9" t="str">
        <x:v>A topical exploration link, not a claim that one determines the other.</x:v>
      </x:c>
      <x:c r="I1691" s="9" t="str">
        <x:v>Curated curriculum relationship</x:v>
      </x:c>
    </x:row>
    <x:row r="1692" ht="58" customHeight="1">
      <x:c r="A1692" s="10" t="str">
        <x:v>E1687</x:v>
      </x:c>
      <x:c r="B1692" s="10" t="str">
        <x:v>T01.03</x:v>
      </x:c>
      <x:c r="C1692" s="10" t="str">
        <x:v>The financial system: households, businesses, governments, and intermediaries</x:v>
      </x:c>
      <x:c r="D1692" s="14" t="str">
        <x:v>RECOMMENDED_BEFORE</x:v>
      </x:c>
      <x:c r="E1692" s="10" t="str">
        <x:v>T34.03</x:v>
      </x:c>
      <x:c r="F1692" s="10" t="str">
        <x:v>Trade execution, clearing, and settlement</x:v>
      </x:c>
      <x:c r="G1692" s="10" t="str">
        <x:v>Suggested starting knowledge: The financial system: households, businesses, governments, and intermediaries. It helps you understand how transactions are executed, safeguarded and governed.</x:v>
      </x:c>
      <x:c r="H1692" s="10" t="str">
        <x:v>Suggested learning order; learners can still explore freely.</x:v>
      </x:c>
      <x:c r="I1692" s="10" t="str">
        <x:v>Curated curriculum relationship</x:v>
      </x:c>
    </x:row>
    <x:row r="1693" ht="58" customHeight="1">
      <x:c r="A1693" s="9" t="str">
        <x:v>E1688</x:v>
      </x:c>
      <x:c r="B1693" s="9" t="str">
        <x:v>T34.04</x:v>
      </x:c>
      <x:c r="C1693" s="9" t="str">
        <x:v>Order books, spreads, depth, and liquidity</x:v>
      </x:c>
      <x:c r="D1693" s="15" t="str">
        <x:v>PART_OF</x:v>
      </x:c>
      <x:c r="E1693" s="9" t="str">
        <x:v>D34</x:v>
      </x:c>
      <x:c r="F1693" s="9" t="str">
        <x:v>Market infrastructure, regulation, and governance</x:v>
      </x:c>
      <x:c r="G1693" s="9" t="str">
        <x:v>Curriculum membership. Use this link to move between the topic and its finance area.</x:v>
      </x:c>
      <x:c r="H1693" s="9" t="str">
        <x:v>Classification only; this edge is not a causal or calculation relationship.</x:v>
      </x:c>
      <x:c r="I1693" s="9" t="str">
        <x:v>Curated curriculum relationship</x:v>
      </x:c>
    </x:row>
    <x:row r="1694" ht="58" customHeight="1">
      <x:c r="A1694" s="10" t="str">
        <x:v>E1689</x:v>
      </x:c>
      <x:c r="B1694" s="10" t="str">
        <x:v>T34.04</x:v>
      </x:c>
      <x:c r="C1694" s="10" t="str">
        <x:v>Order books, spreads, depth, and liquidity</x:v>
      </x:c>
      <x:c r="D1694" s="14" t="str">
        <x:v>EXPLORE_WITH</x:v>
      </x:c>
      <x:c r="E1694" s="10" t="str">
        <x:v>T34.05</x:v>
      </x:c>
      <x:c r="F1694" s="10" t="str">
        <x:v>Market impact and transaction costs</x:v>
      </x:c>
      <x:c r="G1694" s="10" t="str">
        <x:v>Study these together to understand how transactions are executed, safeguarded and governed.</x:v>
      </x:c>
      <x:c r="H1694" s="10" t="str">
        <x:v>A topical exploration link, not a claim that one determines the other.</x:v>
      </x:c>
      <x:c r="I1694" s="10" t="str">
        <x:v>Curated curriculum relationship</x:v>
      </x:c>
    </x:row>
    <x:row r="1695" ht="58" customHeight="1">
      <x:c r="A1695" s="9" t="str">
        <x:v>E1690</x:v>
      </x:c>
      <x:c r="B1695" s="9" t="str">
        <x:v>T01.03</x:v>
      </x:c>
      <x:c r="C1695" s="9" t="str">
        <x:v>The financial system: households, businesses, governments, and intermediaries</x:v>
      </x:c>
      <x:c r="D1695" s="15" t="str">
        <x:v>RECOMMENDED_BEFORE</x:v>
      </x:c>
      <x:c r="E1695" s="9" t="str">
        <x:v>T34.04</x:v>
      </x:c>
      <x:c r="F1695" s="9" t="str">
        <x:v>Order books, spreads, depth, and liquidity</x:v>
      </x:c>
      <x:c r="G1695" s="9" t="str">
        <x:v>Suggested starting knowledge: The financial system: households, businesses, governments, and intermediaries. It helps you understand how transactions are executed, safeguarded and governed.</x:v>
      </x:c>
      <x:c r="H1695" s="9" t="str">
        <x:v>Suggested learning order; learners can still explore freely.</x:v>
      </x:c>
      <x:c r="I1695" s="9" t="str">
        <x:v>Curated curriculum relationship</x:v>
      </x:c>
    </x:row>
    <x:row r="1696" ht="58" customHeight="1">
      <x:c r="A1696" s="10" t="str">
        <x:v>E1691</x:v>
      </x:c>
      <x:c r="B1696" s="10" t="str">
        <x:v>T34.05</x:v>
      </x:c>
      <x:c r="C1696" s="10" t="str">
        <x:v>Market impact and transaction costs</x:v>
      </x:c>
      <x:c r="D1696" s="14" t="str">
        <x:v>PART_OF</x:v>
      </x:c>
      <x:c r="E1696" s="10" t="str">
        <x:v>D34</x:v>
      </x:c>
      <x:c r="F1696" s="10" t="str">
        <x:v>Market infrastructure, regulation, and governance</x:v>
      </x:c>
      <x:c r="G1696" s="10" t="str">
        <x:v>Curriculum membership. Use this link to move between the topic and its finance area.</x:v>
      </x:c>
      <x:c r="H1696" s="10" t="str">
        <x:v>Classification only; this edge is not a causal or calculation relationship.</x:v>
      </x:c>
      <x:c r="I1696" s="10" t="str">
        <x:v>Curated curriculum relationship</x:v>
      </x:c>
    </x:row>
    <x:row r="1697" ht="58" customHeight="1">
      <x:c r="A1697" s="9" t="str">
        <x:v>E1692</x:v>
      </x:c>
      <x:c r="B1697" s="9" t="str">
        <x:v>T34.05</x:v>
      </x:c>
      <x:c r="C1697" s="9" t="str">
        <x:v>Market impact and transaction costs</x:v>
      </x:c>
      <x:c r="D1697" s="15" t="str">
        <x:v>EXPLORE_WITH</x:v>
      </x:c>
      <x:c r="E1697" s="9" t="str">
        <x:v>T34.04</x:v>
      </x:c>
      <x:c r="F1697" s="9" t="str">
        <x:v>Order books, spreads, depth, and liquidity</x:v>
      </x:c>
      <x:c r="G1697" s="9" t="str">
        <x:v>Study these together to understand how transactions are executed, safeguarded and governed.</x:v>
      </x:c>
      <x:c r="H1697" s="9" t="str">
        <x:v>A topical exploration link, not a claim that one determines the other.</x:v>
      </x:c>
      <x:c r="I1697" s="9" t="str">
        <x:v>Curated curriculum relationship</x:v>
      </x:c>
    </x:row>
    <x:row r="1698" ht="58" customHeight="1">
      <x:c r="A1698" s="10" t="str">
        <x:v>E1693</x:v>
      </x:c>
      <x:c r="B1698" s="10" t="str">
        <x:v>T01.03</x:v>
      </x:c>
      <x:c r="C1698" s="10" t="str">
        <x:v>The financial system: households, businesses, governments, and intermediaries</x:v>
      </x:c>
      <x:c r="D1698" s="14" t="str">
        <x:v>RECOMMENDED_BEFORE</x:v>
      </x:c>
      <x:c r="E1698" s="10" t="str">
        <x:v>T34.05</x:v>
      </x:c>
      <x:c r="F1698" s="10" t="str">
        <x:v>Market impact and transaction costs</x:v>
      </x:c>
      <x:c r="G1698" s="10" t="str">
        <x:v>Suggested starting knowledge: The financial system: households, businesses, governments, and intermediaries. It helps you understand how transactions are executed, safeguarded and governed.</x:v>
      </x:c>
      <x:c r="H1698" s="10" t="str">
        <x:v>Suggested learning order; learners can still explore freely.</x:v>
      </x:c>
      <x:c r="I1698" s="10" t="str">
        <x:v>Curated curriculum relationship</x:v>
      </x:c>
    </x:row>
    <x:row r="1699" ht="58" customHeight="1">
      <x:c r="A1699" s="9" t="str">
        <x:v>E1694</x:v>
      </x:c>
      <x:c r="B1699" s="9" t="str">
        <x:v>T34.06</x:v>
      </x:c>
      <x:c r="C1699" s="9" t="str">
        <x:v>Auctions, circuit breakers, and trading halts</x:v>
      </x:c>
      <x:c r="D1699" s="15" t="str">
        <x:v>PART_OF</x:v>
      </x:c>
      <x:c r="E1699" s="9" t="str">
        <x:v>D34</x:v>
      </x:c>
      <x:c r="F1699" s="9" t="str">
        <x:v>Market infrastructure, regulation, and governance</x:v>
      </x:c>
      <x:c r="G1699" s="9" t="str">
        <x:v>Curriculum membership. Use this link to move between the topic and its finance area.</x:v>
      </x:c>
      <x:c r="H1699" s="9" t="str">
        <x:v>Classification only; this edge is not a causal or calculation relationship.</x:v>
      </x:c>
      <x:c r="I1699" s="9" t="str">
        <x:v>Curated curriculum relationship</x:v>
      </x:c>
    </x:row>
    <x:row r="1700" ht="58" customHeight="1">
      <x:c r="A1700" s="10" t="str">
        <x:v>E1695</x:v>
      </x:c>
      <x:c r="B1700" s="10" t="str">
        <x:v>T34.06</x:v>
      </x:c>
      <x:c r="C1700" s="10" t="str">
        <x:v>Auctions, circuit breakers, and trading halts</x:v>
      </x:c>
      <x:c r="D1700" s="14" t="str">
        <x:v>EXPLORE_WITH</x:v>
      </x:c>
      <x:c r="E1700" s="10" t="str">
        <x:v>T34.04</x:v>
      </x:c>
      <x:c r="F1700" s="10" t="str">
        <x:v>Order books, spreads, depth, and liquidity</x:v>
      </x:c>
      <x:c r="G1700" s="10" t="str">
        <x:v>Study these together to understand how transactions are executed, safeguarded and governed.</x:v>
      </x:c>
      <x:c r="H1700" s="10" t="str">
        <x:v>A topical exploration link, not a claim that one determines the other.</x:v>
      </x:c>
      <x:c r="I1700" s="10" t="str">
        <x:v>Curated curriculum relationship</x:v>
      </x:c>
    </x:row>
    <x:row r="1701" ht="58" customHeight="1">
      <x:c r="A1701" s="9" t="str">
        <x:v>E1696</x:v>
      </x:c>
      <x:c r="B1701" s="9" t="str">
        <x:v>T01.03</x:v>
      </x:c>
      <x:c r="C1701" s="9" t="str">
        <x:v>The financial system: households, businesses, governments, and intermediaries</x:v>
      </x:c>
      <x:c r="D1701" s="15" t="str">
        <x:v>RECOMMENDED_BEFORE</x:v>
      </x:c>
      <x:c r="E1701" s="9" t="str">
        <x:v>T34.06</x:v>
      </x:c>
      <x:c r="F1701" s="9" t="str">
        <x:v>Auctions, circuit breakers, and trading halts</x:v>
      </x:c>
      <x:c r="G1701" s="9" t="str">
        <x:v>Suggested starting knowledge: The financial system: households, businesses, governments, and intermediaries. It helps you understand how transactions are executed, safeguarded and governed.</x:v>
      </x:c>
      <x:c r="H1701" s="9" t="str">
        <x:v>Suggested learning order; learners can still explore freely.</x:v>
      </x:c>
      <x:c r="I1701" s="9" t="str">
        <x:v>Curated curriculum relationship</x:v>
      </x:c>
    </x:row>
    <x:row r="1702" ht="58" customHeight="1">
      <x:c r="A1702" s="10" t="str">
        <x:v>E1697</x:v>
      </x:c>
      <x:c r="B1702" s="10" t="str">
        <x:v>T34.07</x:v>
      </x:c>
      <x:c r="C1702" s="10" t="str">
        <x:v>Securities issuance and disclosure requirements</x:v>
      </x:c>
      <x:c r="D1702" s="14" t="str">
        <x:v>PART_OF</x:v>
      </x:c>
      <x:c r="E1702" s="10" t="str">
        <x:v>D34</x:v>
      </x:c>
      <x:c r="F1702" s="10" t="str">
        <x:v>Market infrastructure, regulation, and governance</x:v>
      </x:c>
      <x:c r="G1702" s="10" t="str">
        <x:v>Curriculum membership. Use this link to move between the topic and its finance area.</x:v>
      </x:c>
      <x:c r="H1702" s="10" t="str">
        <x:v>Classification only; this edge is not a causal or calculation relationship.</x:v>
      </x:c>
      <x:c r="I1702" s="10" t="str">
        <x:v>Curated curriculum relationship</x:v>
      </x:c>
    </x:row>
    <x:row r="1703" ht="58" customHeight="1">
      <x:c r="A1703" s="9" t="str">
        <x:v>E1698</x:v>
      </x:c>
      <x:c r="B1703" s="9" t="str">
        <x:v>T34.07</x:v>
      </x:c>
      <x:c r="C1703" s="9" t="str">
        <x:v>Securities issuance and disclosure requirements</x:v>
      </x:c>
      <x:c r="D1703" s="15" t="str">
        <x:v>EXPLORE_WITH</x:v>
      </x:c>
      <x:c r="E1703" s="9" t="str">
        <x:v>T34.15</x:v>
      </x:c>
      <x:c r="F1703" s="9" t="str">
        <x:v>Regulatory reporting and compliance</x:v>
      </x:c>
      <x:c r="G1703" s="9" t="str">
        <x:v>Study these together to understand how transactions are executed, safeguarded and governed.</x:v>
      </x:c>
      <x:c r="H1703" s="9" t="str">
        <x:v>A topical exploration link, not a claim that one determines the other.</x:v>
      </x:c>
      <x:c r="I1703" s="9" t="str">
        <x:v>Curated curriculum relationship</x:v>
      </x:c>
    </x:row>
    <x:row r="1704" ht="58" customHeight="1">
      <x:c r="A1704" s="10" t="str">
        <x:v>E1699</x:v>
      </x:c>
      <x:c r="B1704" s="10" t="str">
        <x:v>T01.03</x:v>
      </x:c>
      <x:c r="C1704" s="10" t="str">
        <x:v>The financial system: households, businesses, governments, and intermediaries</x:v>
      </x:c>
      <x:c r="D1704" s="14" t="str">
        <x:v>RECOMMENDED_BEFORE</x:v>
      </x:c>
      <x:c r="E1704" s="10" t="str">
        <x:v>T34.07</x:v>
      </x:c>
      <x:c r="F1704" s="10" t="str">
        <x:v>Securities issuance and disclosure requirements</x:v>
      </x:c>
      <x:c r="G1704" s="10" t="str">
        <x:v>Suggested starting knowledge: The financial system: households, businesses, governments, and intermediaries. It helps you understand how transactions are executed, safeguarded and governed.</x:v>
      </x:c>
      <x:c r="H1704" s="10" t="str">
        <x:v>Suggested learning order; learners can still explore freely.</x:v>
      </x:c>
      <x:c r="I1704" s="10" t="str">
        <x:v>Curated curriculum relationship</x:v>
      </x:c>
    </x:row>
    <x:row r="1705" ht="58" customHeight="1">
      <x:c r="A1705" s="9" t="str">
        <x:v>E1700</x:v>
      </x:c>
      <x:c r="B1705" s="9" t="str">
        <x:v>T34.08</x:v>
      </x:c>
      <x:c r="C1705" s="9" t="str">
        <x:v>Insider trading and market manipulation</x:v>
      </x:c>
      <x:c r="D1705" s="15" t="str">
        <x:v>PART_OF</x:v>
      </x:c>
      <x:c r="E1705" s="9" t="str">
        <x:v>D34</x:v>
      </x:c>
      <x:c r="F1705" s="9" t="str">
        <x:v>Market infrastructure, regulation, and governance</x:v>
      </x:c>
      <x:c r="G1705" s="9" t="str">
        <x:v>Curriculum membership. Use this link to move between the topic and its finance area.</x:v>
      </x:c>
      <x:c r="H1705" s="9" t="str">
        <x:v>Classification only; this edge is not a causal or calculation relationship.</x:v>
      </x:c>
      <x:c r="I1705" s="9" t="str">
        <x:v>Curated curriculum relationship</x:v>
      </x:c>
    </x:row>
    <x:row r="1706" ht="58" customHeight="1">
      <x:c r="A1706" s="10" t="str">
        <x:v>E1701</x:v>
      </x:c>
      <x:c r="B1706" s="10" t="str">
        <x:v>T34.08</x:v>
      </x:c>
      <x:c r="C1706" s="10" t="str">
        <x:v>Insider trading and market manipulation</x:v>
      </x:c>
      <x:c r="D1706" s="14" t="str">
        <x:v>EXPLORE_WITH</x:v>
      </x:c>
      <x:c r="E1706" s="10" t="str">
        <x:v>T34.14</x:v>
      </x:c>
      <x:c r="F1706" s="10" t="str">
        <x:v>Financial ethics and professional conduct</x:v>
      </x:c>
      <x:c r="G1706" s="10" t="str">
        <x:v>Study these together to understand how transactions are executed, safeguarded and governed.</x:v>
      </x:c>
      <x:c r="H1706" s="10" t="str">
        <x:v>A topical exploration link, not a claim that one determines the other.</x:v>
      </x:c>
      <x:c r="I1706" s="10" t="str">
        <x:v>Curated curriculum relationship</x:v>
      </x:c>
    </x:row>
    <x:row r="1707" ht="58" customHeight="1">
      <x:c r="A1707" s="9" t="str">
        <x:v>E1702</x:v>
      </x:c>
      <x:c r="B1707" s="9" t="str">
        <x:v>T01.03</x:v>
      </x:c>
      <x:c r="C1707" s="9" t="str">
        <x:v>The financial system: households, businesses, governments, and intermediaries</x:v>
      </x:c>
      <x:c r="D1707" s="15" t="str">
        <x:v>RECOMMENDED_BEFORE</x:v>
      </x:c>
      <x:c r="E1707" s="9" t="str">
        <x:v>T34.08</x:v>
      </x:c>
      <x:c r="F1707" s="9" t="str">
        <x:v>Insider trading and market manipulation</x:v>
      </x:c>
      <x:c r="G1707" s="9" t="str">
        <x:v>Suggested starting knowledge: The financial system: households, businesses, governments, and intermediaries. It helps you understand how transactions are executed, safeguarded and governed.</x:v>
      </x:c>
      <x:c r="H1707" s="9" t="str">
        <x:v>Suggested learning order; learners can still explore freely.</x:v>
      </x:c>
      <x:c r="I1707" s="9" t="str">
        <x:v>Curated curriculum relationship</x:v>
      </x:c>
    </x:row>
    <x:row r="1708" ht="58" customHeight="1">
      <x:c r="A1708" s="10" t="str">
        <x:v>E1703</x:v>
      </x:c>
      <x:c r="B1708" s="10" t="str">
        <x:v>T34.09</x:v>
      </x:c>
      <x:c r="C1708" s="10" t="str">
        <x:v>Suitability, fiduciary duties, and investor protection</x:v>
      </x:c>
      <x:c r="D1708" s="14" t="str">
        <x:v>PART_OF</x:v>
      </x:c>
      <x:c r="E1708" s="10" t="str">
        <x:v>D34</x:v>
      </x:c>
      <x:c r="F1708" s="10" t="str">
        <x:v>Market infrastructure, regulation, and governance</x:v>
      </x:c>
      <x:c r="G1708" s="10" t="str">
        <x:v>Curriculum membership. Use this link to move between the topic and its finance area.</x:v>
      </x:c>
      <x:c r="H1708" s="10" t="str">
        <x:v>Classification only; this edge is not a causal or calculation relationship.</x:v>
      </x:c>
      <x:c r="I1708" s="10" t="str">
        <x:v>Curated curriculum relationship</x:v>
      </x:c>
    </x:row>
    <x:row r="1709" ht="58" customHeight="1">
      <x:c r="A1709" s="9" t="str">
        <x:v>E1704</x:v>
      </x:c>
      <x:c r="B1709" s="9" t="str">
        <x:v>T34.09</x:v>
      </x:c>
      <x:c r="C1709" s="9" t="str">
        <x:v>Suitability, fiduciary duties, and investor protection</x:v>
      </x:c>
      <x:c r="D1709" s="15" t="str">
        <x:v>EXPLORE_WITH</x:v>
      </x:c>
      <x:c r="E1709" s="9" t="str">
        <x:v>T34.14</x:v>
      </x:c>
      <x:c r="F1709" s="9" t="str">
        <x:v>Financial ethics and professional conduct</x:v>
      </x:c>
      <x:c r="G1709" s="9" t="str">
        <x:v>Study these together to understand how transactions are executed, safeguarded and governed.</x:v>
      </x:c>
      <x:c r="H1709" s="9" t="str">
        <x:v>A topical exploration link, not a claim that one determines the other.</x:v>
      </x:c>
      <x:c r="I1709" s="9" t="str">
        <x:v>Curated curriculum relationship</x:v>
      </x:c>
    </x:row>
    <x:row r="1710" ht="58" customHeight="1">
      <x:c r="A1710" s="10" t="str">
        <x:v>E1705</x:v>
      </x:c>
      <x:c r="B1710" s="10" t="str">
        <x:v>T01.03</x:v>
      </x:c>
      <x:c r="C1710" s="10" t="str">
        <x:v>The financial system: households, businesses, governments, and intermediaries</x:v>
      </x:c>
      <x:c r="D1710" s="14" t="str">
        <x:v>RECOMMENDED_BEFORE</x:v>
      </x:c>
      <x:c r="E1710" s="10" t="str">
        <x:v>T34.09</x:v>
      </x:c>
      <x:c r="F1710" s="10" t="str">
        <x:v>Suitability, fiduciary duties, and investor protection</x:v>
      </x:c>
      <x:c r="G1710" s="10" t="str">
        <x:v>Suggested starting knowledge: The financial system: households, businesses, governments, and intermediaries. It helps you understand how transactions are executed, safeguarded and governed.</x:v>
      </x:c>
      <x:c r="H1710" s="10" t="str">
        <x:v>Suggested learning order; learners can still explore freely.</x:v>
      </x:c>
      <x:c r="I1710" s="10" t="str">
        <x:v>Curated curriculum relationship</x:v>
      </x:c>
    </x:row>
    <x:row r="1711" ht="58" customHeight="1">
      <x:c r="A1711" s="9" t="str">
        <x:v>E1706</x:v>
      </x:c>
      <x:c r="B1711" s="9" t="str">
        <x:v>T34.10</x:v>
      </x:c>
      <x:c r="C1711" s="9" t="str">
        <x:v>Know-your-customer and anti-money-laundering frameworks</x:v>
      </x:c>
      <x:c r="D1711" s="15" t="str">
        <x:v>PART_OF</x:v>
      </x:c>
      <x:c r="E1711" s="9" t="str">
        <x:v>D34</x:v>
      </x:c>
      <x:c r="F1711" s="9" t="str">
        <x:v>Market infrastructure, regulation, and governance</x:v>
      </x:c>
      <x:c r="G1711" s="9" t="str">
        <x:v>Curriculum membership. Use this link to move between the topic and its finance area.</x:v>
      </x:c>
      <x:c r="H1711" s="9" t="str">
        <x:v>Classification only; this edge is not a causal or calculation relationship.</x:v>
      </x:c>
      <x:c r="I1711" s="9" t="str">
        <x:v>Curated curriculum relationship</x:v>
      </x:c>
    </x:row>
    <x:row r="1712" ht="58" customHeight="1">
      <x:c r="A1712" s="10" t="str">
        <x:v>E1707</x:v>
      </x:c>
      <x:c r="B1712" s="10" t="str">
        <x:v>T34.10</x:v>
      </x:c>
      <x:c r="C1712" s="10" t="str">
        <x:v>Know-your-customer and anti-money-laundering frameworks</x:v>
      </x:c>
      <x:c r="D1712" s="14" t="str">
        <x:v>EXPLORE_WITH</x:v>
      </x:c>
      <x:c r="E1712" s="10" t="str">
        <x:v>T34.15</x:v>
      </x:c>
      <x:c r="F1712" s="10" t="str">
        <x:v>Regulatory reporting and compliance</x:v>
      </x:c>
      <x:c r="G1712" s="10" t="str">
        <x:v>Study these together to understand how transactions are executed, safeguarded and governed.</x:v>
      </x:c>
      <x:c r="H1712" s="10" t="str">
        <x:v>A topical exploration link, not a claim that one determines the other.</x:v>
      </x:c>
      <x:c r="I1712" s="10" t="str">
        <x:v>Curated curriculum relationship</x:v>
      </x:c>
    </x:row>
    <x:row r="1713" ht="58" customHeight="1">
      <x:c r="A1713" s="9" t="str">
        <x:v>E1708</x:v>
      </x:c>
      <x:c r="B1713" s="9" t="str">
        <x:v>T01.03</x:v>
      </x:c>
      <x:c r="C1713" s="9" t="str">
        <x:v>The financial system: households, businesses, governments, and intermediaries</x:v>
      </x:c>
      <x:c r="D1713" s="15" t="str">
        <x:v>RECOMMENDED_BEFORE</x:v>
      </x:c>
      <x:c r="E1713" s="9" t="str">
        <x:v>T34.10</x:v>
      </x:c>
      <x:c r="F1713" s="9" t="str">
        <x:v>Know-your-customer and anti-money-laundering frameworks</x:v>
      </x:c>
      <x:c r="G1713" s="9" t="str">
        <x:v>Suggested starting knowledge: The financial system: households, businesses, governments, and intermediaries. It helps you understand how transactions are executed, safeguarded and governed.</x:v>
      </x:c>
      <x:c r="H1713" s="9" t="str">
        <x:v>Suggested learning order; learners can still explore freely.</x:v>
      </x:c>
      <x:c r="I1713" s="9" t="str">
        <x:v>Curated curriculum relationship</x:v>
      </x:c>
    </x:row>
    <x:row r="1714" ht="58" customHeight="1">
      <x:c r="A1714" s="10" t="str">
        <x:v>E1709</x:v>
      </x:c>
      <x:c r="B1714" s="10" t="str">
        <x:v>T34.11</x:v>
      </x:c>
      <x:c r="C1714" s="10" t="str">
        <x:v>Corporate boards, audit committees, and governance</x:v>
      </x:c>
      <x:c r="D1714" s="14" t="str">
        <x:v>PART_OF</x:v>
      </x:c>
      <x:c r="E1714" s="10" t="str">
        <x:v>D34</x:v>
      </x:c>
      <x:c r="F1714" s="10" t="str">
        <x:v>Market infrastructure, regulation, and governance</x:v>
      </x:c>
      <x:c r="G1714" s="10" t="str">
        <x:v>Curriculum membership. Use this link to move between the topic and its finance area.</x:v>
      </x:c>
      <x:c r="H1714" s="10" t="str">
        <x:v>Classification only; this edge is not a causal or calculation relationship.</x:v>
      </x:c>
      <x:c r="I1714" s="10" t="str">
        <x:v>Curated curriculum relationship</x:v>
      </x:c>
    </x:row>
    <x:row r="1715" ht="58" customHeight="1">
      <x:c r="A1715" s="9" t="str">
        <x:v>E1710</x:v>
      </x:c>
      <x:c r="B1715" s="9" t="str">
        <x:v>T34.11</x:v>
      </x:c>
      <x:c r="C1715" s="9" t="str">
        <x:v>Corporate boards, audit committees, and governance</x:v>
      </x:c>
      <x:c r="D1715" s="15" t="str">
        <x:v>EXPLORE_WITH</x:v>
      </x:c>
      <x:c r="E1715" s="9" t="str">
        <x:v>T34.12</x:v>
      </x:c>
      <x:c r="F1715" s="9" t="str">
        <x:v>Shareholder rights and stewardship</x:v>
      </x:c>
      <x:c r="G1715" s="9" t="str">
        <x:v>Study these together to understand how transactions are executed, safeguarded and governed.</x:v>
      </x:c>
      <x:c r="H1715" s="9" t="str">
        <x:v>A topical exploration link, not a claim that one determines the other.</x:v>
      </x:c>
      <x:c r="I1715" s="9" t="str">
        <x:v>Curated curriculum relationship</x:v>
      </x:c>
    </x:row>
    <x:row r="1716" ht="58" customHeight="1">
      <x:c r="A1716" s="10" t="str">
        <x:v>E1711</x:v>
      </x:c>
      <x:c r="B1716" s="10" t="str">
        <x:v>T01.03</x:v>
      </x:c>
      <x:c r="C1716" s="10" t="str">
        <x:v>The financial system: households, businesses, governments, and intermediaries</x:v>
      </x:c>
      <x:c r="D1716" s="14" t="str">
        <x:v>RECOMMENDED_BEFORE</x:v>
      </x:c>
      <x:c r="E1716" s="10" t="str">
        <x:v>T34.11</x:v>
      </x:c>
      <x:c r="F1716" s="10" t="str">
        <x:v>Corporate boards, audit committees, and governance</x:v>
      </x:c>
      <x:c r="G1716" s="10" t="str">
        <x:v>Suggested starting knowledge: The financial system: households, businesses, governments, and intermediaries. It helps you understand how transactions are executed, safeguarded and governed.</x:v>
      </x:c>
      <x:c r="H1716" s="10" t="str">
        <x:v>Suggested learning order; learners can still explore freely.</x:v>
      </x:c>
      <x:c r="I1716" s="10" t="str">
        <x:v>Curated curriculum relationship</x:v>
      </x:c>
    </x:row>
    <x:row r="1717" ht="58" customHeight="1">
      <x:c r="A1717" s="9" t="str">
        <x:v>E1712</x:v>
      </x:c>
      <x:c r="B1717" s="9" t="str">
        <x:v>T34.12</x:v>
      </x:c>
      <x:c r="C1717" s="9" t="str">
        <x:v>Shareholder rights and stewardship</x:v>
      </x:c>
      <x:c r="D1717" s="15" t="str">
        <x:v>PART_OF</x:v>
      </x:c>
      <x:c r="E1717" s="9" t="str">
        <x:v>D34</x:v>
      </x:c>
      <x:c r="F1717" s="9" t="str">
        <x:v>Market infrastructure, regulation, and governance</x:v>
      </x:c>
      <x:c r="G1717" s="9" t="str">
        <x:v>Curriculum membership. Use this link to move between the topic and its finance area.</x:v>
      </x:c>
      <x:c r="H1717" s="9" t="str">
        <x:v>Classification only; this edge is not a causal or calculation relationship.</x:v>
      </x:c>
      <x:c r="I1717" s="9" t="str">
        <x:v>Curated curriculum relationship</x:v>
      </x:c>
    </x:row>
    <x:row r="1718" ht="58" customHeight="1">
      <x:c r="A1718" s="10" t="str">
        <x:v>E1713</x:v>
      </x:c>
      <x:c r="B1718" s="10" t="str">
        <x:v>T34.12</x:v>
      </x:c>
      <x:c r="C1718" s="10" t="str">
        <x:v>Shareholder rights and stewardship</x:v>
      </x:c>
      <x:c r="D1718" s="14" t="str">
        <x:v>EXPLORE_WITH</x:v>
      </x:c>
      <x:c r="E1718" s="10" t="str">
        <x:v>T34.11</x:v>
      </x:c>
      <x:c r="F1718" s="10" t="str">
        <x:v>Corporate boards, audit committees, and governance</x:v>
      </x:c>
      <x:c r="G1718" s="10" t="str">
        <x:v>Study these together to understand how transactions are executed, safeguarded and governed.</x:v>
      </x:c>
      <x:c r="H1718" s="10" t="str">
        <x:v>A topical exploration link, not a claim that one determines the other.</x:v>
      </x:c>
      <x:c r="I1718" s="10" t="str">
        <x:v>Curated curriculum relationship</x:v>
      </x:c>
    </x:row>
    <x:row r="1719" ht="58" customHeight="1">
      <x:c r="A1719" s="9" t="str">
        <x:v>E1714</x:v>
      </x:c>
      <x:c r="B1719" s="9" t="str">
        <x:v>T01.03</x:v>
      </x:c>
      <x:c r="C1719" s="9" t="str">
        <x:v>The financial system: households, businesses, governments, and intermediaries</x:v>
      </x:c>
      <x:c r="D1719" s="15" t="str">
        <x:v>RECOMMENDED_BEFORE</x:v>
      </x:c>
      <x:c r="E1719" s="9" t="str">
        <x:v>T34.12</x:v>
      </x:c>
      <x:c r="F1719" s="9" t="str">
        <x:v>Shareholder rights and stewardship</x:v>
      </x:c>
      <x:c r="G1719" s="9" t="str">
        <x:v>Suggested starting knowledge: The financial system: households, businesses, governments, and intermediaries. It helps you understand how transactions are executed, safeguarded and governed.</x:v>
      </x:c>
      <x:c r="H1719" s="9" t="str">
        <x:v>Suggested learning order; learners can still explore freely.</x:v>
      </x:c>
      <x:c r="I1719" s="9" t="str">
        <x:v>Curated curriculum relationship</x:v>
      </x:c>
    </x:row>
    <x:row r="1720" ht="58" customHeight="1">
      <x:c r="A1720" s="10" t="str">
        <x:v>E1715</x:v>
      </x:c>
      <x:c r="B1720" s="10" t="str">
        <x:v>T34.13</x:v>
      </x:c>
      <x:c r="C1720" s="10" t="str">
        <x:v>Credit-rating agencies and conflicts of interest</x:v>
      </x:c>
      <x:c r="D1720" s="14" t="str">
        <x:v>PART_OF</x:v>
      </x:c>
      <x:c r="E1720" s="10" t="str">
        <x:v>D34</x:v>
      </x:c>
      <x:c r="F1720" s="10" t="str">
        <x:v>Market infrastructure, regulation, and governance</x:v>
      </x:c>
      <x:c r="G1720" s="10" t="str">
        <x:v>Curriculum membership. Use this link to move between the topic and its finance area.</x:v>
      </x:c>
      <x:c r="H1720" s="10" t="str">
        <x:v>Classification only; this edge is not a causal or calculation relationship.</x:v>
      </x:c>
      <x:c r="I1720" s="10" t="str">
        <x:v>Curated curriculum relationship</x:v>
      </x:c>
    </x:row>
    <x:row r="1721" ht="58" customHeight="1">
      <x:c r="A1721" s="9" t="str">
        <x:v>E1716</x:v>
      </x:c>
      <x:c r="B1721" s="9" t="str">
        <x:v>T34.13</x:v>
      </x:c>
      <x:c r="C1721" s="9" t="str">
        <x:v>Credit-rating agencies and conflicts of interest</x:v>
      </x:c>
      <x:c r="D1721" s="15" t="str">
        <x:v>EXPLORE_WITH</x:v>
      </x:c>
      <x:c r="E1721" s="9" t="str">
        <x:v>T34.14</x:v>
      </x:c>
      <x:c r="F1721" s="9" t="str">
        <x:v>Financial ethics and professional conduct</x:v>
      </x:c>
      <x:c r="G1721" s="9" t="str">
        <x:v>Study these together to understand how transactions are executed, safeguarded and governed.</x:v>
      </x:c>
      <x:c r="H1721" s="9" t="str">
        <x:v>A topical exploration link, not a claim that one determines the other.</x:v>
      </x:c>
      <x:c r="I1721" s="9" t="str">
        <x:v>Curated curriculum relationship</x:v>
      </x:c>
    </x:row>
    <x:row r="1722" ht="58" customHeight="1">
      <x:c r="A1722" s="10" t="str">
        <x:v>E1717</x:v>
      </x:c>
      <x:c r="B1722" s="10" t="str">
        <x:v>T01.03</x:v>
      </x:c>
      <x:c r="C1722" s="10" t="str">
        <x:v>The financial system: households, businesses, governments, and intermediaries</x:v>
      </x:c>
      <x:c r="D1722" s="14" t="str">
        <x:v>RECOMMENDED_BEFORE</x:v>
      </x:c>
      <x:c r="E1722" s="10" t="str">
        <x:v>T34.13</x:v>
      </x:c>
      <x:c r="F1722" s="10" t="str">
        <x:v>Credit-rating agencies and conflicts of interest</x:v>
      </x:c>
      <x:c r="G1722" s="10" t="str">
        <x:v>Suggested starting knowledge: The financial system: households, businesses, governments, and intermediaries. It helps you understand how transactions are executed, safeguarded and governed.</x:v>
      </x:c>
      <x:c r="H1722" s="10" t="str">
        <x:v>Suggested learning order; learners can still explore freely.</x:v>
      </x:c>
      <x:c r="I1722" s="10" t="str">
        <x:v>Curated curriculum relationship</x:v>
      </x:c>
    </x:row>
    <x:row r="1723" ht="58" customHeight="1">
      <x:c r="A1723" s="9" t="str">
        <x:v>E1718</x:v>
      </x:c>
      <x:c r="B1723" s="9" t="str">
        <x:v>T34.14</x:v>
      </x:c>
      <x:c r="C1723" s="9" t="str">
        <x:v>Financial ethics and professional conduct</x:v>
      </x:c>
      <x:c r="D1723" s="15" t="str">
        <x:v>PART_OF</x:v>
      </x:c>
      <x:c r="E1723" s="9" t="str">
        <x:v>D34</x:v>
      </x:c>
      <x:c r="F1723" s="9" t="str">
        <x:v>Market infrastructure, regulation, and governance</x:v>
      </x:c>
      <x:c r="G1723" s="9" t="str">
        <x:v>Curriculum membership. Use this link to move between the topic and its finance area.</x:v>
      </x:c>
      <x:c r="H1723" s="9" t="str">
        <x:v>Classification only; this edge is not a causal or calculation relationship.</x:v>
      </x:c>
      <x:c r="I1723" s="9" t="str">
        <x:v>Curated curriculum relationship</x:v>
      </x:c>
    </x:row>
    <x:row r="1724" ht="58" customHeight="1">
      <x:c r="A1724" s="10" t="str">
        <x:v>E1719</x:v>
      </x:c>
      <x:c r="B1724" s="10" t="str">
        <x:v>T34.14</x:v>
      </x:c>
      <x:c r="C1724" s="10" t="str">
        <x:v>Financial ethics and professional conduct</x:v>
      </x:c>
      <x:c r="D1724" s="14" t="str">
        <x:v>EXPLORE_WITH</x:v>
      </x:c>
      <x:c r="E1724" s="10" t="str">
        <x:v>T34.09</x:v>
      </x:c>
      <x:c r="F1724" s="10" t="str">
        <x:v>Suitability, fiduciary duties, and investor protection</x:v>
      </x:c>
      <x:c r="G1724" s="10" t="str">
        <x:v>Study these together to understand how transactions are executed, safeguarded and governed.</x:v>
      </x:c>
      <x:c r="H1724" s="10" t="str">
        <x:v>A topical exploration link, not a claim that one determines the other.</x:v>
      </x:c>
      <x:c r="I1724" s="10" t="str">
        <x:v>Curated curriculum relationship</x:v>
      </x:c>
    </x:row>
    <x:row r="1725" ht="58" customHeight="1">
      <x:c r="A1725" s="9" t="str">
        <x:v>E1720</x:v>
      </x:c>
      <x:c r="B1725" s="9" t="str">
        <x:v>T01.03</x:v>
      </x:c>
      <x:c r="C1725" s="9" t="str">
        <x:v>The financial system: households, businesses, governments, and intermediaries</x:v>
      </x:c>
      <x:c r="D1725" s="15" t="str">
        <x:v>RECOMMENDED_BEFORE</x:v>
      </x:c>
      <x:c r="E1725" s="9" t="str">
        <x:v>T34.14</x:v>
      </x:c>
      <x:c r="F1725" s="9" t="str">
        <x:v>Financial ethics and professional conduct</x:v>
      </x:c>
      <x:c r="G1725" s="9" t="str">
        <x:v>Suggested starting knowledge: The financial system: households, businesses, governments, and intermediaries. It helps you understand how transactions are executed, safeguarded and governed.</x:v>
      </x:c>
      <x:c r="H1725" s="9" t="str">
        <x:v>Suggested learning order; learners can still explore freely.</x:v>
      </x:c>
      <x:c r="I1725" s="9" t="str">
        <x:v>Curated curriculum relationship</x:v>
      </x:c>
    </x:row>
    <x:row r="1726" ht="58" customHeight="1">
      <x:c r="A1726" s="10" t="str">
        <x:v>E1721</x:v>
      </x:c>
      <x:c r="B1726" s="10" t="str">
        <x:v>T34.15</x:v>
      </x:c>
      <x:c r="C1726" s="10" t="str">
        <x:v>Regulatory reporting and compliance</x:v>
      </x:c>
      <x:c r="D1726" s="14" t="str">
        <x:v>PART_OF</x:v>
      </x:c>
      <x:c r="E1726" s="10" t="str">
        <x:v>D34</x:v>
      </x:c>
      <x:c r="F1726" s="10" t="str">
        <x:v>Market infrastructure, regulation, and governance</x:v>
      </x:c>
      <x:c r="G1726" s="10" t="str">
        <x:v>Curriculum membership. Use this link to move between the topic and its finance area.</x:v>
      </x:c>
      <x:c r="H1726" s="10" t="str">
        <x:v>Classification only; this edge is not a causal or calculation relationship.</x:v>
      </x:c>
      <x:c r="I1726" s="10" t="str">
        <x:v>Curated curriculum relationship</x:v>
      </x:c>
    </x:row>
    <x:row r="1727" ht="58" customHeight="1">
      <x:c r="A1727" s="9" t="str">
        <x:v>E1722</x:v>
      </x:c>
      <x:c r="B1727" s="9" t="str">
        <x:v>T34.15</x:v>
      </x:c>
      <x:c r="C1727" s="9" t="str">
        <x:v>Regulatory reporting and compliance</x:v>
      </x:c>
      <x:c r="D1727" s="15" t="str">
        <x:v>EXPLORE_WITH</x:v>
      </x:c>
      <x:c r="E1727" s="9" t="str">
        <x:v>T34.07</x:v>
      </x:c>
      <x:c r="F1727" s="9" t="str">
        <x:v>Securities issuance and disclosure requirements</x:v>
      </x:c>
      <x:c r="G1727" s="9" t="str">
        <x:v>Study these together to understand how transactions are executed, safeguarded and governed.</x:v>
      </x:c>
      <x:c r="H1727" s="9" t="str">
        <x:v>A topical exploration link, not a claim that one determines the other.</x:v>
      </x:c>
      <x:c r="I1727" s="9" t="str">
        <x:v>Curated curriculum relationship</x:v>
      </x:c>
    </x:row>
    <x:row r="1728" ht="58" customHeight="1">
      <x:c r="A1728" s="10" t="str">
        <x:v>E1723</x:v>
      </x:c>
      <x:c r="B1728" s="10" t="str">
        <x:v>T01.03</x:v>
      </x:c>
      <x:c r="C1728" s="10" t="str">
        <x:v>The financial system: households, businesses, governments, and intermediaries</x:v>
      </x:c>
      <x:c r="D1728" s="14" t="str">
        <x:v>RECOMMENDED_BEFORE</x:v>
      </x:c>
      <x:c r="E1728" s="10" t="str">
        <x:v>T34.15</x:v>
      </x:c>
      <x:c r="F1728" s="10" t="str">
        <x:v>Regulatory reporting and compliance</x:v>
      </x:c>
      <x:c r="G1728" s="10" t="str">
        <x:v>Suggested starting knowledge: The financial system: households, businesses, governments, and intermediaries. It helps you understand how transactions are executed, safeguarded and governed.</x:v>
      </x:c>
      <x:c r="H1728" s="10" t="str">
        <x:v>Suggested learning order; learners can still explore freely.</x:v>
      </x:c>
      <x:c r="I1728" s="10" t="str">
        <x:v>Curated curriculum relationship</x:v>
      </x:c>
    </x:row>
    <x:row r="1729" ht="58" customHeight="1">
      <x:c r="A1729" s="9" t="str">
        <x:v>E1724</x:v>
      </x:c>
      <x:c r="B1729" s="9" t="str">
        <x:v>T35.01</x:v>
      </x:c>
      <x:c r="C1729" s="9" t="str">
        <x:v>Expected utility and risk preferences</x:v>
      </x:c>
      <x:c r="D1729" s="15" t="str">
        <x:v>PART_OF</x:v>
      </x:c>
      <x:c r="E1729" s="9" t="str">
        <x:v>D35</x:v>
      </x:c>
      <x:c r="F1729" s="9" t="str">
        <x:v>Behavioural finance and financial decision-making</x:v>
      </x:c>
      <x:c r="G1729" s="9" t="str">
        <x:v>Curriculum membership. Use this link to move between the topic and its finance area.</x:v>
      </x:c>
      <x:c r="H1729" s="9" t="str">
        <x:v>Classification only; this edge is not a causal or calculation relationship.</x:v>
      </x:c>
      <x:c r="I1729" s="9" t="str">
        <x:v>Curated curriculum relationship</x:v>
      </x:c>
    </x:row>
    <x:row r="1730" ht="58" customHeight="1">
      <x:c r="A1730" s="10" t="str">
        <x:v>E1725</x:v>
      </x:c>
      <x:c r="B1730" s="10" t="str">
        <x:v>T35.01</x:v>
      </x:c>
      <x:c r="C1730" s="10" t="str">
        <x:v>Expected utility and risk preferences</x:v>
      </x:c>
      <x:c r="D1730" s="14" t="str">
        <x:v>EXPLORE_WITH</x:v>
      </x:c>
      <x:c r="E1730" s="10" t="str">
        <x:v>T35.02</x:v>
      </x:c>
      <x:c r="F1730" s="10" t="str">
        <x:v>Prospect theory and loss aversion</x:v>
      </x:c>
      <x:c r="G1730" s="10" t="str">
        <x:v>Study these together to recognise how incentives and cognitive biases influence financial decisions.</x:v>
      </x:c>
      <x:c r="H1730" s="10" t="str">
        <x:v>A topical exploration link, not a claim that one determines the other.</x:v>
      </x:c>
      <x:c r="I1730" s="10" t="str">
        <x:v>Curated curriculum relationship</x:v>
      </x:c>
    </x:row>
    <x:row r="1731" ht="58" customHeight="1">
      <x:c r="A1731" s="9" t="str">
        <x:v>E1726</x:v>
      </x:c>
      <x:c r="B1731" s="9" t="str">
        <x:v>T01.13</x:v>
      </x:c>
      <x:c r="C1731" s="9" t="str">
        <x:v>Financial decisions under certainty, risk, and uncertainty</x:v>
      </x:c>
      <x:c r="D1731" s="15" t="str">
        <x:v>RECOMMENDED_BEFORE</x:v>
      </x:c>
      <x:c r="E1731" s="9" t="str">
        <x:v>T35.01</x:v>
      </x:c>
      <x:c r="F1731" s="9" t="str">
        <x:v>Expected utility and risk preferences</x:v>
      </x:c>
      <x:c r="G1731" s="9" t="str">
        <x:v>Suggested starting knowledge: Financial decisions under certainty, risk, and uncertainty. It helps you recognise how incentives and cognitive biases influence financial decisions.</x:v>
      </x:c>
      <x:c r="H1731" s="9" t="str">
        <x:v>Suggested learning order; learners can still explore freely.</x:v>
      </x:c>
      <x:c r="I1731" s="9" t="str">
        <x:v>Curated curriculum relationship</x:v>
      </x:c>
    </x:row>
    <x:row r="1732" ht="58" customHeight="1">
      <x:c r="A1732" s="10" t="str">
        <x:v>E1727</x:v>
      </x:c>
      <x:c r="B1732" s="10" t="str">
        <x:v>T35.02</x:v>
      </x:c>
      <x:c r="C1732" s="10" t="str">
        <x:v>Prospect theory and loss aversion</x:v>
      </x:c>
      <x:c r="D1732" s="14" t="str">
        <x:v>PART_OF</x:v>
      </x:c>
      <x:c r="E1732" s="10" t="str">
        <x:v>D35</x:v>
      </x:c>
      <x:c r="F1732" s="10" t="str">
        <x:v>Behavioural finance and financial decision-making</x:v>
      </x:c>
      <x:c r="G1732" s="10" t="str">
        <x:v>Curriculum membership. Use this link to move between the topic and its finance area.</x:v>
      </x:c>
      <x:c r="H1732" s="10" t="str">
        <x:v>Classification only; this edge is not a causal or calculation relationship.</x:v>
      </x:c>
      <x:c r="I1732" s="10" t="str">
        <x:v>Curated curriculum relationship</x:v>
      </x:c>
    </x:row>
    <x:row r="1733" ht="58" customHeight="1">
      <x:c r="A1733" s="9" t="str">
        <x:v>E1728</x:v>
      </x:c>
      <x:c r="B1733" s="9" t="str">
        <x:v>T35.02</x:v>
      </x:c>
      <x:c r="C1733" s="9" t="str">
        <x:v>Prospect theory and loss aversion</x:v>
      </x:c>
      <x:c r="D1733" s="15" t="str">
        <x:v>EXPLORE_WITH</x:v>
      </x:c>
      <x:c r="E1733" s="9" t="str">
        <x:v>T35.01</x:v>
      </x:c>
      <x:c r="F1733" s="9" t="str">
        <x:v>Expected utility and risk preferences</x:v>
      </x:c>
      <x:c r="G1733" s="9" t="str">
        <x:v>Study these together to recognise how incentives and cognitive biases influence financial decisions.</x:v>
      </x:c>
      <x:c r="H1733" s="9" t="str">
        <x:v>A topical exploration link, not a claim that one determines the other.</x:v>
      </x:c>
      <x:c r="I1733" s="9" t="str">
        <x:v>Curated curriculum relationship</x:v>
      </x:c>
    </x:row>
    <x:row r="1734" ht="58" customHeight="1">
      <x:c r="A1734" s="10" t="str">
        <x:v>E1729</x:v>
      </x:c>
      <x:c r="B1734" s="10" t="str">
        <x:v>T01.13</x:v>
      </x:c>
      <x:c r="C1734" s="10" t="str">
        <x:v>Financial decisions under certainty, risk, and uncertainty</x:v>
      </x:c>
      <x:c r="D1734" s="14" t="str">
        <x:v>RECOMMENDED_BEFORE</x:v>
      </x:c>
      <x:c r="E1734" s="10" t="str">
        <x:v>T35.02</x:v>
      </x:c>
      <x:c r="F1734" s="10" t="str">
        <x:v>Prospect theory and loss aversion</x:v>
      </x:c>
      <x:c r="G1734" s="10" t="str">
        <x:v>Suggested starting knowledge: Financial decisions under certainty, risk, and uncertainty. It helps you recognise how incentives and cognitive biases influence financial decisions.</x:v>
      </x:c>
      <x:c r="H1734" s="10" t="str">
        <x:v>Suggested learning order; learners can still explore freely.</x:v>
      </x:c>
      <x:c r="I1734" s="10" t="str">
        <x:v>Curated curriculum relationship</x:v>
      </x:c>
    </x:row>
    <x:row r="1735" ht="58" customHeight="1">
      <x:c r="A1735" s="9" t="str">
        <x:v>E1730</x:v>
      </x:c>
      <x:c r="B1735" s="9" t="str">
        <x:v>T35.03</x:v>
      </x:c>
      <x:c r="C1735" s="9" t="str">
        <x:v>Anchoring and framing</x:v>
      </x:c>
      <x:c r="D1735" s="15" t="str">
        <x:v>PART_OF</x:v>
      </x:c>
      <x:c r="E1735" s="9" t="str">
        <x:v>D35</x:v>
      </x:c>
      <x:c r="F1735" s="9" t="str">
        <x:v>Behavioural finance and financial decision-making</x:v>
      </x:c>
      <x:c r="G1735" s="9" t="str">
        <x:v>Curriculum membership. Use this link to move between the topic and its finance area.</x:v>
      </x:c>
      <x:c r="H1735" s="9" t="str">
        <x:v>Classification only; this edge is not a causal or calculation relationship.</x:v>
      </x:c>
      <x:c r="I1735" s="9" t="str">
        <x:v>Curated curriculum relationship</x:v>
      </x:c>
    </x:row>
    <x:row r="1736" ht="58" customHeight="1">
      <x:c r="A1736" s="10" t="str">
        <x:v>E1731</x:v>
      </x:c>
      <x:c r="B1736" s="10" t="str">
        <x:v>T35.03</x:v>
      </x:c>
      <x:c r="C1736" s="10" t="str">
        <x:v>Anchoring and framing</x:v>
      </x:c>
      <x:c r="D1736" s="14" t="str">
        <x:v>EXPLORE_WITH</x:v>
      </x:c>
      <x:c r="E1736" s="10" t="str">
        <x:v>T35.06</x:v>
      </x:c>
      <x:c r="F1736" s="10" t="str">
        <x:v>Confirmation and availability biases</x:v>
      </x:c>
      <x:c r="G1736" s="10" t="str">
        <x:v>Study these together to recognise how incentives and cognitive biases influence financial decisions.</x:v>
      </x:c>
      <x:c r="H1736" s="10" t="str">
        <x:v>A topical exploration link, not a claim that one determines the other.</x:v>
      </x:c>
      <x:c r="I1736" s="10" t="str">
        <x:v>Curated curriculum relationship</x:v>
      </x:c>
    </x:row>
    <x:row r="1737" ht="58" customHeight="1">
      <x:c r="A1737" s="9" t="str">
        <x:v>E1732</x:v>
      </x:c>
      <x:c r="B1737" s="9" t="str">
        <x:v>T01.13</x:v>
      </x:c>
      <x:c r="C1737" s="9" t="str">
        <x:v>Financial decisions under certainty, risk, and uncertainty</x:v>
      </x:c>
      <x:c r="D1737" s="15" t="str">
        <x:v>RECOMMENDED_BEFORE</x:v>
      </x:c>
      <x:c r="E1737" s="9" t="str">
        <x:v>T35.03</x:v>
      </x:c>
      <x:c r="F1737" s="9" t="str">
        <x:v>Anchoring and framing</x:v>
      </x:c>
      <x:c r="G1737" s="9" t="str">
        <x:v>Suggested starting knowledge: Financial decisions under certainty, risk, and uncertainty. It helps you recognise how incentives and cognitive biases influence financial decisions.</x:v>
      </x:c>
      <x:c r="H1737" s="9" t="str">
        <x:v>Suggested learning order; learners can still explore freely.</x:v>
      </x:c>
      <x:c r="I1737" s="9" t="str">
        <x:v>Curated curriculum relationship</x:v>
      </x:c>
    </x:row>
    <x:row r="1738" ht="58" customHeight="1">
      <x:c r="A1738" s="10" t="str">
        <x:v>E1733</x:v>
      </x:c>
      <x:c r="B1738" s="10" t="str">
        <x:v>T35.04</x:v>
      </x:c>
      <x:c r="C1738" s="10" t="str">
        <x:v>Mental accounting</x:v>
      </x:c>
      <x:c r="D1738" s="14" t="str">
        <x:v>PART_OF</x:v>
      </x:c>
      <x:c r="E1738" s="10" t="str">
        <x:v>D35</x:v>
      </x:c>
      <x:c r="F1738" s="10" t="str">
        <x:v>Behavioural finance and financial decision-making</x:v>
      </x:c>
      <x:c r="G1738" s="10" t="str">
        <x:v>Curriculum membership. Use this link to move between the topic and its finance area.</x:v>
      </x:c>
      <x:c r="H1738" s="10" t="str">
        <x:v>Classification only; this edge is not a causal or calculation relationship.</x:v>
      </x:c>
      <x:c r="I1738" s="10" t="str">
        <x:v>Curated curriculum relationship</x:v>
      </x:c>
    </x:row>
    <x:row r="1739" ht="58" customHeight="1">
      <x:c r="A1739" s="9" t="str">
        <x:v>E1734</x:v>
      </x:c>
      <x:c r="B1739" s="9" t="str">
        <x:v>T35.04</x:v>
      </x:c>
      <x:c r="C1739" s="9" t="str">
        <x:v>Mental accounting</x:v>
      </x:c>
      <x:c r="D1739" s="15" t="str">
        <x:v>EXPLORE_WITH</x:v>
      </x:c>
      <x:c r="E1739" s="9" t="str">
        <x:v>T35.10</x:v>
      </x:c>
      <x:c r="F1739" s="9" t="str">
        <x:v>Present bias and self-control</x:v>
      </x:c>
      <x:c r="G1739" s="9" t="str">
        <x:v>Study these together to recognise how incentives and cognitive biases influence financial decisions.</x:v>
      </x:c>
      <x:c r="H1739" s="9" t="str">
        <x:v>A topical exploration link, not a claim that one determines the other.</x:v>
      </x:c>
      <x:c r="I1739" s="9" t="str">
        <x:v>Curated curriculum relationship</x:v>
      </x:c>
    </x:row>
    <x:row r="1740" ht="58" customHeight="1">
      <x:c r="A1740" s="10" t="str">
        <x:v>E1735</x:v>
      </x:c>
      <x:c r="B1740" s="10" t="str">
        <x:v>T01.13</x:v>
      </x:c>
      <x:c r="C1740" s="10" t="str">
        <x:v>Financial decisions under certainty, risk, and uncertainty</x:v>
      </x:c>
      <x:c r="D1740" s="14" t="str">
        <x:v>RECOMMENDED_BEFORE</x:v>
      </x:c>
      <x:c r="E1740" s="10" t="str">
        <x:v>T35.04</x:v>
      </x:c>
      <x:c r="F1740" s="10" t="str">
        <x:v>Mental accounting</x:v>
      </x:c>
      <x:c r="G1740" s="10" t="str">
        <x:v>Suggested starting knowledge: Financial decisions under certainty, risk, and uncertainty. It helps you recognise how incentives and cognitive biases influence financial decisions.</x:v>
      </x:c>
      <x:c r="H1740" s="10" t="str">
        <x:v>Suggested learning order; learners can still explore freely.</x:v>
      </x:c>
      <x:c r="I1740" s="10" t="str">
        <x:v>Curated curriculum relationship</x:v>
      </x:c>
    </x:row>
    <x:row r="1741" ht="58" customHeight="1">
      <x:c r="A1741" s="9" t="str">
        <x:v>E1736</x:v>
      </x:c>
      <x:c r="B1741" s="9" t="str">
        <x:v>T35.05</x:v>
      </x:c>
      <x:c r="C1741" s="9" t="str">
        <x:v>Overconfidence and self-attribution</x:v>
      </x:c>
      <x:c r="D1741" s="15" t="str">
        <x:v>PART_OF</x:v>
      </x:c>
      <x:c r="E1741" s="9" t="str">
        <x:v>D35</x:v>
      </x:c>
      <x:c r="F1741" s="9" t="str">
        <x:v>Behavioural finance and financial decision-making</x:v>
      </x:c>
      <x:c r="G1741" s="9" t="str">
        <x:v>Curriculum membership. Use this link to move between the topic and its finance area.</x:v>
      </x:c>
      <x:c r="H1741" s="9" t="str">
        <x:v>Classification only; this edge is not a causal or calculation relationship.</x:v>
      </x:c>
      <x:c r="I1741" s="9" t="str">
        <x:v>Curated curriculum relationship</x:v>
      </x:c>
    </x:row>
    <x:row r="1742" ht="58" customHeight="1">
      <x:c r="A1742" s="10" t="str">
        <x:v>E1737</x:v>
      </x:c>
      <x:c r="B1742" s="10" t="str">
        <x:v>T35.05</x:v>
      </x:c>
      <x:c r="C1742" s="10" t="str">
        <x:v>Overconfidence and self-attribution</x:v>
      </x:c>
      <x:c r="D1742" s="14" t="str">
        <x:v>EXPLORE_WITH</x:v>
      </x:c>
      <x:c r="E1742" s="10" t="str">
        <x:v>T35.06</x:v>
      </x:c>
      <x:c r="F1742" s="10" t="str">
        <x:v>Confirmation and availability biases</x:v>
      </x:c>
      <x:c r="G1742" s="10" t="str">
        <x:v>Study these together to recognise how incentives and cognitive biases influence financial decisions.</x:v>
      </x:c>
      <x:c r="H1742" s="10" t="str">
        <x:v>A topical exploration link, not a claim that one determines the other.</x:v>
      </x:c>
      <x:c r="I1742" s="10" t="str">
        <x:v>Curated curriculum relationship</x:v>
      </x:c>
    </x:row>
    <x:row r="1743" ht="58" customHeight="1">
      <x:c r="A1743" s="9" t="str">
        <x:v>E1738</x:v>
      </x:c>
      <x:c r="B1743" s="9" t="str">
        <x:v>T01.13</x:v>
      </x:c>
      <x:c r="C1743" s="9" t="str">
        <x:v>Financial decisions under certainty, risk, and uncertainty</x:v>
      </x:c>
      <x:c r="D1743" s="15" t="str">
        <x:v>RECOMMENDED_BEFORE</x:v>
      </x:c>
      <x:c r="E1743" s="9" t="str">
        <x:v>T35.05</x:v>
      </x:c>
      <x:c r="F1743" s="9" t="str">
        <x:v>Overconfidence and self-attribution</x:v>
      </x:c>
      <x:c r="G1743" s="9" t="str">
        <x:v>Suggested starting knowledge: Financial decisions under certainty, risk, and uncertainty. It helps you recognise how incentives and cognitive biases influence financial decisions.</x:v>
      </x:c>
      <x:c r="H1743" s="9" t="str">
        <x:v>Suggested learning order; learners can still explore freely.</x:v>
      </x:c>
      <x:c r="I1743" s="9" t="str">
        <x:v>Curated curriculum relationship</x:v>
      </x:c>
    </x:row>
    <x:row r="1744" ht="58" customHeight="1">
      <x:c r="A1744" s="10" t="str">
        <x:v>E1739</x:v>
      </x:c>
      <x:c r="B1744" s="10" t="str">
        <x:v>T35.06</x:v>
      </x:c>
      <x:c r="C1744" s="10" t="str">
        <x:v>Confirmation and availability biases</x:v>
      </x:c>
      <x:c r="D1744" s="14" t="str">
        <x:v>PART_OF</x:v>
      </x:c>
      <x:c r="E1744" s="10" t="str">
        <x:v>D35</x:v>
      </x:c>
      <x:c r="F1744" s="10" t="str">
        <x:v>Behavioural finance and financial decision-making</x:v>
      </x:c>
      <x:c r="G1744" s="10" t="str">
        <x:v>Curriculum membership. Use this link to move between the topic and its finance area.</x:v>
      </x:c>
      <x:c r="H1744" s="10" t="str">
        <x:v>Classification only; this edge is not a causal or calculation relationship.</x:v>
      </x:c>
      <x:c r="I1744" s="10" t="str">
        <x:v>Curated curriculum relationship</x:v>
      </x:c>
    </x:row>
    <x:row r="1745" ht="58" customHeight="1">
      <x:c r="A1745" s="9" t="str">
        <x:v>E1740</x:v>
      </x:c>
      <x:c r="B1745" s="9" t="str">
        <x:v>T35.06</x:v>
      </x:c>
      <x:c r="C1745" s="9" t="str">
        <x:v>Confirmation and availability biases</x:v>
      </x:c>
      <x:c r="D1745" s="15" t="str">
        <x:v>EXPLORE_WITH</x:v>
      </x:c>
      <x:c r="E1745" s="9" t="str">
        <x:v>T35.05</x:v>
      </x:c>
      <x:c r="F1745" s="9" t="str">
        <x:v>Overconfidence and self-attribution</x:v>
      </x:c>
      <x:c r="G1745" s="9" t="str">
        <x:v>Study these together to recognise how incentives and cognitive biases influence financial decisions.</x:v>
      </x:c>
      <x:c r="H1745" s="9" t="str">
        <x:v>A topical exploration link, not a claim that one determines the other.</x:v>
      </x:c>
      <x:c r="I1745" s="9" t="str">
        <x:v>Curated curriculum relationship</x:v>
      </x:c>
    </x:row>
    <x:row r="1746" ht="58" customHeight="1">
      <x:c r="A1746" s="10" t="str">
        <x:v>E1741</x:v>
      </x:c>
      <x:c r="B1746" s="10" t="str">
        <x:v>T01.13</x:v>
      </x:c>
      <x:c r="C1746" s="10" t="str">
        <x:v>Financial decisions under certainty, risk, and uncertainty</x:v>
      </x:c>
      <x:c r="D1746" s="14" t="str">
        <x:v>RECOMMENDED_BEFORE</x:v>
      </x:c>
      <x:c r="E1746" s="10" t="str">
        <x:v>T35.06</x:v>
      </x:c>
      <x:c r="F1746" s="10" t="str">
        <x:v>Confirmation and availability biases</x:v>
      </x:c>
      <x:c r="G1746" s="10" t="str">
        <x:v>Suggested starting knowledge: Financial decisions under certainty, risk, and uncertainty. It helps you recognise how incentives and cognitive biases influence financial decisions.</x:v>
      </x:c>
      <x:c r="H1746" s="10" t="str">
        <x:v>Suggested learning order; learners can still explore freely.</x:v>
      </x:c>
      <x:c r="I1746" s="10" t="str">
        <x:v>Curated curriculum relationship</x:v>
      </x:c>
    </x:row>
    <x:row r="1747" ht="58" customHeight="1">
      <x:c r="A1747" s="9" t="str">
        <x:v>E1742</x:v>
      </x:c>
      <x:c r="B1747" s="9" t="str">
        <x:v>T35.07</x:v>
      </x:c>
      <x:c r="C1747" s="9" t="str">
        <x:v>Herding and social influence</x:v>
      </x:c>
      <x:c r="D1747" s="15" t="str">
        <x:v>PART_OF</x:v>
      </x:c>
      <x:c r="E1747" s="9" t="str">
        <x:v>D35</x:v>
      </x:c>
      <x:c r="F1747" s="9" t="str">
        <x:v>Behavioural finance and financial decision-making</x:v>
      </x:c>
      <x:c r="G1747" s="9" t="str">
        <x:v>Curriculum membership. Use this link to move between the topic and its finance area.</x:v>
      </x:c>
      <x:c r="H1747" s="9" t="str">
        <x:v>Classification only; this edge is not a causal or calculation relationship.</x:v>
      </x:c>
      <x:c r="I1747" s="9" t="str">
        <x:v>Curated curriculum relationship</x:v>
      </x:c>
    </x:row>
    <x:row r="1748" ht="58" customHeight="1">
      <x:c r="A1748" s="10" t="str">
        <x:v>E1743</x:v>
      </x:c>
      <x:c r="B1748" s="10" t="str">
        <x:v>T35.07</x:v>
      </x:c>
      <x:c r="C1748" s="10" t="str">
        <x:v>Herding and social influence</x:v>
      </x:c>
      <x:c r="D1748" s="14" t="str">
        <x:v>EXPLORE_WITH</x:v>
      </x:c>
      <x:c r="E1748" s="10" t="str">
        <x:v>T35.11</x:v>
      </x:c>
      <x:c r="F1748" s="10" t="str">
        <x:v>Bubbles, panics, and speculative cycles</x:v>
      </x:c>
      <x:c r="G1748" s="10" t="str">
        <x:v>Study these together to recognise how incentives and cognitive biases influence financial decisions.</x:v>
      </x:c>
      <x:c r="H1748" s="10" t="str">
        <x:v>A topical exploration link, not a claim that one determines the other.</x:v>
      </x:c>
      <x:c r="I1748" s="10" t="str">
        <x:v>Curated curriculum relationship</x:v>
      </x:c>
    </x:row>
    <x:row r="1749" ht="58" customHeight="1">
      <x:c r="A1749" s="9" t="str">
        <x:v>E1744</x:v>
      </x:c>
      <x:c r="B1749" s="9" t="str">
        <x:v>T01.13</x:v>
      </x:c>
      <x:c r="C1749" s="9" t="str">
        <x:v>Financial decisions under certainty, risk, and uncertainty</x:v>
      </x:c>
      <x:c r="D1749" s="15" t="str">
        <x:v>RECOMMENDED_BEFORE</x:v>
      </x:c>
      <x:c r="E1749" s="9" t="str">
        <x:v>T35.07</x:v>
      </x:c>
      <x:c r="F1749" s="9" t="str">
        <x:v>Herding and social influence</x:v>
      </x:c>
      <x:c r="G1749" s="9" t="str">
        <x:v>Suggested starting knowledge: Financial decisions under certainty, risk, and uncertainty. It helps you recognise how incentives and cognitive biases influence financial decisions.</x:v>
      </x:c>
      <x:c r="H1749" s="9" t="str">
        <x:v>Suggested learning order; learners can still explore freely.</x:v>
      </x:c>
      <x:c r="I1749" s="9" t="str">
        <x:v>Curated curriculum relationship</x:v>
      </x:c>
    </x:row>
    <x:row r="1750" ht="58" customHeight="1">
      <x:c r="A1750" s="10" t="str">
        <x:v>E1745</x:v>
      </x:c>
      <x:c r="B1750" s="10" t="str">
        <x:v>T35.08</x:v>
      </x:c>
      <x:c r="C1750" s="10" t="str">
        <x:v>Recency bias and extrapolation</x:v>
      </x:c>
      <x:c r="D1750" s="14" t="str">
        <x:v>PART_OF</x:v>
      </x:c>
      <x:c r="E1750" s="10" t="str">
        <x:v>D35</x:v>
      </x:c>
      <x:c r="F1750" s="10" t="str">
        <x:v>Behavioural finance and financial decision-making</x:v>
      </x:c>
      <x:c r="G1750" s="10" t="str">
        <x:v>Curriculum membership. Use this link to move between the topic and its finance area.</x:v>
      </x:c>
      <x:c r="H1750" s="10" t="str">
        <x:v>Classification only; this edge is not a causal or calculation relationship.</x:v>
      </x:c>
      <x:c r="I1750" s="10" t="str">
        <x:v>Curated curriculum relationship</x:v>
      </x:c>
    </x:row>
    <x:row r="1751" ht="58" customHeight="1">
      <x:c r="A1751" s="9" t="str">
        <x:v>E1746</x:v>
      </x:c>
      <x:c r="B1751" s="9" t="str">
        <x:v>T35.08</x:v>
      </x:c>
      <x:c r="C1751" s="9" t="str">
        <x:v>Recency bias and extrapolation</x:v>
      </x:c>
      <x:c r="D1751" s="15" t="str">
        <x:v>EXPLORE_WITH</x:v>
      </x:c>
      <x:c r="E1751" s="9" t="str">
        <x:v>T35.11</x:v>
      </x:c>
      <x:c r="F1751" s="9" t="str">
        <x:v>Bubbles, panics, and speculative cycles</x:v>
      </x:c>
      <x:c r="G1751" s="9" t="str">
        <x:v>Study these together to recognise how incentives and cognitive biases influence financial decisions.</x:v>
      </x:c>
      <x:c r="H1751" s="9" t="str">
        <x:v>A topical exploration link, not a claim that one determines the other.</x:v>
      </x:c>
      <x:c r="I1751" s="9" t="str">
        <x:v>Curated curriculum relationship</x:v>
      </x:c>
    </x:row>
    <x:row r="1752" ht="58" customHeight="1">
      <x:c r="A1752" s="10" t="str">
        <x:v>E1747</x:v>
      </x:c>
      <x:c r="B1752" s="10" t="str">
        <x:v>T01.13</x:v>
      </x:c>
      <x:c r="C1752" s="10" t="str">
        <x:v>Financial decisions under certainty, risk, and uncertainty</x:v>
      </x:c>
      <x:c r="D1752" s="14" t="str">
        <x:v>RECOMMENDED_BEFORE</x:v>
      </x:c>
      <x:c r="E1752" s="10" t="str">
        <x:v>T35.08</x:v>
      </x:c>
      <x:c r="F1752" s="10" t="str">
        <x:v>Recency bias and extrapolation</x:v>
      </x:c>
      <x:c r="G1752" s="10" t="str">
        <x:v>Suggested starting knowledge: Financial decisions under certainty, risk, and uncertainty. It helps you recognise how incentives and cognitive biases influence financial decisions.</x:v>
      </x:c>
      <x:c r="H1752" s="10" t="str">
        <x:v>Suggested learning order; learners can still explore freely.</x:v>
      </x:c>
      <x:c r="I1752" s="10" t="str">
        <x:v>Curated curriculum relationship</x:v>
      </x:c>
    </x:row>
    <x:row r="1753" ht="58" customHeight="1">
      <x:c r="A1753" s="9" t="str">
        <x:v>E1748</x:v>
      </x:c>
      <x:c r="B1753" s="9" t="str">
        <x:v>T35.09</x:v>
      </x:c>
      <x:c r="C1753" s="9" t="str">
        <x:v>Disposition effect</x:v>
      </x:c>
      <x:c r="D1753" s="15" t="str">
        <x:v>PART_OF</x:v>
      </x:c>
      <x:c r="E1753" s="9" t="str">
        <x:v>D35</x:v>
      </x:c>
      <x:c r="F1753" s="9" t="str">
        <x:v>Behavioural finance and financial decision-making</x:v>
      </x:c>
      <x:c r="G1753" s="9" t="str">
        <x:v>Curriculum membership. Use this link to move between the topic and its finance area.</x:v>
      </x:c>
      <x:c r="H1753" s="9" t="str">
        <x:v>Classification only; this edge is not a causal or calculation relationship.</x:v>
      </x:c>
      <x:c r="I1753" s="9" t="str">
        <x:v>Curated curriculum relationship</x:v>
      </x:c>
    </x:row>
    <x:row r="1754" ht="58" customHeight="1">
      <x:c r="A1754" s="10" t="str">
        <x:v>E1749</x:v>
      </x:c>
      <x:c r="B1754" s="10" t="str">
        <x:v>T35.09</x:v>
      </x:c>
      <x:c r="C1754" s="10" t="str">
        <x:v>Disposition effect</x:v>
      </x:c>
      <x:c r="D1754" s="14" t="str">
        <x:v>EXPLORE_WITH</x:v>
      </x:c>
      <x:c r="E1754" s="10" t="str">
        <x:v>T35.02</x:v>
      </x:c>
      <x:c r="F1754" s="10" t="str">
        <x:v>Prospect theory and loss aversion</x:v>
      </x:c>
      <x:c r="G1754" s="10" t="str">
        <x:v>Study these together to recognise how incentives and cognitive biases influence financial decisions.</x:v>
      </x:c>
      <x:c r="H1754" s="10" t="str">
        <x:v>A topical exploration link, not a claim that one determines the other.</x:v>
      </x:c>
      <x:c r="I1754" s="10" t="str">
        <x:v>Curated curriculum relationship</x:v>
      </x:c>
    </x:row>
    <x:row r="1755" ht="58" customHeight="1">
      <x:c r="A1755" s="9" t="str">
        <x:v>E1750</x:v>
      </x:c>
      <x:c r="B1755" s="9" t="str">
        <x:v>T01.13</x:v>
      </x:c>
      <x:c r="C1755" s="9" t="str">
        <x:v>Financial decisions under certainty, risk, and uncertainty</x:v>
      </x:c>
      <x:c r="D1755" s="15" t="str">
        <x:v>RECOMMENDED_BEFORE</x:v>
      </x:c>
      <x:c r="E1755" s="9" t="str">
        <x:v>T35.09</x:v>
      </x:c>
      <x:c r="F1755" s="9" t="str">
        <x:v>Disposition effect</x:v>
      </x:c>
      <x:c r="G1755" s="9" t="str">
        <x:v>Suggested starting knowledge: Financial decisions under certainty, risk, and uncertainty. It helps you recognise how incentives and cognitive biases influence financial decisions.</x:v>
      </x:c>
      <x:c r="H1755" s="9" t="str">
        <x:v>Suggested learning order; learners can still explore freely.</x:v>
      </x:c>
      <x:c r="I1755" s="9" t="str">
        <x:v>Curated curriculum relationship</x:v>
      </x:c>
    </x:row>
    <x:row r="1756" ht="58" customHeight="1">
      <x:c r="A1756" s="10" t="str">
        <x:v>E1751</x:v>
      </x:c>
      <x:c r="B1756" s="10" t="str">
        <x:v>T35.10</x:v>
      </x:c>
      <x:c r="C1756" s="10" t="str">
        <x:v>Present bias and self-control</x:v>
      </x:c>
      <x:c r="D1756" s="14" t="str">
        <x:v>PART_OF</x:v>
      </x:c>
      <x:c r="E1756" s="10" t="str">
        <x:v>D35</x:v>
      </x:c>
      <x:c r="F1756" s="10" t="str">
        <x:v>Behavioural finance and financial decision-making</x:v>
      </x:c>
      <x:c r="G1756" s="10" t="str">
        <x:v>Curriculum membership. Use this link to move between the topic and its finance area.</x:v>
      </x:c>
      <x:c r="H1756" s="10" t="str">
        <x:v>Classification only; this edge is not a causal or calculation relationship.</x:v>
      </x:c>
      <x:c r="I1756" s="10" t="str">
        <x:v>Curated curriculum relationship</x:v>
      </x:c>
    </x:row>
    <x:row r="1757" ht="58" customHeight="1">
      <x:c r="A1757" s="9" t="str">
        <x:v>E1752</x:v>
      </x:c>
      <x:c r="B1757" s="9" t="str">
        <x:v>T35.10</x:v>
      </x:c>
      <x:c r="C1757" s="9" t="str">
        <x:v>Present bias and self-control</x:v>
      </x:c>
      <x:c r="D1757" s="15" t="str">
        <x:v>EXPLORE_WITH</x:v>
      </x:c>
      <x:c r="E1757" s="9" t="str">
        <x:v>T35.04</x:v>
      </x:c>
      <x:c r="F1757" s="9" t="str">
        <x:v>Mental accounting</x:v>
      </x:c>
      <x:c r="G1757" s="9" t="str">
        <x:v>Study these together to recognise how incentives and cognitive biases influence financial decisions.</x:v>
      </x:c>
      <x:c r="H1757" s="9" t="str">
        <x:v>A topical exploration link, not a claim that one determines the other.</x:v>
      </x:c>
      <x:c r="I1757" s="9" t="str">
        <x:v>Curated curriculum relationship</x:v>
      </x:c>
    </x:row>
    <x:row r="1758" ht="58" customHeight="1">
      <x:c r="A1758" s="10" t="str">
        <x:v>E1753</x:v>
      </x:c>
      <x:c r="B1758" s="10" t="str">
        <x:v>T01.13</x:v>
      </x:c>
      <x:c r="C1758" s="10" t="str">
        <x:v>Financial decisions under certainty, risk, and uncertainty</x:v>
      </x:c>
      <x:c r="D1758" s="14" t="str">
        <x:v>RECOMMENDED_BEFORE</x:v>
      </x:c>
      <x:c r="E1758" s="10" t="str">
        <x:v>T35.10</x:v>
      </x:c>
      <x:c r="F1758" s="10" t="str">
        <x:v>Present bias and self-control</x:v>
      </x:c>
      <x:c r="G1758" s="10" t="str">
        <x:v>Suggested starting knowledge: Financial decisions under certainty, risk, and uncertainty. It helps you recognise how incentives and cognitive biases influence financial decisions.</x:v>
      </x:c>
      <x:c r="H1758" s="10" t="str">
        <x:v>Suggested learning order; learners can still explore freely.</x:v>
      </x:c>
      <x:c r="I1758" s="10" t="str">
        <x:v>Curated curriculum relationship</x:v>
      </x:c>
    </x:row>
    <x:row r="1759" ht="58" customHeight="1">
      <x:c r="A1759" s="9" t="str">
        <x:v>E1754</x:v>
      </x:c>
      <x:c r="B1759" s="9" t="str">
        <x:v>T35.11</x:v>
      </x:c>
      <x:c r="C1759" s="9" t="str">
        <x:v>Bubbles, panics, and speculative cycles</x:v>
      </x:c>
      <x:c r="D1759" s="15" t="str">
        <x:v>PART_OF</x:v>
      </x:c>
      <x:c r="E1759" s="9" t="str">
        <x:v>D35</x:v>
      </x:c>
      <x:c r="F1759" s="9" t="str">
        <x:v>Behavioural finance and financial decision-making</x:v>
      </x:c>
      <x:c r="G1759" s="9" t="str">
        <x:v>Curriculum membership. Use this link to move between the topic and its finance area.</x:v>
      </x:c>
      <x:c r="H1759" s="9" t="str">
        <x:v>Classification only; this edge is not a causal or calculation relationship.</x:v>
      </x:c>
      <x:c r="I1759" s="9" t="str">
        <x:v>Curated curriculum relationship</x:v>
      </x:c>
    </x:row>
    <x:row r="1760" ht="58" customHeight="1">
      <x:c r="A1760" s="10" t="str">
        <x:v>E1755</x:v>
      </x:c>
      <x:c r="B1760" s="10" t="str">
        <x:v>T35.11</x:v>
      </x:c>
      <x:c r="C1760" s="10" t="str">
        <x:v>Bubbles, panics, and speculative cycles</x:v>
      </x:c>
      <x:c r="D1760" s="14" t="str">
        <x:v>EXPLORE_WITH</x:v>
      </x:c>
      <x:c r="E1760" s="10" t="str">
        <x:v>T35.07</x:v>
      </x:c>
      <x:c r="F1760" s="10" t="str">
        <x:v>Herding and social influence</x:v>
      </x:c>
      <x:c r="G1760" s="10" t="str">
        <x:v>Study these together to recognise how incentives and cognitive biases influence financial decisions.</x:v>
      </x:c>
      <x:c r="H1760" s="10" t="str">
        <x:v>A topical exploration link, not a claim that one determines the other.</x:v>
      </x:c>
      <x:c r="I1760" s="10" t="str">
        <x:v>Curated curriculum relationship</x:v>
      </x:c>
    </x:row>
    <x:row r="1761" ht="58" customHeight="1">
      <x:c r="A1761" s="9" t="str">
        <x:v>E1756</x:v>
      </x:c>
      <x:c r="B1761" s="9" t="str">
        <x:v>T01.13</x:v>
      </x:c>
      <x:c r="C1761" s="9" t="str">
        <x:v>Financial decisions under certainty, risk, and uncertainty</x:v>
      </x:c>
      <x:c r="D1761" s="15" t="str">
        <x:v>RECOMMENDED_BEFORE</x:v>
      </x:c>
      <x:c r="E1761" s="9" t="str">
        <x:v>T35.11</x:v>
      </x:c>
      <x:c r="F1761" s="9" t="str">
        <x:v>Bubbles, panics, and speculative cycles</x:v>
      </x:c>
      <x:c r="G1761" s="9" t="str">
        <x:v>Suggested starting knowledge: Financial decisions under certainty, risk, and uncertainty. It helps you recognise how incentives and cognitive biases influence financial decisions.</x:v>
      </x:c>
      <x:c r="H1761" s="9" t="str">
        <x:v>Suggested learning order; learners can still explore freely.</x:v>
      </x:c>
      <x:c r="I1761" s="9" t="str">
        <x:v>Curated curriculum relationship</x:v>
      </x:c>
    </x:row>
    <x:row r="1762" ht="58" customHeight="1">
      <x:c r="A1762" s="10" t="str">
        <x:v>E1757</x:v>
      </x:c>
      <x:c r="B1762" s="10" t="str">
        <x:v>T35.12</x:v>
      </x:c>
      <x:c r="C1762" s="10" t="str">
        <x:v>Behavioural corporate finance</x:v>
      </x:c>
      <x:c r="D1762" s="14" t="str">
        <x:v>PART_OF</x:v>
      </x:c>
      <x:c r="E1762" s="10" t="str">
        <x:v>D35</x:v>
      </x:c>
      <x:c r="F1762" s="10" t="str">
        <x:v>Behavioural finance and financial decision-making</x:v>
      </x:c>
      <x:c r="G1762" s="10" t="str">
        <x:v>Curriculum membership. Use this link to move between the topic and its finance area.</x:v>
      </x:c>
      <x:c r="H1762" s="10" t="str">
        <x:v>Classification only; this edge is not a causal or calculation relationship.</x:v>
      </x:c>
      <x:c r="I1762" s="10" t="str">
        <x:v>Curated curriculum relationship</x:v>
      </x:c>
    </x:row>
    <x:row r="1763" ht="58" customHeight="1">
      <x:c r="A1763" s="9" t="str">
        <x:v>E1758</x:v>
      </x:c>
      <x:c r="B1763" s="9" t="str">
        <x:v>T35.12</x:v>
      </x:c>
      <x:c r="C1763" s="9" t="str">
        <x:v>Behavioural corporate finance</x:v>
      </x:c>
      <x:c r="D1763" s="15" t="str">
        <x:v>EXPLORE_WITH</x:v>
      </x:c>
      <x:c r="E1763" s="9" t="str">
        <x:v>T35.14</x:v>
      </x:c>
      <x:c r="F1763" s="9" t="str">
        <x:v>Incentive design and decision quality</x:v>
      </x:c>
      <x:c r="G1763" s="9" t="str">
        <x:v>Study these together to recognise how incentives and cognitive biases influence financial decisions.</x:v>
      </x:c>
      <x:c r="H1763" s="9" t="str">
        <x:v>A topical exploration link, not a claim that one determines the other.</x:v>
      </x:c>
      <x:c r="I1763" s="9" t="str">
        <x:v>Curated curriculum relationship</x:v>
      </x:c>
    </x:row>
    <x:row r="1764" ht="58" customHeight="1">
      <x:c r="A1764" s="10" t="str">
        <x:v>E1759</x:v>
      </x:c>
      <x:c r="B1764" s="10" t="str">
        <x:v>T01.13</x:v>
      </x:c>
      <x:c r="C1764" s="10" t="str">
        <x:v>Financial decisions under certainty, risk, and uncertainty</x:v>
      </x:c>
      <x:c r="D1764" s="14" t="str">
        <x:v>RECOMMENDED_BEFORE</x:v>
      </x:c>
      <x:c r="E1764" s="10" t="str">
        <x:v>T35.12</x:v>
      </x:c>
      <x:c r="F1764" s="10" t="str">
        <x:v>Behavioural corporate finance</x:v>
      </x:c>
      <x:c r="G1764" s="10" t="str">
        <x:v>Suggested starting knowledge: Financial decisions under certainty, risk, and uncertainty. It helps you recognise how incentives and cognitive biases influence financial decisions.</x:v>
      </x:c>
      <x:c r="H1764" s="10" t="str">
        <x:v>Suggested learning order; learners can still explore freely.</x:v>
      </x:c>
      <x:c r="I1764" s="10" t="str">
        <x:v>Curated curriculum relationship</x:v>
      </x:c>
    </x:row>
    <x:row r="1765" ht="58" customHeight="1">
      <x:c r="A1765" s="9" t="str">
        <x:v>E1760</x:v>
      </x:c>
      <x:c r="B1765" s="9" t="str">
        <x:v>T35.13</x:v>
      </x:c>
      <x:c r="C1765" s="9" t="str">
        <x:v>Decision journals, checklists, and pre-mortems</x:v>
      </x:c>
      <x:c r="D1765" s="15" t="str">
        <x:v>PART_OF</x:v>
      </x:c>
      <x:c r="E1765" s="9" t="str">
        <x:v>D35</x:v>
      </x:c>
      <x:c r="F1765" s="9" t="str">
        <x:v>Behavioural finance and financial decision-making</x:v>
      </x:c>
      <x:c r="G1765" s="9" t="str">
        <x:v>Curriculum membership. Use this link to move between the topic and its finance area.</x:v>
      </x:c>
      <x:c r="H1765" s="9" t="str">
        <x:v>Classification only; this edge is not a causal or calculation relationship.</x:v>
      </x:c>
      <x:c r="I1765" s="9" t="str">
        <x:v>Curated curriculum relationship</x:v>
      </x:c>
    </x:row>
    <x:row r="1766" ht="58" customHeight="1">
      <x:c r="A1766" s="10" t="str">
        <x:v>E1761</x:v>
      </x:c>
      <x:c r="B1766" s="10" t="str">
        <x:v>T35.13</x:v>
      </x:c>
      <x:c r="C1766" s="10" t="str">
        <x:v>Decision journals, checklists, and pre-mortems</x:v>
      </x:c>
      <x:c r="D1766" s="14" t="str">
        <x:v>EXPLORE_WITH</x:v>
      </x:c>
      <x:c r="E1766" s="10" t="str">
        <x:v>T35.14</x:v>
      </x:c>
      <x:c r="F1766" s="10" t="str">
        <x:v>Incentive design and decision quality</x:v>
      </x:c>
      <x:c r="G1766" s="10" t="str">
        <x:v>Study these together to recognise how incentives and cognitive biases influence financial decisions.</x:v>
      </x:c>
      <x:c r="H1766" s="10" t="str">
        <x:v>A topical exploration link, not a claim that one determines the other.</x:v>
      </x:c>
      <x:c r="I1766" s="10" t="str">
        <x:v>Curated curriculum relationship</x:v>
      </x:c>
    </x:row>
    <x:row r="1767" ht="58" customHeight="1">
      <x:c r="A1767" s="9" t="str">
        <x:v>E1762</x:v>
      </x:c>
      <x:c r="B1767" s="9" t="str">
        <x:v>T01.13</x:v>
      </x:c>
      <x:c r="C1767" s="9" t="str">
        <x:v>Financial decisions under certainty, risk, and uncertainty</x:v>
      </x:c>
      <x:c r="D1767" s="15" t="str">
        <x:v>RECOMMENDED_BEFORE</x:v>
      </x:c>
      <x:c r="E1767" s="9" t="str">
        <x:v>T35.13</x:v>
      </x:c>
      <x:c r="F1767" s="9" t="str">
        <x:v>Decision journals, checklists, and pre-mortems</x:v>
      </x:c>
      <x:c r="G1767" s="9" t="str">
        <x:v>Suggested starting knowledge: Financial decisions under certainty, risk, and uncertainty. It helps you recognise how incentives and cognitive biases influence financial decisions.</x:v>
      </x:c>
      <x:c r="H1767" s="9" t="str">
        <x:v>Suggested learning order; learners can still explore freely.</x:v>
      </x:c>
      <x:c r="I1767" s="9" t="str">
        <x:v>Curated curriculum relationship</x:v>
      </x:c>
    </x:row>
    <x:row r="1768" ht="58" customHeight="1">
      <x:c r="A1768" s="10" t="str">
        <x:v>E1763</x:v>
      </x:c>
      <x:c r="B1768" s="10" t="str">
        <x:v>T35.14</x:v>
      </x:c>
      <x:c r="C1768" s="10" t="str">
        <x:v>Incentive design and decision quality</x:v>
      </x:c>
      <x:c r="D1768" s="14" t="str">
        <x:v>PART_OF</x:v>
      </x:c>
      <x:c r="E1768" s="10" t="str">
        <x:v>D35</x:v>
      </x:c>
      <x:c r="F1768" s="10" t="str">
        <x:v>Behavioural finance and financial decision-making</x:v>
      </x:c>
      <x:c r="G1768" s="10" t="str">
        <x:v>Curriculum membership. Use this link to move between the topic and its finance area.</x:v>
      </x:c>
      <x:c r="H1768" s="10" t="str">
        <x:v>Classification only; this edge is not a causal or calculation relationship.</x:v>
      </x:c>
      <x:c r="I1768" s="10" t="str">
        <x:v>Curated curriculum relationship</x:v>
      </x:c>
    </x:row>
    <x:row r="1769" ht="58" customHeight="1">
      <x:c r="A1769" s="9" t="str">
        <x:v>E1764</x:v>
      </x:c>
      <x:c r="B1769" s="9" t="str">
        <x:v>T35.14</x:v>
      </x:c>
      <x:c r="C1769" s="9" t="str">
        <x:v>Incentive design and decision quality</x:v>
      </x:c>
      <x:c r="D1769" s="15" t="str">
        <x:v>EXPLORE_WITH</x:v>
      </x:c>
      <x:c r="E1769" s="9" t="str">
        <x:v>T35.12</x:v>
      </x:c>
      <x:c r="F1769" s="9" t="str">
        <x:v>Behavioural corporate finance</x:v>
      </x:c>
      <x:c r="G1769" s="9" t="str">
        <x:v>Study these together to recognise how incentives and cognitive biases influence financial decisions.</x:v>
      </x:c>
      <x:c r="H1769" s="9" t="str">
        <x:v>A topical exploration link, not a claim that one determines the other.</x:v>
      </x:c>
      <x:c r="I1769" s="9" t="str">
        <x:v>Curated curriculum relationship</x:v>
      </x:c>
    </x:row>
    <x:row r="1770" ht="58" customHeight="1">
      <x:c r="A1770" s="10" t="str">
        <x:v>E1765</x:v>
      </x:c>
      <x:c r="B1770" s="10" t="str">
        <x:v>T01.13</x:v>
      </x:c>
      <x:c r="C1770" s="10" t="str">
        <x:v>Financial decisions under certainty, risk, and uncertainty</x:v>
      </x:c>
      <x:c r="D1770" s="14" t="str">
        <x:v>RECOMMENDED_BEFORE</x:v>
      </x:c>
      <x:c r="E1770" s="10" t="str">
        <x:v>T35.14</x:v>
      </x:c>
      <x:c r="F1770" s="10" t="str">
        <x:v>Incentive design and decision quality</x:v>
      </x:c>
      <x:c r="G1770" s="10" t="str">
        <x:v>Suggested starting knowledge: Financial decisions under certainty, risk, and uncertainty. It helps you recognise how incentives and cognitive biases influence financial decisions.</x:v>
      </x:c>
      <x:c r="H1770" s="10" t="str">
        <x:v>Suggested learning order; learners can still explore freely.</x:v>
      </x:c>
      <x:c r="I1770" s="10" t="str">
        <x:v>Curated curriculum relationship</x:v>
      </x:c>
    </x:row>
    <x:row r="1771" ht="58" customHeight="1">
      <x:c r="A1771" s="9" t="str">
        <x:v>E1766</x:v>
      </x:c>
      <x:c r="B1771" s="9" t="str">
        <x:v>T36.01</x:v>
      </x:c>
      <x:c r="C1771" s="9" t="str">
        <x:v>Payment systems and payment processing</x:v>
      </x:c>
      <x:c r="D1771" s="15" t="str">
        <x:v>PART_OF</x:v>
      </x:c>
      <x:c r="E1771" s="9" t="str">
        <x:v>D36</x:v>
      </x:c>
      <x:c r="F1771" s="9" t="str">
        <x:v>Fintech, payments, and digital finance</x:v>
      </x:c>
      <x:c r="G1771" s="9" t="str">
        <x:v>Curriculum membership. Use this link to move between the topic and its finance area.</x:v>
      </x:c>
      <x:c r="H1771" s="9" t="str">
        <x:v>Classification only; this edge is not a causal or calculation relationship.</x:v>
      </x:c>
      <x:c r="I1771" s="9" t="str">
        <x:v>Curated curriculum relationship</x:v>
      </x:c>
    </x:row>
    <x:row r="1772" ht="58" customHeight="1">
      <x:c r="A1772" s="10" t="str">
        <x:v>E1767</x:v>
      </x:c>
      <x:c r="B1772" s="10" t="str">
        <x:v>T36.01</x:v>
      </x:c>
      <x:c r="C1772" s="10" t="str">
        <x:v>Payment systems and payment processing</x:v>
      </x:c>
      <x:c r="D1772" s="14" t="str">
        <x:v>EXPLORE_WITH</x:v>
      </x:c>
      <x:c r="E1772" s="10" t="str">
        <x:v>T36.05</x:v>
      </x:c>
      <x:c r="F1772" s="10" t="str">
        <x:v>Payment gateways and aggregators</x:v>
      </x:c>
      <x:c r="G1772" s="10" t="str">
        <x:v>Study these together to connect financial infrastructure, digital distribution, unit economics and controls.</x:v>
      </x:c>
      <x:c r="H1772" s="10" t="str">
        <x:v>A topical exploration link, not a claim that one determines the other.</x:v>
      </x:c>
      <x:c r="I1772" s="10" t="str">
        <x:v>Curated curriculum relationship</x:v>
      </x:c>
    </x:row>
    <x:row r="1773" ht="58" customHeight="1">
      <x:c r="A1773" s="9" t="str">
        <x:v>E1768</x:v>
      </x:c>
      <x:c r="B1773" s="9" t="str">
        <x:v>T01.03</x:v>
      </x:c>
      <x:c r="C1773" s="9" t="str">
        <x:v>The financial system: households, businesses, governments, and intermediaries</x:v>
      </x:c>
      <x:c r="D1773" s="15" t="str">
        <x:v>RECOMMENDED_BEFORE</x:v>
      </x:c>
      <x:c r="E1773" s="9" t="str">
        <x:v>T36.01</x:v>
      </x:c>
      <x:c r="F1773" s="9" t="str">
        <x:v>Payment systems and payment processing</x:v>
      </x:c>
      <x:c r="G1773" s="9" t="str">
        <x:v>Suggested starting knowledge: The financial system: households, businesses, governments, and intermediaries. It helps you connect financial infrastructure, digital distribution, unit economics and controls.</x:v>
      </x:c>
      <x:c r="H1773" s="9" t="str">
        <x:v>Suggested learning order; learners can still explore freely.</x:v>
      </x:c>
      <x:c r="I1773" s="9" t="str">
        <x:v>Curated curriculum relationship</x:v>
      </x:c>
    </x:row>
    <x:row r="1774" ht="58" customHeight="1">
      <x:c r="A1774" s="10" t="str">
        <x:v>E1769</x:v>
      </x:c>
      <x:c r="B1774" s="10" t="str">
        <x:v>T36.02</x:v>
      </x:c>
      <x:c r="C1774" s="10" t="str">
        <x:v>Cards, acquiring, issuing, and interchange</x:v>
      </x:c>
      <x:c r="D1774" s="14" t="str">
        <x:v>PART_OF</x:v>
      </x:c>
      <x:c r="E1774" s="10" t="str">
        <x:v>D36</x:v>
      </x:c>
      <x:c r="F1774" s="10" t="str">
        <x:v>Fintech, payments, and digital finance</x:v>
      </x:c>
      <x:c r="G1774" s="10" t="str">
        <x:v>Curriculum membership. Use this link to move between the topic and its finance area.</x:v>
      </x:c>
      <x:c r="H1774" s="10" t="str">
        <x:v>Classification only; this edge is not a causal or calculation relationship.</x:v>
      </x:c>
      <x:c r="I1774" s="10" t="str">
        <x:v>Curated curriculum relationship</x:v>
      </x:c>
    </x:row>
    <x:row r="1775" ht="58" customHeight="1">
      <x:c r="A1775" s="9" t="str">
        <x:v>E1770</x:v>
      </x:c>
      <x:c r="B1775" s="9" t="str">
        <x:v>T36.02</x:v>
      </x:c>
      <x:c r="C1775" s="9" t="str">
        <x:v>Cards, acquiring, issuing, and interchange</x:v>
      </x:c>
      <x:c r="D1775" s="15" t="str">
        <x:v>EXPLORE_WITH</x:v>
      </x:c>
      <x:c r="E1775" s="9" t="str">
        <x:v>T36.01</x:v>
      </x:c>
      <x:c r="F1775" s="9" t="str">
        <x:v>Payment systems and payment processing</x:v>
      </x:c>
      <x:c r="G1775" s="9" t="str">
        <x:v>Study these together to connect financial infrastructure, digital distribution, unit economics and controls.</x:v>
      </x:c>
      <x:c r="H1775" s="9" t="str">
        <x:v>A topical exploration link, not a claim that one determines the other.</x:v>
      </x:c>
      <x:c r="I1775" s="9" t="str">
        <x:v>Curated curriculum relationship</x:v>
      </x:c>
    </x:row>
    <x:row r="1776" ht="58" customHeight="1">
      <x:c r="A1776" s="10" t="str">
        <x:v>E1771</x:v>
      </x:c>
      <x:c r="B1776" s="10" t="str">
        <x:v>T01.03</x:v>
      </x:c>
      <x:c r="C1776" s="10" t="str">
        <x:v>The financial system: households, businesses, governments, and intermediaries</x:v>
      </x:c>
      <x:c r="D1776" s="14" t="str">
        <x:v>RECOMMENDED_BEFORE</x:v>
      </x:c>
      <x:c r="E1776" s="10" t="str">
        <x:v>T36.02</x:v>
      </x:c>
      <x:c r="F1776" s="10" t="str">
        <x:v>Cards, acquiring, issuing, and interchange</x:v>
      </x:c>
      <x:c r="G1776" s="10" t="str">
        <x:v>Suggested starting knowledge: The financial system: households, businesses, governments, and intermediaries. It helps you connect financial infrastructure, digital distribution, unit economics and controls.</x:v>
      </x:c>
      <x:c r="H1776" s="10" t="str">
        <x:v>Suggested learning order; learners can still explore freely.</x:v>
      </x:c>
      <x:c r="I1776" s="10" t="str">
        <x:v>Curated curriculum relationship</x:v>
      </x:c>
    </x:row>
    <x:row r="1777" ht="58" customHeight="1">
      <x:c r="A1777" s="9" t="str">
        <x:v>E1772</x:v>
      </x:c>
      <x:c r="B1777" s="9" t="str">
        <x:v>T36.03</x:v>
      </x:c>
      <x:c r="C1777" s="9" t="str">
        <x:v>UPI and account-to-account payments</x:v>
      </x:c>
      <x:c r="D1777" s="15" t="str">
        <x:v>PART_OF</x:v>
      </x:c>
      <x:c r="E1777" s="9" t="str">
        <x:v>D36</x:v>
      </x:c>
      <x:c r="F1777" s="9" t="str">
        <x:v>Fintech, payments, and digital finance</x:v>
      </x:c>
      <x:c r="G1777" s="9" t="str">
        <x:v>Curriculum membership. Use this link to move between the topic and its finance area.</x:v>
      </x:c>
      <x:c r="H1777" s="9" t="str">
        <x:v>Classification only; this edge is not a causal or calculation relationship.</x:v>
      </x:c>
      <x:c r="I1777" s="9" t="str">
        <x:v>Curated curriculum relationship</x:v>
      </x:c>
    </x:row>
    <x:row r="1778" ht="58" customHeight="1">
      <x:c r="A1778" s="10" t="str">
        <x:v>E1773</x:v>
      </x:c>
      <x:c r="B1778" s="10" t="str">
        <x:v>T36.03</x:v>
      </x:c>
      <x:c r="C1778" s="10" t="str">
        <x:v>UPI and account-to-account payments</x:v>
      </x:c>
      <x:c r="D1778" s="14" t="str">
        <x:v>EXPLORE_WITH</x:v>
      </x:c>
      <x:c r="E1778" s="10" t="str">
        <x:v>T36.01</x:v>
      </x:c>
      <x:c r="F1778" s="10" t="str">
        <x:v>Payment systems and payment processing</x:v>
      </x:c>
      <x:c r="G1778" s="10" t="str">
        <x:v>Study these together to connect financial infrastructure, digital distribution, unit economics and controls.</x:v>
      </x:c>
      <x:c r="H1778" s="10" t="str">
        <x:v>A topical exploration link, not a claim that one determines the other.</x:v>
      </x:c>
      <x:c r="I1778" s="10" t="str">
        <x:v>Curated curriculum relationship</x:v>
      </x:c>
    </x:row>
    <x:row r="1779" ht="58" customHeight="1">
      <x:c r="A1779" s="9" t="str">
        <x:v>E1774</x:v>
      </x:c>
      <x:c r="B1779" s="9" t="str">
        <x:v>T01.03</x:v>
      </x:c>
      <x:c r="C1779" s="9" t="str">
        <x:v>The financial system: households, businesses, governments, and intermediaries</x:v>
      </x:c>
      <x:c r="D1779" s="15" t="str">
        <x:v>RECOMMENDED_BEFORE</x:v>
      </x:c>
      <x:c r="E1779" s="9" t="str">
        <x:v>T36.03</x:v>
      </x:c>
      <x:c r="F1779" s="9" t="str">
        <x:v>UPI and account-to-account payments</x:v>
      </x:c>
      <x:c r="G1779" s="9" t="str">
        <x:v>Suggested starting knowledge: The financial system: households, businesses, governments, and intermediaries. It helps you connect financial infrastructure, digital distribution, unit economics and controls.</x:v>
      </x:c>
      <x:c r="H1779" s="9" t="str">
        <x:v>Suggested learning order; learners can still explore freely.</x:v>
      </x:c>
      <x:c r="I1779" s="9" t="str">
        <x:v>Curated curriculum relationship</x:v>
      </x:c>
    </x:row>
    <x:row r="1780" ht="58" customHeight="1">
      <x:c r="A1780" s="10" t="str">
        <x:v>E1775</x:v>
      </x:c>
      <x:c r="B1780" s="10" t="str">
        <x:v>T36.04</x:v>
      </x:c>
      <x:c r="C1780" s="10" t="str">
        <x:v>Wallets, remittances, and cross-border payments</x:v>
      </x:c>
      <x:c r="D1780" s="14" t="str">
        <x:v>PART_OF</x:v>
      </x:c>
      <x:c r="E1780" s="10" t="str">
        <x:v>D36</x:v>
      </x:c>
      <x:c r="F1780" s="10" t="str">
        <x:v>Fintech, payments, and digital finance</x:v>
      </x:c>
      <x:c r="G1780" s="10" t="str">
        <x:v>Curriculum membership. Use this link to move between the topic and its finance area.</x:v>
      </x:c>
      <x:c r="H1780" s="10" t="str">
        <x:v>Classification only; this edge is not a causal or calculation relationship.</x:v>
      </x:c>
      <x:c r="I1780" s="10" t="str">
        <x:v>Curated curriculum relationship</x:v>
      </x:c>
    </x:row>
    <x:row r="1781" ht="58" customHeight="1">
      <x:c r="A1781" s="9" t="str">
        <x:v>E1776</x:v>
      </x:c>
      <x:c r="B1781" s="9" t="str">
        <x:v>T36.04</x:v>
      </x:c>
      <x:c r="C1781" s="9" t="str">
        <x:v>Wallets, remittances, and cross-border payments</x:v>
      </x:c>
      <x:c r="D1781" s="15" t="str">
        <x:v>EXPLORE_WITH</x:v>
      </x:c>
      <x:c r="E1781" s="9" t="str">
        <x:v>T36.01</x:v>
      </x:c>
      <x:c r="F1781" s="9" t="str">
        <x:v>Payment systems and payment processing</x:v>
      </x:c>
      <x:c r="G1781" s="9" t="str">
        <x:v>Study these together to connect financial infrastructure, digital distribution, unit economics and controls.</x:v>
      </x:c>
      <x:c r="H1781" s="9" t="str">
        <x:v>A topical exploration link, not a claim that one determines the other.</x:v>
      </x:c>
      <x:c r="I1781" s="9" t="str">
        <x:v>Curated curriculum relationship</x:v>
      </x:c>
    </x:row>
    <x:row r="1782" ht="58" customHeight="1">
      <x:c r="A1782" s="10" t="str">
        <x:v>E1777</x:v>
      </x:c>
      <x:c r="B1782" s="10" t="str">
        <x:v>T01.03</x:v>
      </x:c>
      <x:c r="C1782" s="10" t="str">
        <x:v>The financial system: households, businesses, governments, and intermediaries</x:v>
      </x:c>
      <x:c r="D1782" s="14" t="str">
        <x:v>RECOMMENDED_BEFORE</x:v>
      </x:c>
      <x:c r="E1782" s="10" t="str">
        <x:v>T36.04</x:v>
      </x:c>
      <x:c r="F1782" s="10" t="str">
        <x:v>Wallets, remittances, and cross-border payments</x:v>
      </x:c>
      <x:c r="G1782" s="10" t="str">
        <x:v>Suggested starting knowledge: The financial system: households, businesses, governments, and intermediaries. It helps you connect financial infrastructure, digital distribution, unit economics and controls.</x:v>
      </x:c>
      <x:c r="H1782" s="10" t="str">
        <x:v>Suggested learning order; learners can still explore freely.</x:v>
      </x:c>
      <x:c r="I1782" s="10" t="str">
        <x:v>Curated curriculum relationship</x:v>
      </x:c>
    </x:row>
    <x:row r="1783" ht="58" customHeight="1">
      <x:c r="A1783" s="9" t="str">
        <x:v>E1778</x:v>
      </x:c>
      <x:c r="B1783" s="9" t="str">
        <x:v>T36.05</x:v>
      </x:c>
      <x:c r="C1783" s="9" t="str">
        <x:v>Payment gateways and aggregators</x:v>
      </x:c>
      <x:c r="D1783" s="15" t="str">
        <x:v>PART_OF</x:v>
      </x:c>
      <x:c r="E1783" s="9" t="str">
        <x:v>D36</x:v>
      </x:c>
      <x:c r="F1783" s="9" t="str">
        <x:v>Fintech, payments, and digital finance</x:v>
      </x:c>
      <x:c r="G1783" s="9" t="str">
        <x:v>Curriculum membership. Use this link to move between the topic and its finance area.</x:v>
      </x:c>
      <x:c r="H1783" s="9" t="str">
        <x:v>Classification only; this edge is not a causal or calculation relationship.</x:v>
      </x:c>
      <x:c r="I1783" s="9" t="str">
        <x:v>Curated curriculum relationship</x:v>
      </x:c>
    </x:row>
    <x:row r="1784" ht="58" customHeight="1">
      <x:c r="A1784" s="10" t="str">
        <x:v>E1779</x:v>
      </x:c>
      <x:c r="B1784" s="10" t="str">
        <x:v>T36.05</x:v>
      </x:c>
      <x:c r="C1784" s="10" t="str">
        <x:v>Payment gateways and aggregators</x:v>
      </x:c>
      <x:c r="D1784" s="14" t="str">
        <x:v>EXPLORE_WITH</x:v>
      </x:c>
      <x:c r="E1784" s="10" t="str">
        <x:v>T36.02</x:v>
      </x:c>
      <x:c r="F1784" s="10" t="str">
        <x:v>Cards, acquiring, issuing, and interchange</x:v>
      </x:c>
      <x:c r="G1784" s="10" t="str">
        <x:v>Study these together to connect financial infrastructure, digital distribution, unit economics and controls.</x:v>
      </x:c>
      <x:c r="H1784" s="10" t="str">
        <x:v>A topical exploration link, not a claim that one determines the other.</x:v>
      </x:c>
      <x:c r="I1784" s="10" t="str">
        <x:v>Curated curriculum relationship</x:v>
      </x:c>
    </x:row>
    <x:row r="1785" ht="58" customHeight="1">
      <x:c r="A1785" s="9" t="str">
        <x:v>E1780</x:v>
      </x:c>
      <x:c r="B1785" s="9" t="str">
        <x:v>T01.03</x:v>
      </x:c>
      <x:c r="C1785" s="9" t="str">
        <x:v>The financial system: households, businesses, governments, and intermediaries</x:v>
      </x:c>
      <x:c r="D1785" s="15" t="str">
        <x:v>RECOMMENDED_BEFORE</x:v>
      </x:c>
      <x:c r="E1785" s="9" t="str">
        <x:v>T36.05</x:v>
      </x:c>
      <x:c r="F1785" s="9" t="str">
        <x:v>Payment gateways and aggregators</x:v>
      </x:c>
      <x:c r="G1785" s="9" t="str">
        <x:v>Suggested starting knowledge: The financial system: households, businesses, governments, and intermediaries. It helps you connect financial infrastructure, digital distribution, unit economics and controls.</x:v>
      </x:c>
      <x:c r="H1785" s="9" t="str">
        <x:v>Suggested learning order; learners can still explore freely.</x:v>
      </x:c>
      <x:c r="I1785" s="9" t="str">
        <x:v>Curated curriculum relationship</x:v>
      </x:c>
    </x:row>
    <x:row r="1786" ht="58" customHeight="1">
      <x:c r="A1786" s="10" t="str">
        <x:v>E1781</x:v>
      </x:c>
      <x:c r="B1786" s="10" t="str">
        <x:v>T36.06</x:v>
      </x:c>
      <x:c r="C1786" s="10" t="str">
        <x:v>Digital lending and alternative underwriting</x:v>
      </x:c>
      <x:c r="D1786" s="14" t="str">
        <x:v>PART_OF</x:v>
      </x:c>
      <x:c r="E1786" s="10" t="str">
        <x:v>D36</x:v>
      </x:c>
      <x:c r="F1786" s="10" t="str">
        <x:v>Fintech, payments, and digital finance</x:v>
      </x:c>
      <x:c r="G1786" s="10" t="str">
        <x:v>Curriculum membership. Use this link to move between the topic and its finance area.</x:v>
      </x:c>
      <x:c r="H1786" s="10" t="str">
        <x:v>Classification only; this edge is not a causal or calculation relationship.</x:v>
      </x:c>
      <x:c r="I1786" s="10" t="str">
        <x:v>Curated curriculum relationship</x:v>
      </x:c>
    </x:row>
    <x:row r="1787" ht="58" customHeight="1">
      <x:c r="A1787" s="9" t="str">
        <x:v>E1782</x:v>
      </x:c>
      <x:c r="B1787" s="9" t="str">
        <x:v>T36.06</x:v>
      </x:c>
      <x:c r="C1787" s="9" t="str">
        <x:v>Digital lending and alternative underwriting</x:v>
      </x:c>
      <x:c r="D1787" s="15" t="str">
        <x:v>EXPLORE_WITH</x:v>
      </x:c>
      <x:c r="E1787" s="9" t="str">
        <x:v>T36.11</x:v>
      </x:c>
      <x:c r="F1787" s="9" t="str">
        <x:v>Fraud detection and financial identity</x:v>
      </x:c>
      <x:c r="G1787" s="9" t="str">
        <x:v>Study these together to connect financial infrastructure, digital distribution, unit economics and controls.</x:v>
      </x:c>
      <x:c r="H1787" s="9" t="str">
        <x:v>A topical exploration link, not a claim that one determines the other.</x:v>
      </x:c>
      <x:c r="I1787" s="9" t="str">
        <x:v>Curated curriculum relationship</x:v>
      </x:c>
    </x:row>
    <x:row r="1788" ht="58" customHeight="1">
      <x:c r="A1788" s="10" t="str">
        <x:v>E1783</x:v>
      </x:c>
      <x:c r="B1788" s="10" t="str">
        <x:v>T01.03</x:v>
      </x:c>
      <x:c r="C1788" s="10" t="str">
        <x:v>The financial system: households, businesses, governments, and intermediaries</x:v>
      </x:c>
      <x:c r="D1788" s="14" t="str">
        <x:v>RECOMMENDED_BEFORE</x:v>
      </x:c>
      <x:c r="E1788" s="10" t="str">
        <x:v>T36.06</x:v>
      </x:c>
      <x:c r="F1788" s="10" t="str">
        <x:v>Digital lending and alternative underwriting</x:v>
      </x:c>
      <x:c r="G1788" s="10" t="str">
        <x:v>Suggested starting knowledge: The financial system: households, businesses, governments, and intermediaries. It helps you connect financial infrastructure, digital distribution, unit economics and controls.</x:v>
      </x:c>
      <x:c r="H1788" s="10" t="str">
        <x:v>Suggested learning order; learners can still explore freely.</x:v>
      </x:c>
      <x:c r="I1788" s="10" t="str">
        <x:v>Curated curriculum relationship</x:v>
      </x:c>
    </x:row>
    <x:row r="1789" ht="58" customHeight="1">
      <x:c r="A1789" s="9" t="str">
        <x:v>E1784</x:v>
      </x:c>
      <x:c r="B1789" s="9" t="str">
        <x:v>T36.07</x:v>
      </x:c>
      <x:c r="C1789" s="9" t="str">
        <x:v>Embedded finance and banking-as-a-service</x:v>
      </x:c>
      <x:c r="D1789" s="15" t="str">
        <x:v>PART_OF</x:v>
      </x:c>
      <x:c r="E1789" s="9" t="str">
        <x:v>D36</x:v>
      </x:c>
      <x:c r="F1789" s="9" t="str">
        <x:v>Fintech, payments, and digital finance</x:v>
      </x:c>
      <x:c r="G1789" s="9" t="str">
        <x:v>Curriculum membership. Use this link to move between the topic and its finance area.</x:v>
      </x:c>
      <x:c r="H1789" s="9" t="str">
        <x:v>Classification only; this edge is not a causal or calculation relationship.</x:v>
      </x:c>
      <x:c r="I1789" s="9" t="str">
        <x:v>Curated curriculum relationship</x:v>
      </x:c>
    </x:row>
    <x:row r="1790" ht="58" customHeight="1">
      <x:c r="A1790" s="10" t="str">
        <x:v>E1785</x:v>
      </x:c>
      <x:c r="B1790" s="10" t="str">
        <x:v>T36.07</x:v>
      </x:c>
      <x:c r="C1790" s="10" t="str">
        <x:v>Embedded finance and banking-as-a-service</x:v>
      </x:c>
      <x:c r="D1790" s="14" t="str">
        <x:v>EXPLORE_WITH</x:v>
      </x:c>
      <x:c r="E1790" s="10" t="str">
        <x:v>T36.06</x:v>
      </x:c>
      <x:c r="F1790" s="10" t="str">
        <x:v>Digital lending and alternative underwriting</x:v>
      </x:c>
      <x:c r="G1790" s="10" t="str">
        <x:v>Study these together to connect financial infrastructure, digital distribution, unit economics and controls.</x:v>
      </x:c>
      <x:c r="H1790" s="10" t="str">
        <x:v>A topical exploration link, not a claim that one determines the other.</x:v>
      </x:c>
      <x:c r="I1790" s="10" t="str">
        <x:v>Curated curriculum relationship</x:v>
      </x:c>
    </x:row>
    <x:row r="1791" ht="58" customHeight="1">
      <x:c r="A1791" s="9" t="str">
        <x:v>E1786</x:v>
      </x:c>
      <x:c r="B1791" s="9" t="str">
        <x:v>T01.03</x:v>
      </x:c>
      <x:c r="C1791" s="9" t="str">
        <x:v>The financial system: households, businesses, governments, and intermediaries</x:v>
      </x:c>
      <x:c r="D1791" s="15" t="str">
        <x:v>RECOMMENDED_BEFORE</x:v>
      </x:c>
      <x:c r="E1791" s="9" t="str">
        <x:v>T36.07</x:v>
      </x:c>
      <x:c r="F1791" s="9" t="str">
        <x:v>Embedded finance and banking-as-a-service</x:v>
      </x:c>
      <x:c r="G1791" s="9" t="str">
        <x:v>Suggested starting knowledge: The financial system: households, businesses, governments, and intermediaries. It helps you connect financial infrastructure, digital distribution, unit economics and controls.</x:v>
      </x:c>
      <x:c r="H1791" s="9" t="str">
        <x:v>Suggested learning order; learners can still explore freely.</x:v>
      </x:c>
      <x:c r="I1791" s="9" t="str">
        <x:v>Curated curriculum relationship</x:v>
      </x:c>
    </x:row>
    <x:row r="1792" ht="58" customHeight="1">
      <x:c r="A1792" s="10" t="str">
        <x:v>E1787</x:v>
      </x:c>
      <x:c r="B1792" s="10" t="str">
        <x:v>T36.08</x:v>
      </x:c>
      <x:c r="C1792" s="10" t="str">
        <x:v>Open banking and account aggregation</x:v>
      </x:c>
      <x:c r="D1792" s="14" t="str">
        <x:v>PART_OF</x:v>
      </x:c>
      <x:c r="E1792" s="10" t="str">
        <x:v>D36</x:v>
      </x:c>
      <x:c r="F1792" s="10" t="str">
        <x:v>Fintech, payments, and digital finance</x:v>
      </x:c>
      <x:c r="G1792" s="10" t="str">
        <x:v>Curriculum membership. Use this link to move between the topic and its finance area.</x:v>
      </x:c>
      <x:c r="H1792" s="10" t="str">
        <x:v>Classification only; this edge is not a causal or calculation relationship.</x:v>
      </x:c>
      <x:c r="I1792" s="10" t="str">
        <x:v>Curated curriculum relationship</x:v>
      </x:c>
    </x:row>
    <x:row r="1793" ht="58" customHeight="1">
      <x:c r="A1793" s="9" t="str">
        <x:v>E1788</x:v>
      </x:c>
      <x:c r="B1793" s="9" t="str">
        <x:v>T36.08</x:v>
      </x:c>
      <x:c r="C1793" s="9" t="str">
        <x:v>Open banking and account aggregation</x:v>
      </x:c>
      <x:c r="D1793" s="15" t="str">
        <x:v>EXPLORE_WITH</x:v>
      </x:c>
      <x:c r="E1793" s="9" t="str">
        <x:v>T36.11</x:v>
      </x:c>
      <x:c r="F1793" s="9" t="str">
        <x:v>Fraud detection and financial identity</x:v>
      </x:c>
      <x:c r="G1793" s="9" t="str">
        <x:v>Study these together to connect financial infrastructure, digital distribution, unit economics and controls.</x:v>
      </x:c>
      <x:c r="H1793" s="9" t="str">
        <x:v>A topical exploration link, not a claim that one determines the other.</x:v>
      </x:c>
      <x:c r="I1793" s="9" t="str">
        <x:v>Curated curriculum relationship</x:v>
      </x:c>
    </x:row>
    <x:row r="1794" ht="58" customHeight="1">
      <x:c r="A1794" s="10" t="str">
        <x:v>E1789</x:v>
      </x:c>
      <x:c r="B1794" s="10" t="str">
        <x:v>T01.03</x:v>
      </x:c>
      <x:c r="C1794" s="10" t="str">
        <x:v>The financial system: households, businesses, governments, and intermediaries</x:v>
      </x:c>
      <x:c r="D1794" s="14" t="str">
        <x:v>RECOMMENDED_BEFORE</x:v>
      </x:c>
      <x:c r="E1794" s="10" t="str">
        <x:v>T36.08</x:v>
      </x:c>
      <x:c r="F1794" s="10" t="str">
        <x:v>Open banking and account aggregation</x:v>
      </x:c>
      <x:c r="G1794" s="10" t="str">
        <x:v>Suggested starting knowledge: The financial system: households, businesses, governments, and intermediaries. It helps you connect financial infrastructure, digital distribution, unit economics and controls.</x:v>
      </x:c>
      <x:c r="H1794" s="10" t="str">
        <x:v>Suggested learning order; learners can still explore freely.</x:v>
      </x:c>
      <x:c r="I1794" s="10" t="str">
        <x:v>Curated curriculum relationship</x:v>
      </x:c>
    </x:row>
    <x:row r="1795" ht="58" customHeight="1">
      <x:c r="A1795" s="9" t="str">
        <x:v>E1790</x:v>
      </x:c>
      <x:c r="B1795" s="9" t="str">
        <x:v>T36.09</x:v>
      </x:c>
      <x:c r="C1795" s="9" t="str">
        <x:v>Robo-advisory and automated wealth management</x:v>
      </x:c>
      <x:c r="D1795" s="15" t="str">
        <x:v>PART_OF</x:v>
      </x:c>
      <x:c r="E1795" s="9" t="str">
        <x:v>D36</x:v>
      </x:c>
      <x:c r="F1795" s="9" t="str">
        <x:v>Fintech, payments, and digital finance</x:v>
      </x:c>
      <x:c r="G1795" s="9" t="str">
        <x:v>Curriculum membership. Use this link to move between the topic and its finance area.</x:v>
      </x:c>
      <x:c r="H1795" s="9" t="str">
        <x:v>Classification only; this edge is not a causal or calculation relationship.</x:v>
      </x:c>
      <x:c r="I1795" s="9" t="str">
        <x:v>Curated curriculum relationship</x:v>
      </x:c>
    </x:row>
    <x:row r="1796" ht="58" customHeight="1">
      <x:c r="A1796" s="10" t="str">
        <x:v>E1791</x:v>
      </x:c>
      <x:c r="B1796" s="10" t="str">
        <x:v>T36.09</x:v>
      </x:c>
      <x:c r="C1796" s="10" t="str">
        <x:v>Robo-advisory and automated wealth management</x:v>
      </x:c>
      <x:c r="D1796" s="14" t="str">
        <x:v>EXPLORE_WITH</x:v>
      </x:c>
      <x:c r="E1796" s="10" t="str">
        <x:v>T36.10</x:v>
      </x:c>
      <x:c r="F1796" s="10" t="str">
        <x:v>Insurtech, regtech, and wealthtech</x:v>
      </x:c>
      <x:c r="G1796" s="10" t="str">
        <x:v>Study these together to connect financial infrastructure, digital distribution, unit economics and controls.</x:v>
      </x:c>
      <x:c r="H1796" s="10" t="str">
        <x:v>A topical exploration link, not a claim that one determines the other.</x:v>
      </x:c>
      <x:c r="I1796" s="10" t="str">
        <x:v>Curated curriculum relationship</x:v>
      </x:c>
    </x:row>
    <x:row r="1797" ht="58" customHeight="1">
      <x:c r="A1797" s="9" t="str">
        <x:v>E1792</x:v>
      </x:c>
      <x:c r="B1797" s="9" t="str">
        <x:v>T01.03</x:v>
      </x:c>
      <x:c r="C1797" s="9" t="str">
        <x:v>The financial system: households, businesses, governments, and intermediaries</x:v>
      </x:c>
      <x:c r="D1797" s="15" t="str">
        <x:v>RECOMMENDED_BEFORE</x:v>
      </x:c>
      <x:c r="E1797" s="9" t="str">
        <x:v>T36.09</x:v>
      </x:c>
      <x:c r="F1797" s="9" t="str">
        <x:v>Robo-advisory and automated wealth management</x:v>
      </x:c>
      <x:c r="G1797" s="9" t="str">
        <x:v>Suggested starting knowledge: The financial system: households, businesses, governments, and intermediaries. It helps you connect financial infrastructure, digital distribution, unit economics and controls.</x:v>
      </x:c>
      <x:c r="H1797" s="9" t="str">
        <x:v>Suggested learning order; learners can still explore freely.</x:v>
      </x:c>
      <x:c r="I1797" s="9" t="str">
        <x:v>Curated curriculum relationship</x:v>
      </x:c>
    </x:row>
    <x:row r="1798" ht="58" customHeight="1">
      <x:c r="A1798" s="10" t="str">
        <x:v>E1793</x:v>
      </x:c>
      <x:c r="B1798" s="10" t="str">
        <x:v>T36.10</x:v>
      </x:c>
      <x:c r="C1798" s="10" t="str">
        <x:v>Insurtech, regtech, and wealthtech</x:v>
      </x:c>
      <x:c r="D1798" s="14" t="str">
        <x:v>PART_OF</x:v>
      </x:c>
      <x:c r="E1798" s="10" t="str">
        <x:v>D36</x:v>
      </x:c>
      <x:c r="F1798" s="10" t="str">
        <x:v>Fintech, payments, and digital finance</x:v>
      </x:c>
      <x:c r="G1798" s="10" t="str">
        <x:v>Curriculum membership. Use this link to move between the topic and its finance area.</x:v>
      </x:c>
      <x:c r="H1798" s="10" t="str">
        <x:v>Classification only; this edge is not a causal or calculation relationship.</x:v>
      </x:c>
      <x:c r="I1798" s="10" t="str">
        <x:v>Curated curriculum relationship</x:v>
      </x:c>
    </x:row>
    <x:row r="1799" ht="58" customHeight="1">
      <x:c r="A1799" s="9" t="str">
        <x:v>E1794</x:v>
      </x:c>
      <x:c r="B1799" s="9" t="str">
        <x:v>T36.10</x:v>
      </x:c>
      <x:c r="C1799" s="9" t="str">
        <x:v>Insurtech, regtech, and wealthtech</x:v>
      </x:c>
      <x:c r="D1799" s="15" t="str">
        <x:v>EXPLORE_WITH</x:v>
      </x:c>
      <x:c r="E1799" s="9" t="str">
        <x:v>T36.09</x:v>
      </x:c>
      <x:c r="F1799" s="9" t="str">
        <x:v>Robo-advisory and automated wealth management</x:v>
      </x:c>
      <x:c r="G1799" s="9" t="str">
        <x:v>Study these together to connect financial infrastructure, digital distribution, unit economics and controls.</x:v>
      </x:c>
      <x:c r="H1799" s="9" t="str">
        <x:v>A topical exploration link, not a claim that one determines the other.</x:v>
      </x:c>
      <x:c r="I1799" s="9" t="str">
        <x:v>Curated curriculum relationship</x:v>
      </x:c>
    </x:row>
    <x:row r="1800" ht="58" customHeight="1">
      <x:c r="A1800" s="10" t="str">
        <x:v>E1795</x:v>
      </x:c>
      <x:c r="B1800" s="10" t="str">
        <x:v>T01.03</x:v>
      </x:c>
      <x:c r="C1800" s="10" t="str">
        <x:v>The financial system: households, businesses, governments, and intermediaries</x:v>
      </x:c>
      <x:c r="D1800" s="14" t="str">
        <x:v>RECOMMENDED_BEFORE</x:v>
      </x:c>
      <x:c r="E1800" s="10" t="str">
        <x:v>T36.10</x:v>
      </x:c>
      <x:c r="F1800" s="10" t="str">
        <x:v>Insurtech, regtech, and wealthtech</x:v>
      </x:c>
      <x:c r="G1800" s="10" t="str">
        <x:v>Suggested starting knowledge: The financial system: households, businesses, governments, and intermediaries. It helps you connect financial infrastructure, digital distribution, unit economics and controls.</x:v>
      </x:c>
      <x:c r="H1800" s="10" t="str">
        <x:v>Suggested learning order; learners can still explore freely.</x:v>
      </x:c>
      <x:c r="I1800" s="10" t="str">
        <x:v>Curated curriculum relationship</x:v>
      </x:c>
    </x:row>
    <x:row r="1801" ht="58" customHeight="1">
      <x:c r="A1801" s="9" t="str">
        <x:v>E1796</x:v>
      </x:c>
      <x:c r="B1801" s="9" t="str">
        <x:v>T36.11</x:v>
      </x:c>
      <x:c r="C1801" s="9" t="str">
        <x:v>Fraud detection and financial identity</x:v>
      </x:c>
      <x:c r="D1801" s="15" t="str">
        <x:v>PART_OF</x:v>
      </x:c>
      <x:c r="E1801" s="9" t="str">
        <x:v>D36</x:v>
      </x:c>
      <x:c r="F1801" s="9" t="str">
        <x:v>Fintech, payments, and digital finance</x:v>
      </x:c>
      <x:c r="G1801" s="9" t="str">
        <x:v>Curriculum membership. Use this link to move between the topic and its finance area.</x:v>
      </x:c>
      <x:c r="H1801" s="9" t="str">
        <x:v>Classification only; this edge is not a causal or calculation relationship.</x:v>
      </x:c>
      <x:c r="I1801" s="9" t="str">
        <x:v>Curated curriculum relationship</x:v>
      </x:c>
    </x:row>
    <x:row r="1802" ht="58" customHeight="1">
      <x:c r="A1802" s="10" t="str">
        <x:v>E1797</x:v>
      </x:c>
      <x:c r="B1802" s="10" t="str">
        <x:v>T36.11</x:v>
      </x:c>
      <x:c r="C1802" s="10" t="str">
        <x:v>Fraud detection and financial identity</x:v>
      </x:c>
      <x:c r="D1802" s="14" t="str">
        <x:v>EXPLORE_WITH</x:v>
      </x:c>
      <x:c r="E1802" s="10" t="str">
        <x:v>T36.06</x:v>
      </x:c>
      <x:c r="F1802" s="10" t="str">
        <x:v>Digital lending and alternative underwriting</x:v>
      </x:c>
      <x:c r="G1802" s="10" t="str">
        <x:v>Study these together to connect financial infrastructure, digital distribution, unit economics and controls.</x:v>
      </x:c>
      <x:c r="H1802" s="10" t="str">
        <x:v>A topical exploration link, not a claim that one determines the other.</x:v>
      </x:c>
      <x:c r="I1802" s="10" t="str">
        <x:v>Curated curriculum relationship</x:v>
      </x:c>
    </x:row>
    <x:row r="1803" ht="58" customHeight="1">
      <x:c r="A1803" s="9" t="str">
        <x:v>E1798</x:v>
      </x:c>
      <x:c r="B1803" s="9" t="str">
        <x:v>T01.03</x:v>
      </x:c>
      <x:c r="C1803" s="9" t="str">
        <x:v>The financial system: households, businesses, governments, and intermediaries</x:v>
      </x:c>
      <x:c r="D1803" s="15" t="str">
        <x:v>RECOMMENDED_BEFORE</x:v>
      </x:c>
      <x:c r="E1803" s="9" t="str">
        <x:v>T36.11</x:v>
      </x:c>
      <x:c r="F1803" s="9" t="str">
        <x:v>Fraud detection and financial identity</x:v>
      </x:c>
      <x:c r="G1803" s="9" t="str">
        <x:v>Suggested starting knowledge: The financial system: households, businesses, governments, and intermediaries. It helps you connect financial infrastructure, digital distribution, unit economics and controls.</x:v>
      </x:c>
      <x:c r="H1803" s="9" t="str">
        <x:v>Suggested learning order; learners can still explore freely.</x:v>
      </x:c>
      <x:c r="I1803" s="9" t="str">
        <x:v>Curated curriculum relationship</x:v>
      </x:c>
    </x:row>
    <x:row r="1804" ht="58" customHeight="1">
      <x:c r="A1804" s="10" t="str">
        <x:v>E1799</x:v>
      </x:c>
      <x:c r="B1804" s="10" t="str">
        <x:v>T36.12</x:v>
      </x:c>
      <x:c r="C1804" s="10" t="str">
        <x:v>Blockchain and distributed ledgers</x:v>
      </x:c>
      <x:c r="D1804" s="14" t="str">
        <x:v>PART_OF</x:v>
      </x:c>
      <x:c r="E1804" s="10" t="str">
        <x:v>D36</x:v>
      </x:c>
      <x:c r="F1804" s="10" t="str">
        <x:v>Fintech, payments, and digital finance</x:v>
      </x:c>
      <x:c r="G1804" s="10" t="str">
        <x:v>Curriculum membership. Use this link to move between the topic and its finance area.</x:v>
      </x:c>
      <x:c r="H1804" s="10" t="str">
        <x:v>Classification only; this edge is not a causal or calculation relationship.</x:v>
      </x:c>
      <x:c r="I1804" s="10" t="str">
        <x:v>Curated curriculum relationship</x:v>
      </x:c>
    </x:row>
    <x:row r="1805" ht="58" customHeight="1">
      <x:c r="A1805" s="9" t="str">
        <x:v>E1800</x:v>
      </x:c>
      <x:c r="B1805" s="9" t="str">
        <x:v>T36.12</x:v>
      </x:c>
      <x:c r="C1805" s="9" t="str">
        <x:v>Blockchain and distributed ledgers</x:v>
      </x:c>
      <x:c r="D1805" s="15" t="str">
        <x:v>EXPLORE_WITH</x:v>
      </x:c>
      <x:c r="E1805" s="9" t="str">
        <x:v>T36.13</x:v>
      </x:c>
      <x:c r="F1805" s="9" t="str">
        <x:v>Cryptoassets and token economics</x:v>
      </x:c>
      <x:c r="G1805" s="9" t="str">
        <x:v>Study these together to connect financial infrastructure, digital distribution, unit economics and controls.</x:v>
      </x:c>
      <x:c r="H1805" s="9" t="str">
        <x:v>A topical exploration link, not a claim that one determines the other.</x:v>
      </x:c>
      <x:c r="I1805" s="9" t="str">
        <x:v>Curated curriculum relationship</x:v>
      </x:c>
    </x:row>
    <x:row r="1806" ht="58" customHeight="1">
      <x:c r="A1806" s="10" t="str">
        <x:v>E1801</x:v>
      </x:c>
      <x:c r="B1806" s="10" t="str">
        <x:v>T01.03</x:v>
      </x:c>
      <x:c r="C1806" s="10" t="str">
        <x:v>The financial system: households, businesses, governments, and intermediaries</x:v>
      </x:c>
      <x:c r="D1806" s="14" t="str">
        <x:v>RECOMMENDED_BEFORE</x:v>
      </x:c>
      <x:c r="E1806" s="10" t="str">
        <x:v>T36.12</x:v>
      </x:c>
      <x:c r="F1806" s="10" t="str">
        <x:v>Blockchain and distributed ledgers</x:v>
      </x:c>
      <x:c r="G1806" s="10" t="str">
        <x:v>Suggested starting knowledge: The financial system: households, businesses, governments, and intermediaries. It helps you connect financial infrastructure, digital distribution, unit economics and controls.</x:v>
      </x:c>
      <x:c r="H1806" s="10" t="str">
        <x:v>Suggested learning order; learners can still explore freely.</x:v>
      </x:c>
      <x:c r="I1806" s="10" t="str">
        <x:v>Curated curriculum relationship</x:v>
      </x:c>
    </x:row>
    <x:row r="1807" ht="58" customHeight="1">
      <x:c r="A1807" s="9" t="str">
        <x:v>E1802</x:v>
      </x:c>
      <x:c r="B1807" s="9" t="str">
        <x:v>T36.13</x:v>
      </x:c>
      <x:c r="C1807" s="9" t="str">
        <x:v>Cryptoassets and token economics</x:v>
      </x:c>
      <x:c r="D1807" s="15" t="str">
        <x:v>PART_OF</x:v>
      </x:c>
      <x:c r="E1807" s="9" t="str">
        <x:v>D36</x:v>
      </x:c>
      <x:c r="F1807" s="9" t="str">
        <x:v>Fintech, payments, and digital finance</x:v>
      </x:c>
      <x:c r="G1807" s="9" t="str">
        <x:v>Curriculum membership. Use this link to move between the topic and its finance area.</x:v>
      </x:c>
      <x:c r="H1807" s="9" t="str">
        <x:v>Classification only; this edge is not a causal or calculation relationship.</x:v>
      </x:c>
      <x:c r="I1807" s="9" t="str">
        <x:v>Curated curriculum relationship</x:v>
      </x:c>
    </x:row>
    <x:row r="1808" ht="58" customHeight="1">
      <x:c r="A1808" s="10" t="str">
        <x:v>E1803</x:v>
      </x:c>
      <x:c r="B1808" s="10" t="str">
        <x:v>T36.13</x:v>
      </x:c>
      <x:c r="C1808" s="10" t="str">
        <x:v>Cryptoassets and token economics</x:v>
      </x:c>
      <x:c r="D1808" s="14" t="str">
        <x:v>EXPLORE_WITH</x:v>
      </x:c>
      <x:c r="E1808" s="10" t="str">
        <x:v>T36.12</x:v>
      </x:c>
      <x:c r="F1808" s="10" t="str">
        <x:v>Blockchain and distributed ledgers</x:v>
      </x:c>
      <x:c r="G1808" s="10" t="str">
        <x:v>Study these together to connect financial infrastructure, digital distribution, unit economics and controls.</x:v>
      </x:c>
      <x:c r="H1808" s="10" t="str">
        <x:v>A topical exploration link, not a claim that one determines the other.</x:v>
      </x:c>
      <x:c r="I1808" s="10" t="str">
        <x:v>Curated curriculum relationship</x:v>
      </x:c>
    </x:row>
    <x:row r="1809" ht="58" customHeight="1">
      <x:c r="A1809" s="9" t="str">
        <x:v>E1804</x:v>
      </x:c>
      <x:c r="B1809" s="9" t="str">
        <x:v>T01.03</x:v>
      </x:c>
      <x:c r="C1809" s="9" t="str">
        <x:v>The financial system: households, businesses, governments, and intermediaries</x:v>
      </x:c>
      <x:c r="D1809" s="15" t="str">
        <x:v>RECOMMENDED_BEFORE</x:v>
      </x:c>
      <x:c r="E1809" s="9" t="str">
        <x:v>T36.13</x:v>
      </x:c>
      <x:c r="F1809" s="9" t="str">
        <x:v>Cryptoassets and token economics</x:v>
      </x:c>
      <x:c r="G1809" s="9" t="str">
        <x:v>Suggested starting knowledge: The financial system: households, businesses, governments, and intermediaries. It helps you connect financial infrastructure, digital distribution, unit economics and controls.</x:v>
      </x:c>
      <x:c r="H1809" s="9" t="str">
        <x:v>Suggested learning order; learners can still explore freely.</x:v>
      </x:c>
      <x:c r="I1809" s="9" t="str">
        <x:v>Curated curriculum relationship</x:v>
      </x:c>
    </x:row>
    <x:row r="1810" ht="58" customHeight="1">
      <x:c r="A1810" s="10" t="str">
        <x:v>E1805</x:v>
      </x:c>
      <x:c r="B1810" s="10" t="str">
        <x:v>T36.14</x:v>
      </x:c>
      <x:c r="C1810" s="10" t="str">
        <x:v>Stablecoins and central bank digital currencies</x:v>
      </x:c>
      <x:c r="D1810" s="14" t="str">
        <x:v>PART_OF</x:v>
      </x:c>
      <x:c r="E1810" s="10" t="str">
        <x:v>D36</x:v>
      </x:c>
      <x:c r="F1810" s="10" t="str">
        <x:v>Fintech, payments, and digital finance</x:v>
      </x:c>
      <x:c r="G1810" s="10" t="str">
        <x:v>Curriculum membership. Use this link to move between the topic and its finance area.</x:v>
      </x:c>
      <x:c r="H1810" s="10" t="str">
        <x:v>Classification only; this edge is not a causal or calculation relationship.</x:v>
      </x:c>
      <x:c r="I1810" s="10" t="str">
        <x:v>Curated curriculum relationship</x:v>
      </x:c>
    </x:row>
    <x:row r="1811" ht="58" customHeight="1">
      <x:c r="A1811" s="9" t="str">
        <x:v>E1806</x:v>
      </x:c>
      <x:c r="B1811" s="9" t="str">
        <x:v>T36.14</x:v>
      </x:c>
      <x:c r="C1811" s="9" t="str">
        <x:v>Stablecoins and central bank digital currencies</x:v>
      </x:c>
      <x:c r="D1811" s="15" t="str">
        <x:v>EXPLORE_WITH</x:v>
      </x:c>
      <x:c r="E1811" s="9" t="str">
        <x:v>T36.01</x:v>
      </x:c>
      <x:c r="F1811" s="9" t="str">
        <x:v>Payment systems and payment processing</x:v>
      </x:c>
      <x:c r="G1811" s="9" t="str">
        <x:v>Study these together to connect financial infrastructure, digital distribution, unit economics and controls.</x:v>
      </x:c>
      <x:c r="H1811" s="9" t="str">
        <x:v>A topical exploration link, not a claim that one determines the other.</x:v>
      </x:c>
      <x:c r="I1811" s="9" t="str">
        <x:v>Curated curriculum relationship</x:v>
      </x:c>
    </x:row>
    <x:row r="1812" ht="58" customHeight="1">
      <x:c r="A1812" s="10" t="str">
        <x:v>E1807</x:v>
      </x:c>
      <x:c r="B1812" s="10" t="str">
        <x:v>T01.03</x:v>
      </x:c>
      <x:c r="C1812" s="10" t="str">
        <x:v>The financial system: households, businesses, governments, and intermediaries</x:v>
      </x:c>
      <x:c r="D1812" s="14" t="str">
        <x:v>RECOMMENDED_BEFORE</x:v>
      </x:c>
      <x:c r="E1812" s="10" t="str">
        <x:v>T36.14</x:v>
      </x:c>
      <x:c r="F1812" s="10" t="str">
        <x:v>Stablecoins and central bank digital currencies</x:v>
      </x:c>
      <x:c r="G1812" s="10" t="str">
        <x:v>Suggested starting knowledge: The financial system: households, businesses, governments, and intermediaries. It helps you connect financial infrastructure, digital distribution, unit economics and controls.</x:v>
      </x:c>
      <x:c r="H1812" s="10" t="str">
        <x:v>Suggested learning order; learners can still explore freely.</x:v>
      </x:c>
      <x:c r="I1812" s="10" t="str">
        <x:v>Curated curriculum relationship</x:v>
      </x:c>
    </x:row>
    <x:row r="1813" ht="58" customHeight="1">
      <x:c r="A1813" s="9" t="str">
        <x:v>E1808</x:v>
      </x:c>
      <x:c r="B1813" s="9" t="str">
        <x:v>T36.15</x:v>
      </x:c>
      <x:c r="C1813" s="9" t="str">
        <x:v>Decentralised finance, lending, and automated market makers</x:v>
      </x:c>
      <x:c r="D1813" s="15" t="str">
        <x:v>PART_OF</x:v>
      </x:c>
      <x:c r="E1813" s="9" t="str">
        <x:v>D36</x:v>
      </x:c>
      <x:c r="F1813" s="9" t="str">
        <x:v>Fintech, payments, and digital finance</x:v>
      </x:c>
      <x:c r="G1813" s="9" t="str">
        <x:v>Curriculum membership. Use this link to move between the topic and its finance area.</x:v>
      </x:c>
      <x:c r="H1813" s="9" t="str">
        <x:v>Classification only; this edge is not a causal or calculation relationship.</x:v>
      </x:c>
      <x:c r="I1813" s="9" t="str">
        <x:v>Curated curriculum relationship</x:v>
      </x:c>
    </x:row>
    <x:row r="1814" ht="58" customHeight="1">
      <x:c r="A1814" s="10" t="str">
        <x:v>E1809</x:v>
      </x:c>
      <x:c r="B1814" s="10" t="str">
        <x:v>T36.15</x:v>
      </x:c>
      <x:c r="C1814" s="10" t="str">
        <x:v>Decentralised finance, lending, and automated market makers</x:v>
      </x:c>
      <x:c r="D1814" s="14" t="str">
        <x:v>EXPLORE_WITH</x:v>
      </x:c>
      <x:c r="E1814" s="10" t="str">
        <x:v>T36.13</x:v>
      </x:c>
      <x:c r="F1814" s="10" t="str">
        <x:v>Cryptoassets and token economics</x:v>
      </x:c>
      <x:c r="G1814" s="10" t="str">
        <x:v>Study these together to connect financial infrastructure, digital distribution, unit economics and controls.</x:v>
      </x:c>
      <x:c r="H1814" s="10" t="str">
        <x:v>A topical exploration link, not a claim that one determines the other.</x:v>
      </x:c>
      <x:c r="I1814" s="10" t="str">
        <x:v>Curated curriculum relationship</x:v>
      </x:c>
    </x:row>
    <x:row r="1815" ht="58" customHeight="1">
      <x:c r="A1815" s="9" t="str">
        <x:v>E1810</x:v>
      </x:c>
      <x:c r="B1815" s="9" t="str">
        <x:v>T01.03</x:v>
      </x:c>
      <x:c r="C1815" s="9" t="str">
        <x:v>The financial system: households, businesses, governments, and intermediaries</x:v>
      </x:c>
      <x:c r="D1815" s="15" t="str">
        <x:v>RECOMMENDED_BEFORE</x:v>
      </x:c>
      <x:c r="E1815" s="9" t="str">
        <x:v>T36.15</x:v>
      </x:c>
      <x:c r="F1815" s="9" t="str">
        <x:v>Decentralised finance, lending, and automated market makers</x:v>
      </x:c>
      <x:c r="G1815" s="9" t="str">
        <x:v>Suggested starting knowledge: The financial system: households, businesses, governments, and intermediaries. It helps you connect financial infrastructure, digital distribution, unit economics and controls.</x:v>
      </x:c>
      <x:c r="H1815" s="9" t="str">
        <x:v>Suggested learning order; learners can still explore freely.</x:v>
      </x:c>
      <x:c r="I1815" s="9" t="str">
        <x:v>Curated curriculum relationship</x:v>
      </x:c>
    </x:row>
    <x:row r="1816" ht="58" customHeight="1">
      <x:c r="A1816" s="10" t="str">
        <x:v>E1811</x:v>
      </x:c>
      <x:c r="B1816" s="10" t="str">
        <x:v>T36.16</x:v>
      </x:c>
      <x:c r="C1816" s="10" t="str">
        <x:v>Tokenisation of financial assets</x:v>
      </x:c>
      <x:c r="D1816" s="14" t="str">
        <x:v>PART_OF</x:v>
      </x:c>
      <x:c r="E1816" s="10" t="str">
        <x:v>D36</x:v>
      </x:c>
      <x:c r="F1816" s="10" t="str">
        <x:v>Fintech, payments, and digital finance</x:v>
      </x:c>
      <x:c r="G1816" s="10" t="str">
        <x:v>Curriculum membership. Use this link to move between the topic and its finance area.</x:v>
      </x:c>
      <x:c r="H1816" s="10" t="str">
        <x:v>Classification only; this edge is not a causal or calculation relationship.</x:v>
      </x:c>
      <x:c r="I1816" s="10" t="str">
        <x:v>Curated curriculum relationship</x:v>
      </x:c>
    </x:row>
    <x:row r="1817" ht="58" customHeight="1">
      <x:c r="A1817" s="9" t="str">
        <x:v>E1812</x:v>
      </x:c>
      <x:c r="B1817" s="9" t="str">
        <x:v>T36.16</x:v>
      </x:c>
      <x:c r="C1817" s="9" t="str">
        <x:v>Tokenisation of financial assets</x:v>
      </x:c>
      <x:c r="D1817" s="15" t="str">
        <x:v>EXPLORE_WITH</x:v>
      </x:c>
      <x:c r="E1817" s="9" t="str">
        <x:v>T36.12</x:v>
      </x:c>
      <x:c r="F1817" s="9" t="str">
        <x:v>Blockchain and distributed ledgers</x:v>
      </x:c>
      <x:c r="G1817" s="9" t="str">
        <x:v>Study these together to connect financial infrastructure, digital distribution, unit economics and controls.</x:v>
      </x:c>
      <x:c r="H1817" s="9" t="str">
        <x:v>A topical exploration link, not a claim that one determines the other.</x:v>
      </x:c>
      <x:c r="I1817" s="9" t="str">
        <x:v>Curated curriculum relationship</x:v>
      </x:c>
    </x:row>
    <x:row r="1818" ht="58" customHeight="1">
      <x:c r="A1818" s="10" t="str">
        <x:v>E1813</x:v>
      </x:c>
      <x:c r="B1818" s="10" t="str">
        <x:v>T01.03</x:v>
      </x:c>
      <x:c r="C1818" s="10" t="str">
        <x:v>The financial system: households, businesses, governments, and intermediaries</x:v>
      </x:c>
      <x:c r="D1818" s="14" t="str">
        <x:v>RECOMMENDED_BEFORE</x:v>
      </x:c>
      <x:c r="E1818" s="10" t="str">
        <x:v>T36.16</x:v>
      </x:c>
      <x:c r="F1818" s="10" t="str">
        <x:v>Tokenisation of financial assets</x:v>
      </x:c>
      <x:c r="G1818" s="10" t="str">
        <x:v>Suggested starting knowledge: The financial system: households, businesses, governments, and intermediaries. It helps you connect financial infrastructure, digital distribution, unit economics and controls.</x:v>
      </x:c>
      <x:c r="H1818" s="10" t="str">
        <x:v>Suggested learning order; learners can still explore freely.</x:v>
      </x:c>
      <x:c r="I1818" s="10" t="str">
        <x:v>Curated curriculum relationship</x:v>
      </x:c>
    </x:row>
    <x:row r="1819" ht="58" customHeight="1">
      <x:c r="A1819" s="9" t="str">
        <x:v>E1814</x:v>
      </x:c>
      <x:c r="B1819" s="9" t="str">
        <x:v>T36.17</x:v>
      </x:c>
      <x:c r="C1819" s="9" t="str">
        <x:v>Fintech business models, unit economics, and risks</x:v>
      </x:c>
      <x:c r="D1819" s="15" t="str">
        <x:v>PART_OF</x:v>
      </x:c>
      <x:c r="E1819" s="9" t="str">
        <x:v>D36</x:v>
      </x:c>
      <x:c r="F1819" s="9" t="str">
        <x:v>Fintech, payments, and digital finance</x:v>
      </x:c>
      <x:c r="G1819" s="9" t="str">
        <x:v>Curriculum membership. Use this link to move between the topic and its finance area.</x:v>
      </x:c>
      <x:c r="H1819" s="9" t="str">
        <x:v>Classification only; this edge is not a causal or calculation relationship.</x:v>
      </x:c>
      <x:c r="I1819" s="9" t="str">
        <x:v>Curated curriculum relationship</x:v>
      </x:c>
    </x:row>
    <x:row r="1820" ht="58" customHeight="1">
      <x:c r="A1820" s="10" t="str">
        <x:v>E1815</x:v>
      </x:c>
      <x:c r="B1820" s="10" t="str">
        <x:v>T36.17</x:v>
      </x:c>
      <x:c r="C1820" s="10" t="str">
        <x:v>Fintech business models, unit economics, and risks</x:v>
      </x:c>
      <x:c r="D1820" s="14" t="str">
        <x:v>EXPLORE_WITH</x:v>
      </x:c>
      <x:c r="E1820" s="10" t="str">
        <x:v>T36.06</x:v>
      </x:c>
      <x:c r="F1820" s="10" t="str">
        <x:v>Digital lending and alternative underwriting</x:v>
      </x:c>
      <x:c r="G1820" s="10" t="str">
        <x:v>Study these together to connect financial infrastructure, digital distribution, unit economics and controls.</x:v>
      </x:c>
      <x:c r="H1820" s="10" t="str">
        <x:v>A topical exploration link, not a claim that one determines the other.</x:v>
      </x:c>
      <x:c r="I1820" s="10" t="str">
        <x:v>Curated curriculum relationship</x:v>
      </x:c>
    </x:row>
    <x:row r="1821" ht="58" customHeight="1">
      <x:c r="A1821" s="9" t="str">
        <x:v>E1816</x:v>
      </x:c>
      <x:c r="B1821" s="9" t="str">
        <x:v>T01.03</x:v>
      </x:c>
      <x:c r="C1821" s="9" t="str">
        <x:v>The financial system: households, businesses, governments, and intermediaries</x:v>
      </x:c>
      <x:c r="D1821" s="15" t="str">
        <x:v>RECOMMENDED_BEFORE</x:v>
      </x:c>
      <x:c r="E1821" s="9" t="str">
        <x:v>T36.17</x:v>
      </x:c>
      <x:c r="F1821" s="9" t="str">
        <x:v>Fintech business models, unit economics, and risks</x:v>
      </x:c>
      <x:c r="G1821" s="9" t="str">
        <x:v>Suggested starting knowledge: The financial system: households, businesses, governments, and intermediaries. It helps you connect financial infrastructure, digital distribution, unit economics and controls.</x:v>
      </x:c>
      <x:c r="H1821" s="9" t="str">
        <x:v>Suggested learning order; learners can still explore freely.</x:v>
      </x:c>
      <x:c r="I1821" s="9" t="str">
        <x:v>Curated curriculum relationship</x:v>
      </x:c>
    </x:row>
    <x:row r="1822" ht="58" customHeight="1">
      <x:c r="A1822" s="10" t="str">
        <x:v>E1817</x:v>
      </x:c>
      <x:c r="B1822" s="10" t="str">
        <x:v>T37.01</x:v>
      </x:c>
      <x:c r="C1822" s="10" t="str">
        <x:v>ESG integration in investment decisions</x:v>
      </x:c>
      <x:c r="D1822" s="14" t="str">
        <x:v>PART_OF</x:v>
      </x:c>
      <x:c r="E1822" s="10" t="str">
        <x:v>D37</x:v>
      </x:c>
      <x:c r="F1822" s="10" t="str">
        <x:v>Sustainable finance and specialised financial systems</x:v>
      </x:c>
      <x:c r="G1822" s="10" t="str">
        <x:v>Curriculum membership. Use this link to move between the topic and its finance area.</x:v>
      </x:c>
      <x:c r="H1822" s="10" t="str">
        <x:v>Classification only; this edge is not a causal or calculation relationship.</x:v>
      </x:c>
      <x:c r="I1822" s="10" t="str">
        <x:v>Curated curriculum relationship</x:v>
      </x:c>
    </x:row>
    <x:row r="1823" ht="58" customHeight="1">
      <x:c r="A1823" s="9" t="str">
        <x:v>E1818</x:v>
      </x:c>
      <x:c r="B1823" s="9" t="str">
        <x:v>T37.01</x:v>
      </x:c>
      <x:c r="C1823" s="9" t="str">
        <x:v>ESG integration in investment decisions</x:v>
      </x:c>
      <x:c r="D1823" s="15" t="str">
        <x:v>EXPLORE_WITH</x:v>
      </x:c>
      <x:c r="E1823" s="9" t="str">
        <x:v>T37.02</x:v>
      </x:c>
      <x:c r="F1823" s="9" t="str">
        <x:v>Sustainability reporting and materiality</x:v>
      </x:c>
      <x:c r="G1823" s="9" t="str">
        <x:v>Study these together to connect financing decisions with sustainability, inclusion and alternative structures.</x:v>
      </x:c>
      <x:c r="H1823" s="9" t="str">
        <x:v>A topical exploration link, not a claim that one determines the other.</x:v>
      </x:c>
      <x:c r="I1823" s="9" t="str">
        <x:v>Curated curriculum relationship</x:v>
      </x:c>
    </x:row>
    <x:row r="1824" ht="58" customHeight="1">
      <x:c r="A1824" s="10" t="str">
        <x:v>E1819</x:v>
      </x:c>
      <x:c r="B1824" s="10" t="str">
        <x:v>T01.12</x:v>
      </x:c>
      <x:c r="C1824" s="10" t="str">
        <x:v>Value creation versus value transfer</x:v>
      </x:c>
      <x:c r="D1824" s="14" t="str">
        <x:v>RECOMMENDED_BEFORE</x:v>
      </x:c>
      <x:c r="E1824" s="10" t="str">
        <x:v>T37.01</x:v>
      </x:c>
      <x:c r="F1824" s="10" t="str">
        <x:v>ESG integration in investment decisions</x:v>
      </x:c>
      <x:c r="G1824" s="10" t="str">
        <x:v>Suggested starting knowledge: Value creation versus value transfer. It helps you connect financing decisions with sustainability, inclusion and alternative structures.</x:v>
      </x:c>
      <x:c r="H1824" s="10" t="str">
        <x:v>Suggested learning order; learners can still explore freely.</x:v>
      </x:c>
      <x:c r="I1824" s="10" t="str">
        <x:v>Curated curriculum relationship</x:v>
      </x:c>
    </x:row>
    <x:row r="1825" ht="58" customHeight="1">
      <x:c r="A1825" s="9" t="str">
        <x:v>E1820</x:v>
      </x:c>
      <x:c r="B1825" s="9" t="str">
        <x:v>T37.02</x:v>
      </x:c>
      <x:c r="C1825" s="9" t="str">
        <x:v>Sustainability reporting and materiality</x:v>
      </x:c>
      <x:c r="D1825" s="15" t="str">
        <x:v>PART_OF</x:v>
      </x:c>
      <x:c r="E1825" s="9" t="str">
        <x:v>D37</x:v>
      </x:c>
      <x:c r="F1825" s="9" t="str">
        <x:v>Sustainable finance and specialised financial systems</x:v>
      </x:c>
      <x:c r="G1825" s="9" t="str">
        <x:v>Curriculum membership. Use this link to move between the topic and its finance area.</x:v>
      </x:c>
      <x:c r="H1825" s="9" t="str">
        <x:v>Classification only; this edge is not a causal or calculation relationship.</x:v>
      </x:c>
      <x:c r="I1825" s="9" t="str">
        <x:v>Curated curriculum relationship</x:v>
      </x:c>
    </x:row>
    <x:row r="1826" ht="58" customHeight="1">
      <x:c r="A1826" s="10" t="str">
        <x:v>E1821</x:v>
      </x:c>
      <x:c r="B1826" s="10" t="str">
        <x:v>T37.02</x:v>
      </x:c>
      <x:c r="C1826" s="10" t="str">
        <x:v>Sustainability reporting and materiality</x:v>
      </x:c>
      <x:c r="D1826" s="14" t="str">
        <x:v>EXPLORE_WITH</x:v>
      </x:c>
      <x:c r="E1826" s="10" t="str">
        <x:v>T37.10</x:v>
      </x:c>
      <x:c r="F1826" s="10" t="str">
        <x:v>Greenwashing and data-quality limitations</x:v>
      </x:c>
      <x:c r="G1826" s="10" t="str">
        <x:v>Study these together to connect financing decisions with sustainability, inclusion and alternative structures.</x:v>
      </x:c>
      <x:c r="H1826" s="10" t="str">
        <x:v>A topical exploration link, not a claim that one determines the other.</x:v>
      </x:c>
      <x:c r="I1826" s="10" t="str">
        <x:v>Curated curriculum relationship</x:v>
      </x:c>
    </x:row>
    <x:row r="1827" ht="58" customHeight="1">
      <x:c r="A1827" s="9" t="str">
        <x:v>E1822</x:v>
      </x:c>
      <x:c r="B1827" s="9" t="str">
        <x:v>T01.12</x:v>
      </x:c>
      <x:c r="C1827" s="9" t="str">
        <x:v>Value creation versus value transfer</x:v>
      </x:c>
      <x:c r="D1827" s="15" t="str">
        <x:v>RECOMMENDED_BEFORE</x:v>
      </x:c>
      <x:c r="E1827" s="9" t="str">
        <x:v>T37.02</x:v>
      </x:c>
      <x:c r="F1827" s="9" t="str">
        <x:v>Sustainability reporting and materiality</x:v>
      </x:c>
      <x:c r="G1827" s="9" t="str">
        <x:v>Suggested starting knowledge: Value creation versus value transfer. It helps you connect financing decisions with sustainability, inclusion and alternative structures.</x:v>
      </x:c>
      <x:c r="H1827" s="9" t="str">
        <x:v>Suggested learning order; learners can still explore freely.</x:v>
      </x:c>
      <x:c r="I1827" s="9" t="str">
        <x:v>Curated curriculum relationship</x:v>
      </x:c>
    </x:row>
    <x:row r="1828" ht="58" customHeight="1">
      <x:c r="A1828" s="10" t="str">
        <x:v>E1823</x:v>
      </x:c>
      <x:c r="B1828" s="10" t="str">
        <x:v>T37.03</x:v>
      </x:c>
      <x:c r="C1828" s="10" t="str">
        <x:v>Climate transition risk and physical risk</x:v>
      </x:c>
      <x:c r="D1828" s="14" t="str">
        <x:v>PART_OF</x:v>
      </x:c>
      <x:c r="E1828" s="10" t="str">
        <x:v>D37</x:v>
      </x:c>
      <x:c r="F1828" s="10" t="str">
        <x:v>Sustainable finance and specialised financial systems</x:v>
      </x:c>
      <x:c r="G1828" s="10" t="str">
        <x:v>Curriculum membership. Use this link to move between the topic and its finance area.</x:v>
      </x:c>
      <x:c r="H1828" s="10" t="str">
        <x:v>Classification only; this edge is not a causal or calculation relationship.</x:v>
      </x:c>
      <x:c r="I1828" s="10" t="str">
        <x:v>Curated curriculum relationship</x:v>
      </x:c>
    </x:row>
    <x:row r="1829" ht="58" customHeight="1">
      <x:c r="A1829" s="9" t="str">
        <x:v>E1824</x:v>
      </x:c>
      <x:c r="B1829" s="9" t="str">
        <x:v>T37.03</x:v>
      </x:c>
      <x:c r="C1829" s="9" t="str">
        <x:v>Climate transition risk and physical risk</x:v>
      </x:c>
      <x:c r="D1829" s="15" t="str">
        <x:v>EXPLORE_WITH</x:v>
      </x:c>
      <x:c r="E1829" s="9" t="str">
        <x:v>T37.01</x:v>
      </x:c>
      <x:c r="F1829" s="9" t="str">
        <x:v>ESG integration in investment decisions</x:v>
      </x:c>
      <x:c r="G1829" s="9" t="str">
        <x:v>Study these together to connect financing decisions with sustainability, inclusion and alternative structures.</x:v>
      </x:c>
      <x:c r="H1829" s="9" t="str">
        <x:v>A topical exploration link, not a claim that one determines the other.</x:v>
      </x:c>
      <x:c r="I1829" s="9" t="str">
        <x:v>Curated curriculum relationship</x:v>
      </x:c>
    </x:row>
    <x:row r="1830" ht="58" customHeight="1">
      <x:c r="A1830" s="10" t="str">
        <x:v>E1825</x:v>
      </x:c>
      <x:c r="B1830" s="10" t="str">
        <x:v>T01.12</x:v>
      </x:c>
      <x:c r="C1830" s="10" t="str">
        <x:v>Value creation versus value transfer</x:v>
      </x:c>
      <x:c r="D1830" s="14" t="str">
        <x:v>RECOMMENDED_BEFORE</x:v>
      </x:c>
      <x:c r="E1830" s="10" t="str">
        <x:v>T37.03</x:v>
      </x:c>
      <x:c r="F1830" s="10" t="str">
        <x:v>Climate transition risk and physical risk</x:v>
      </x:c>
      <x:c r="G1830" s="10" t="str">
        <x:v>Suggested starting knowledge: Value creation versus value transfer. It helps you connect financing decisions with sustainability, inclusion and alternative structures.</x:v>
      </x:c>
      <x:c r="H1830" s="10" t="str">
        <x:v>Suggested learning order; learners can still explore freely.</x:v>
      </x:c>
      <x:c r="I1830" s="10" t="str">
        <x:v>Curated curriculum relationship</x:v>
      </x:c>
    </x:row>
    <x:row r="1831" ht="58" customHeight="1">
      <x:c r="A1831" s="9" t="str">
        <x:v>E1826</x:v>
      </x:c>
      <x:c r="B1831" s="9" t="str">
        <x:v>T37.04</x:v>
      </x:c>
      <x:c r="C1831" s="9" t="str">
        <x:v>Green bonds and sustainability-linked finance</x:v>
      </x:c>
      <x:c r="D1831" s="15" t="str">
        <x:v>PART_OF</x:v>
      </x:c>
      <x:c r="E1831" s="9" t="str">
        <x:v>D37</x:v>
      </x:c>
      <x:c r="F1831" s="9" t="str">
        <x:v>Sustainable finance and specialised financial systems</x:v>
      </x:c>
      <x:c r="G1831" s="9" t="str">
        <x:v>Curriculum membership. Use this link to move between the topic and its finance area.</x:v>
      </x:c>
      <x:c r="H1831" s="9" t="str">
        <x:v>Classification only; this edge is not a causal or calculation relationship.</x:v>
      </x:c>
      <x:c r="I1831" s="9" t="str">
        <x:v>Curated curriculum relationship</x:v>
      </x:c>
    </x:row>
    <x:row r="1832" ht="58" customHeight="1">
      <x:c r="A1832" s="10" t="str">
        <x:v>E1827</x:v>
      </x:c>
      <x:c r="B1832" s="10" t="str">
        <x:v>T37.04</x:v>
      </x:c>
      <x:c r="C1832" s="10" t="str">
        <x:v>Green bonds and sustainability-linked finance</x:v>
      </x:c>
      <x:c r="D1832" s="14" t="str">
        <x:v>EXPLORE_WITH</x:v>
      </x:c>
      <x:c r="E1832" s="10" t="str">
        <x:v>T37.03</x:v>
      </x:c>
      <x:c r="F1832" s="10" t="str">
        <x:v>Climate transition risk and physical risk</x:v>
      </x:c>
      <x:c r="G1832" s="10" t="str">
        <x:v>Study these together to connect financing decisions with sustainability, inclusion and alternative structures.</x:v>
      </x:c>
      <x:c r="H1832" s="10" t="str">
        <x:v>A topical exploration link, not a claim that one determines the other.</x:v>
      </x:c>
      <x:c r="I1832" s="10" t="str">
        <x:v>Curated curriculum relationship</x:v>
      </x:c>
    </x:row>
    <x:row r="1833" ht="58" customHeight="1">
      <x:c r="A1833" s="9" t="str">
        <x:v>E1828</x:v>
      </x:c>
      <x:c r="B1833" s="9" t="str">
        <x:v>T01.12</x:v>
      </x:c>
      <x:c r="C1833" s="9" t="str">
        <x:v>Value creation versus value transfer</x:v>
      </x:c>
      <x:c r="D1833" s="15" t="str">
        <x:v>RECOMMENDED_BEFORE</x:v>
      </x:c>
      <x:c r="E1833" s="9" t="str">
        <x:v>T37.04</x:v>
      </x:c>
      <x:c r="F1833" s="9" t="str">
        <x:v>Green bonds and sustainability-linked finance</x:v>
      </x:c>
      <x:c r="G1833" s="9" t="str">
        <x:v>Suggested starting knowledge: Value creation versus value transfer. It helps you connect financing decisions with sustainability, inclusion and alternative structures.</x:v>
      </x:c>
      <x:c r="H1833" s="9" t="str">
        <x:v>Suggested learning order; learners can still explore freely.</x:v>
      </x:c>
      <x:c r="I1833" s="9" t="str">
        <x:v>Curated curriculum relationship</x:v>
      </x:c>
    </x:row>
    <x:row r="1834" ht="58" customHeight="1">
      <x:c r="A1834" s="10" t="str">
        <x:v>E1829</x:v>
      </x:c>
      <x:c r="B1834" s="10" t="str">
        <x:v>T37.05</x:v>
      </x:c>
      <x:c r="C1834" s="10" t="str">
        <x:v>Carbon markets and carbon pricing</x:v>
      </x:c>
      <x:c r="D1834" s="14" t="str">
        <x:v>PART_OF</x:v>
      </x:c>
      <x:c r="E1834" s="10" t="str">
        <x:v>D37</x:v>
      </x:c>
      <x:c r="F1834" s="10" t="str">
        <x:v>Sustainable finance and specialised financial systems</x:v>
      </x:c>
      <x:c r="G1834" s="10" t="str">
        <x:v>Curriculum membership. Use this link to move between the topic and its finance area.</x:v>
      </x:c>
      <x:c r="H1834" s="10" t="str">
        <x:v>Classification only; this edge is not a causal or calculation relationship.</x:v>
      </x:c>
      <x:c r="I1834" s="10" t="str">
        <x:v>Curated curriculum relationship</x:v>
      </x:c>
    </x:row>
    <x:row r="1835" ht="58" customHeight="1">
      <x:c r="A1835" s="9" t="str">
        <x:v>E1830</x:v>
      </x:c>
      <x:c r="B1835" s="9" t="str">
        <x:v>T37.05</x:v>
      </x:c>
      <x:c r="C1835" s="9" t="str">
        <x:v>Carbon markets and carbon pricing</x:v>
      </x:c>
      <x:c r="D1835" s="15" t="str">
        <x:v>EXPLORE_WITH</x:v>
      </x:c>
      <x:c r="E1835" s="9" t="str">
        <x:v>T37.03</x:v>
      </x:c>
      <x:c r="F1835" s="9" t="str">
        <x:v>Climate transition risk and physical risk</x:v>
      </x:c>
      <x:c r="G1835" s="9" t="str">
        <x:v>Study these together to connect financing decisions with sustainability, inclusion and alternative structures.</x:v>
      </x:c>
      <x:c r="H1835" s="9" t="str">
        <x:v>A topical exploration link, not a claim that one determines the other.</x:v>
      </x:c>
      <x:c r="I1835" s="9" t="str">
        <x:v>Curated curriculum relationship</x:v>
      </x:c>
    </x:row>
    <x:row r="1836" ht="58" customHeight="1">
      <x:c r="A1836" s="10" t="str">
        <x:v>E1831</x:v>
      </x:c>
      <x:c r="B1836" s="10" t="str">
        <x:v>T01.12</x:v>
      </x:c>
      <x:c r="C1836" s="10" t="str">
        <x:v>Value creation versus value transfer</x:v>
      </x:c>
      <x:c r="D1836" s="14" t="str">
        <x:v>RECOMMENDED_BEFORE</x:v>
      </x:c>
      <x:c r="E1836" s="10" t="str">
        <x:v>T37.05</x:v>
      </x:c>
      <x:c r="F1836" s="10" t="str">
        <x:v>Carbon markets and carbon pricing</x:v>
      </x:c>
      <x:c r="G1836" s="10" t="str">
        <x:v>Suggested starting knowledge: Value creation versus value transfer. It helps you connect financing decisions with sustainability, inclusion and alternative structures.</x:v>
      </x:c>
      <x:c r="H1836" s="10" t="str">
        <x:v>Suggested learning order; learners can still explore freely.</x:v>
      </x:c>
      <x:c r="I1836" s="10" t="str">
        <x:v>Curated curriculum relationship</x:v>
      </x:c>
    </x:row>
    <x:row r="1837" ht="58" customHeight="1">
      <x:c r="A1837" s="9" t="str">
        <x:v>E1832</x:v>
      </x:c>
      <x:c r="B1837" s="9" t="str">
        <x:v>T37.06</x:v>
      </x:c>
      <x:c r="C1837" s="9" t="str">
        <x:v>Impact investing and impact measurement</x:v>
      </x:c>
      <x:c r="D1837" s="15" t="str">
        <x:v>PART_OF</x:v>
      </x:c>
      <x:c r="E1837" s="9" t="str">
        <x:v>D37</x:v>
      </x:c>
      <x:c r="F1837" s="9" t="str">
        <x:v>Sustainable finance and specialised financial systems</x:v>
      </x:c>
      <x:c r="G1837" s="9" t="str">
        <x:v>Curriculum membership. Use this link to move between the topic and its finance area.</x:v>
      </x:c>
      <x:c r="H1837" s="9" t="str">
        <x:v>Classification only; this edge is not a causal or calculation relationship.</x:v>
      </x:c>
      <x:c r="I1837" s="9" t="str">
        <x:v>Curated curriculum relationship</x:v>
      </x:c>
    </x:row>
    <x:row r="1838" ht="58" customHeight="1">
      <x:c r="A1838" s="10" t="str">
        <x:v>E1833</x:v>
      </x:c>
      <x:c r="B1838" s="10" t="str">
        <x:v>T37.06</x:v>
      </x:c>
      <x:c r="C1838" s="10" t="str">
        <x:v>Impact investing and impact measurement</x:v>
      </x:c>
      <x:c r="D1838" s="14" t="str">
        <x:v>EXPLORE_WITH</x:v>
      </x:c>
      <x:c r="E1838" s="10" t="str">
        <x:v>T37.07</x:v>
      </x:c>
      <x:c r="F1838" s="10" t="str">
        <x:v>Blended finance and development finance</x:v>
      </x:c>
      <x:c r="G1838" s="10" t="str">
        <x:v>Study these together to connect financing decisions with sustainability, inclusion and alternative structures.</x:v>
      </x:c>
      <x:c r="H1838" s="10" t="str">
        <x:v>A topical exploration link, not a claim that one determines the other.</x:v>
      </x:c>
      <x:c r="I1838" s="10" t="str">
        <x:v>Curated curriculum relationship</x:v>
      </x:c>
    </x:row>
    <x:row r="1839" ht="58" customHeight="1">
      <x:c r="A1839" s="9" t="str">
        <x:v>E1834</x:v>
      </x:c>
      <x:c r="B1839" s="9" t="str">
        <x:v>T01.12</x:v>
      </x:c>
      <x:c r="C1839" s="9" t="str">
        <x:v>Value creation versus value transfer</x:v>
      </x:c>
      <x:c r="D1839" s="15" t="str">
        <x:v>RECOMMENDED_BEFORE</x:v>
      </x:c>
      <x:c r="E1839" s="9" t="str">
        <x:v>T37.06</x:v>
      </x:c>
      <x:c r="F1839" s="9" t="str">
        <x:v>Impact investing and impact measurement</x:v>
      </x:c>
      <x:c r="G1839" s="9" t="str">
        <x:v>Suggested starting knowledge: Value creation versus value transfer. It helps you connect financing decisions with sustainability, inclusion and alternative structures.</x:v>
      </x:c>
      <x:c r="H1839" s="9" t="str">
        <x:v>Suggested learning order; learners can still explore freely.</x:v>
      </x:c>
      <x:c r="I1839" s="9" t="str">
        <x:v>Curated curriculum relationship</x:v>
      </x:c>
    </x:row>
    <x:row r="1840" ht="58" customHeight="1">
      <x:c r="A1840" s="10" t="str">
        <x:v>E1835</x:v>
      </x:c>
      <x:c r="B1840" s="10" t="str">
        <x:v>T37.07</x:v>
      </x:c>
      <x:c r="C1840" s="10" t="str">
        <x:v>Blended finance and development finance</x:v>
      </x:c>
      <x:c r="D1840" s="14" t="str">
        <x:v>PART_OF</x:v>
      </x:c>
      <x:c r="E1840" s="10" t="str">
        <x:v>D37</x:v>
      </x:c>
      <x:c r="F1840" s="10" t="str">
        <x:v>Sustainable finance and specialised financial systems</x:v>
      </x:c>
      <x:c r="G1840" s="10" t="str">
        <x:v>Curriculum membership. Use this link to move between the topic and its finance area.</x:v>
      </x:c>
      <x:c r="H1840" s="10" t="str">
        <x:v>Classification only; this edge is not a causal or calculation relationship.</x:v>
      </x:c>
      <x:c r="I1840" s="10" t="str">
        <x:v>Curated curriculum relationship</x:v>
      </x:c>
    </x:row>
    <x:row r="1841" ht="58" customHeight="1">
      <x:c r="A1841" s="9" t="str">
        <x:v>E1836</x:v>
      </x:c>
      <x:c r="B1841" s="9" t="str">
        <x:v>T37.07</x:v>
      </x:c>
      <x:c r="C1841" s="9" t="str">
        <x:v>Blended finance and development finance</x:v>
      </x:c>
      <x:c r="D1841" s="15" t="str">
        <x:v>EXPLORE_WITH</x:v>
      </x:c>
      <x:c r="E1841" s="9" t="str">
        <x:v>T37.06</x:v>
      </x:c>
      <x:c r="F1841" s="9" t="str">
        <x:v>Impact investing and impact measurement</x:v>
      </x:c>
      <x:c r="G1841" s="9" t="str">
        <x:v>Study these together to connect financing decisions with sustainability, inclusion and alternative structures.</x:v>
      </x:c>
      <x:c r="H1841" s="9" t="str">
        <x:v>A topical exploration link, not a claim that one determines the other.</x:v>
      </x:c>
      <x:c r="I1841" s="9" t="str">
        <x:v>Curated curriculum relationship</x:v>
      </x:c>
    </x:row>
    <x:row r="1842" ht="58" customHeight="1">
      <x:c r="A1842" s="10" t="str">
        <x:v>E1837</x:v>
      </x:c>
      <x:c r="B1842" s="10" t="str">
        <x:v>T01.12</x:v>
      </x:c>
      <x:c r="C1842" s="10" t="str">
        <x:v>Value creation versus value transfer</x:v>
      </x:c>
      <x:c r="D1842" s="14" t="str">
        <x:v>RECOMMENDED_BEFORE</x:v>
      </x:c>
      <x:c r="E1842" s="10" t="str">
        <x:v>T37.07</x:v>
      </x:c>
      <x:c r="F1842" s="10" t="str">
        <x:v>Blended finance and development finance</x:v>
      </x:c>
      <x:c r="G1842" s="10" t="str">
        <x:v>Suggested starting knowledge: Value creation versus value transfer. It helps you connect financing decisions with sustainability, inclusion and alternative structures.</x:v>
      </x:c>
      <x:c r="H1842" s="10" t="str">
        <x:v>Suggested learning order; learners can still explore freely.</x:v>
      </x:c>
      <x:c r="I1842" s="10" t="str">
        <x:v>Curated curriculum relationship</x:v>
      </x:c>
    </x:row>
    <x:row r="1843" ht="58" customHeight="1">
      <x:c r="A1843" s="9" t="str">
        <x:v>E1838</x:v>
      </x:c>
      <x:c r="B1843" s="9" t="str">
        <x:v>T37.08</x:v>
      </x:c>
      <x:c r="C1843" s="9" t="str">
        <x:v>Social finance and financial inclusion</x:v>
      </x:c>
      <x:c r="D1843" s="15" t="str">
        <x:v>PART_OF</x:v>
      </x:c>
      <x:c r="E1843" s="9" t="str">
        <x:v>D37</x:v>
      </x:c>
      <x:c r="F1843" s="9" t="str">
        <x:v>Sustainable finance and specialised financial systems</x:v>
      </x:c>
      <x:c r="G1843" s="9" t="str">
        <x:v>Curriculum membership. Use this link to move between the topic and its finance area.</x:v>
      </x:c>
      <x:c r="H1843" s="9" t="str">
        <x:v>Classification only; this edge is not a causal or calculation relationship.</x:v>
      </x:c>
      <x:c r="I1843" s="9" t="str">
        <x:v>Curated curriculum relationship</x:v>
      </x:c>
    </x:row>
    <x:row r="1844" ht="58" customHeight="1">
      <x:c r="A1844" s="10" t="str">
        <x:v>E1839</x:v>
      </x:c>
      <x:c r="B1844" s="10" t="str">
        <x:v>T37.08</x:v>
      </x:c>
      <x:c r="C1844" s="10" t="str">
        <x:v>Social finance and financial inclusion</x:v>
      </x:c>
      <x:c r="D1844" s="14" t="str">
        <x:v>EXPLORE_WITH</x:v>
      </x:c>
      <x:c r="E1844" s="10" t="str">
        <x:v>T37.13</x:v>
      </x:c>
      <x:c r="F1844" s="10" t="str">
        <x:v>Cooperative finance and community finance</x:v>
      </x:c>
      <x:c r="G1844" s="10" t="str">
        <x:v>Study these together to connect financing decisions with sustainability, inclusion and alternative structures.</x:v>
      </x:c>
      <x:c r="H1844" s="10" t="str">
        <x:v>A topical exploration link, not a claim that one determines the other.</x:v>
      </x:c>
      <x:c r="I1844" s="10" t="str">
        <x:v>Curated curriculum relationship</x:v>
      </x:c>
    </x:row>
    <x:row r="1845" ht="58" customHeight="1">
      <x:c r="A1845" s="9" t="str">
        <x:v>E1840</x:v>
      </x:c>
      <x:c r="B1845" s="9" t="str">
        <x:v>T01.12</x:v>
      </x:c>
      <x:c r="C1845" s="9" t="str">
        <x:v>Value creation versus value transfer</x:v>
      </x:c>
      <x:c r="D1845" s="15" t="str">
        <x:v>RECOMMENDED_BEFORE</x:v>
      </x:c>
      <x:c r="E1845" s="9" t="str">
        <x:v>T37.08</x:v>
      </x:c>
      <x:c r="F1845" s="9" t="str">
        <x:v>Social finance and financial inclusion</x:v>
      </x:c>
      <x:c r="G1845" s="9" t="str">
        <x:v>Suggested starting knowledge: Value creation versus value transfer. It helps you connect financing decisions with sustainability, inclusion and alternative structures.</x:v>
      </x:c>
      <x:c r="H1845" s="9" t="str">
        <x:v>Suggested learning order; learners can still explore freely.</x:v>
      </x:c>
      <x:c r="I1845" s="9" t="str">
        <x:v>Curated curriculum relationship</x:v>
      </x:c>
    </x:row>
    <x:row r="1846" ht="58" customHeight="1">
      <x:c r="A1846" s="10" t="str">
        <x:v>E1841</x:v>
      </x:c>
      <x:c r="B1846" s="10" t="str">
        <x:v>T37.09</x:v>
      </x:c>
      <x:c r="C1846" s="10" t="str">
        <x:v>Stewardship and engagement</x:v>
      </x:c>
      <x:c r="D1846" s="14" t="str">
        <x:v>PART_OF</x:v>
      </x:c>
      <x:c r="E1846" s="10" t="str">
        <x:v>D37</x:v>
      </x:c>
      <x:c r="F1846" s="10" t="str">
        <x:v>Sustainable finance and specialised financial systems</x:v>
      </x:c>
      <x:c r="G1846" s="10" t="str">
        <x:v>Curriculum membership. Use this link to move between the topic and its finance area.</x:v>
      </x:c>
      <x:c r="H1846" s="10" t="str">
        <x:v>Classification only; this edge is not a causal or calculation relationship.</x:v>
      </x:c>
      <x:c r="I1846" s="10" t="str">
        <x:v>Curated curriculum relationship</x:v>
      </x:c>
    </x:row>
    <x:row r="1847" ht="58" customHeight="1">
      <x:c r="A1847" s="9" t="str">
        <x:v>E1842</x:v>
      </x:c>
      <x:c r="B1847" s="9" t="str">
        <x:v>T37.09</x:v>
      </x:c>
      <x:c r="C1847" s="9" t="str">
        <x:v>Stewardship and engagement</x:v>
      </x:c>
      <x:c r="D1847" s="15" t="str">
        <x:v>EXPLORE_WITH</x:v>
      </x:c>
      <x:c r="E1847" s="9" t="str">
        <x:v>T37.01</x:v>
      </x:c>
      <x:c r="F1847" s="9" t="str">
        <x:v>ESG integration in investment decisions</x:v>
      </x:c>
      <x:c r="G1847" s="9" t="str">
        <x:v>Study these together to connect financing decisions with sustainability, inclusion and alternative structures.</x:v>
      </x:c>
      <x:c r="H1847" s="9" t="str">
        <x:v>A topical exploration link, not a claim that one determines the other.</x:v>
      </x:c>
      <x:c r="I1847" s="9" t="str">
        <x:v>Curated curriculum relationship</x:v>
      </x:c>
    </x:row>
    <x:row r="1848" ht="58" customHeight="1">
      <x:c r="A1848" s="10" t="str">
        <x:v>E1843</x:v>
      </x:c>
      <x:c r="B1848" s="10" t="str">
        <x:v>T01.12</x:v>
      </x:c>
      <x:c r="C1848" s="10" t="str">
        <x:v>Value creation versus value transfer</x:v>
      </x:c>
      <x:c r="D1848" s="14" t="str">
        <x:v>RECOMMENDED_BEFORE</x:v>
      </x:c>
      <x:c r="E1848" s="10" t="str">
        <x:v>T37.09</x:v>
      </x:c>
      <x:c r="F1848" s="10" t="str">
        <x:v>Stewardship and engagement</x:v>
      </x:c>
      <x:c r="G1848" s="10" t="str">
        <x:v>Suggested starting knowledge: Value creation versus value transfer. It helps you connect financing decisions with sustainability, inclusion and alternative structures.</x:v>
      </x:c>
      <x:c r="H1848" s="10" t="str">
        <x:v>Suggested learning order; learners can still explore freely.</x:v>
      </x:c>
      <x:c r="I1848" s="10" t="str">
        <x:v>Curated curriculum relationship</x:v>
      </x:c>
    </x:row>
    <x:row r="1849" ht="58" customHeight="1">
      <x:c r="A1849" s="9" t="str">
        <x:v>E1844</x:v>
      </x:c>
      <x:c r="B1849" s="9" t="str">
        <x:v>T37.10</x:v>
      </x:c>
      <x:c r="C1849" s="9" t="str">
        <x:v>Greenwashing and data-quality limitations</x:v>
      </x:c>
      <x:c r="D1849" s="15" t="str">
        <x:v>PART_OF</x:v>
      </x:c>
      <x:c r="E1849" s="9" t="str">
        <x:v>D37</x:v>
      </x:c>
      <x:c r="F1849" s="9" t="str">
        <x:v>Sustainable finance and specialised financial systems</x:v>
      </x:c>
      <x:c r="G1849" s="9" t="str">
        <x:v>Curriculum membership. Use this link to move between the topic and its finance area.</x:v>
      </x:c>
      <x:c r="H1849" s="9" t="str">
        <x:v>Classification only; this edge is not a causal or calculation relationship.</x:v>
      </x:c>
      <x:c r="I1849" s="9" t="str">
        <x:v>Curated curriculum relationship</x:v>
      </x:c>
    </x:row>
    <x:row r="1850" ht="58" customHeight="1">
      <x:c r="A1850" s="10" t="str">
        <x:v>E1845</x:v>
      </x:c>
      <x:c r="B1850" s="10" t="str">
        <x:v>T37.10</x:v>
      </x:c>
      <x:c r="C1850" s="10" t="str">
        <x:v>Greenwashing and data-quality limitations</x:v>
      </x:c>
      <x:c r="D1850" s="14" t="str">
        <x:v>EXPLORE_WITH</x:v>
      </x:c>
      <x:c r="E1850" s="10" t="str">
        <x:v>T37.02</x:v>
      </x:c>
      <x:c r="F1850" s="10" t="str">
        <x:v>Sustainability reporting and materiality</x:v>
      </x:c>
      <x:c r="G1850" s="10" t="str">
        <x:v>Study these together to connect financing decisions with sustainability, inclusion and alternative structures.</x:v>
      </x:c>
      <x:c r="H1850" s="10" t="str">
        <x:v>A topical exploration link, not a claim that one determines the other.</x:v>
      </x:c>
      <x:c r="I1850" s="10" t="str">
        <x:v>Curated curriculum relationship</x:v>
      </x:c>
    </x:row>
    <x:row r="1851" ht="58" customHeight="1">
      <x:c r="A1851" s="9" t="str">
        <x:v>E1846</x:v>
      </x:c>
      <x:c r="B1851" s="9" t="str">
        <x:v>T01.12</x:v>
      </x:c>
      <x:c r="C1851" s="9" t="str">
        <x:v>Value creation versus value transfer</x:v>
      </x:c>
      <x:c r="D1851" s="15" t="str">
        <x:v>RECOMMENDED_BEFORE</x:v>
      </x:c>
      <x:c r="E1851" s="9" t="str">
        <x:v>T37.10</x:v>
      </x:c>
      <x:c r="F1851" s="9" t="str">
        <x:v>Greenwashing and data-quality limitations</x:v>
      </x:c>
      <x:c r="G1851" s="9" t="str">
        <x:v>Suggested starting knowledge: Value creation versus value transfer. It helps you connect financing decisions with sustainability, inclusion and alternative structures.</x:v>
      </x:c>
      <x:c r="H1851" s="9" t="str">
        <x:v>Suggested learning order; learners can still explore freely.</x:v>
      </x:c>
      <x:c r="I1851" s="9" t="str">
        <x:v>Curated curriculum relationship</x:v>
      </x:c>
    </x:row>
    <x:row r="1852" ht="58" customHeight="1">
      <x:c r="A1852" s="10" t="str">
        <x:v>E1847</x:v>
      </x:c>
      <x:c r="B1852" s="10" t="str">
        <x:v>T37.11</x:v>
      </x:c>
      <x:c r="C1852" s="10" t="str">
        <x:v>Islamic finance principles</x:v>
      </x:c>
      <x:c r="D1852" s="14" t="str">
        <x:v>PART_OF</x:v>
      </x:c>
      <x:c r="E1852" s="10" t="str">
        <x:v>D37</x:v>
      </x:c>
      <x:c r="F1852" s="10" t="str">
        <x:v>Sustainable finance and specialised financial systems</x:v>
      </x:c>
      <x:c r="G1852" s="10" t="str">
        <x:v>Curriculum membership. Use this link to move between the topic and its finance area.</x:v>
      </x:c>
      <x:c r="H1852" s="10" t="str">
        <x:v>Classification only; this edge is not a causal or calculation relationship.</x:v>
      </x:c>
      <x:c r="I1852" s="10" t="str">
        <x:v>Curated curriculum relationship</x:v>
      </x:c>
    </x:row>
    <x:row r="1853" ht="58" customHeight="1">
      <x:c r="A1853" s="9" t="str">
        <x:v>E1848</x:v>
      </x:c>
      <x:c r="B1853" s="9" t="str">
        <x:v>T37.11</x:v>
      </x:c>
      <x:c r="C1853" s="9" t="str">
        <x:v>Islamic finance principles</x:v>
      </x:c>
      <x:c r="D1853" s="15" t="str">
        <x:v>EXPLORE_WITH</x:v>
      </x:c>
      <x:c r="E1853" s="9" t="str">
        <x:v>T37.12</x:v>
      </x:c>
      <x:c r="F1853" s="9" t="str">
        <x:v>Murabaha, ijara, musharaka, mudaraba, and sukuk</x:v>
      </x:c>
      <x:c r="G1853" s="9" t="str">
        <x:v>Study these together to connect financing decisions with sustainability, inclusion and alternative structures.</x:v>
      </x:c>
      <x:c r="H1853" s="9" t="str">
        <x:v>A topical exploration link, not a claim that one determines the other.</x:v>
      </x:c>
      <x:c r="I1853" s="9" t="str">
        <x:v>Curated curriculum relationship</x:v>
      </x:c>
    </x:row>
    <x:row r="1854" ht="58" customHeight="1">
      <x:c r="A1854" s="10" t="str">
        <x:v>E1849</x:v>
      </x:c>
      <x:c r="B1854" s="10" t="str">
        <x:v>T01.12</x:v>
      </x:c>
      <x:c r="C1854" s="10" t="str">
        <x:v>Value creation versus value transfer</x:v>
      </x:c>
      <x:c r="D1854" s="14" t="str">
        <x:v>RECOMMENDED_BEFORE</x:v>
      </x:c>
      <x:c r="E1854" s="10" t="str">
        <x:v>T37.11</x:v>
      </x:c>
      <x:c r="F1854" s="10" t="str">
        <x:v>Islamic finance principles</x:v>
      </x:c>
      <x:c r="G1854" s="10" t="str">
        <x:v>Suggested starting knowledge: Value creation versus value transfer. It helps you connect financing decisions with sustainability, inclusion and alternative structures.</x:v>
      </x:c>
      <x:c r="H1854" s="10" t="str">
        <x:v>Suggested learning order; learners can still explore freely.</x:v>
      </x:c>
      <x:c r="I1854" s="10" t="str">
        <x:v>Curated curriculum relationship</x:v>
      </x:c>
    </x:row>
    <x:row r="1855" ht="58" customHeight="1">
      <x:c r="A1855" s="9" t="str">
        <x:v>E1850</x:v>
      </x:c>
      <x:c r="B1855" s="9" t="str">
        <x:v>T37.12</x:v>
      </x:c>
      <x:c r="C1855" s="9" t="str">
        <x:v>Murabaha, ijara, musharaka, mudaraba, and sukuk</x:v>
      </x:c>
      <x:c r="D1855" s="15" t="str">
        <x:v>PART_OF</x:v>
      </x:c>
      <x:c r="E1855" s="9" t="str">
        <x:v>D37</x:v>
      </x:c>
      <x:c r="F1855" s="9" t="str">
        <x:v>Sustainable finance and specialised financial systems</x:v>
      </x:c>
      <x:c r="G1855" s="9" t="str">
        <x:v>Curriculum membership. Use this link to move between the topic and its finance area.</x:v>
      </x:c>
      <x:c r="H1855" s="9" t="str">
        <x:v>Classification only; this edge is not a causal or calculation relationship.</x:v>
      </x:c>
      <x:c r="I1855" s="9" t="str">
        <x:v>Curated curriculum relationship</x:v>
      </x:c>
    </x:row>
    <x:row r="1856" ht="58" customHeight="1">
      <x:c r="A1856" s="10" t="str">
        <x:v>E1851</x:v>
      </x:c>
      <x:c r="B1856" s="10" t="str">
        <x:v>T37.12</x:v>
      </x:c>
      <x:c r="C1856" s="10" t="str">
        <x:v>Murabaha, ijara, musharaka, mudaraba, and sukuk</x:v>
      </x:c>
      <x:c r="D1856" s="14" t="str">
        <x:v>EXPLORE_WITH</x:v>
      </x:c>
      <x:c r="E1856" s="10" t="str">
        <x:v>T37.11</x:v>
      </x:c>
      <x:c r="F1856" s="10" t="str">
        <x:v>Islamic finance principles</x:v>
      </x:c>
      <x:c r="G1856" s="10" t="str">
        <x:v>Study these together to connect financing decisions with sustainability, inclusion and alternative structures.</x:v>
      </x:c>
      <x:c r="H1856" s="10" t="str">
        <x:v>A topical exploration link, not a claim that one determines the other.</x:v>
      </x:c>
      <x:c r="I1856" s="10" t="str">
        <x:v>Curated curriculum relationship</x:v>
      </x:c>
    </x:row>
    <x:row r="1857" ht="58" customHeight="1">
      <x:c r="A1857" s="9" t="str">
        <x:v>E1852</x:v>
      </x:c>
      <x:c r="B1857" s="9" t="str">
        <x:v>T01.12</x:v>
      </x:c>
      <x:c r="C1857" s="9" t="str">
        <x:v>Value creation versus value transfer</x:v>
      </x:c>
      <x:c r="D1857" s="15" t="str">
        <x:v>RECOMMENDED_BEFORE</x:v>
      </x:c>
      <x:c r="E1857" s="9" t="str">
        <x:v>T37.12</x:v>
      </x:c>
      <x:c r="F1857" s="9" t="str">
        <x:v>Murabaha, ijara, musharaka, mudaraba, and sukuk</x:v>
      </x:c>
      <x:c r="G1857" s="9" t="str">
        <x:v>Suggested starting knowledge: Value creation versus value transfer. It helps you connect financing decisions with sustainability, inclusion and alternative structures.</x:v>
      </x:c>
      <x:c r="H1857" s="9" t="str">
        <x:v>Suggested learning order; learners can still explore freely.</x:v>
      </x:c>
      <x:c r="I1857" s="9" t="str">
        <x:v>Curated curriculum relationship</x:v>
      </x:c>
    </x:row>
    <x:row r="1858" ht="58" customHeight="1">
      <x:c r="A1858" s="10" t="str">
        <x:v>E1853</x:v>
      </x:c>
      <x:c r="B1858" s="10" t="str">
        <x:v>T37.13</x:v>
      </x:c>
      <x:c r="C1858" s="10" t="str">
        <x:v>Cooperative finance and community finance</x:v>
      </x:c>
      <x:c r="D1858" s="14" t="str">
        <x:v>PART_OF</x:v>
      </x:c>
      <x:c r="E1858" s="10" t="str">
        <x:v>D37</x:v>
      </x:c>
      <x:c r="F1858" s="10" t="str">
        <x:v>Sustainable finance and specialised financial systems</x:v>
      </x:c>
      <x:c r="G1858" s="10" t="str">
        <x:v>Curriculum membership. Use this link to move between the topic and its finance area.</x:v>
      </x:c>
      <x:c r="H1858" s="10" t="str">
        <x:v>Classification only; this edge is not a causal or calculation relationship.</x:v>
      </x:c>
      <x:c r="I1858" s="10" t="str">
        <x:v>Curated curriculum relationship</x:v>
      </x:c>
    </x:row>
    <x:row r="1859" ht="58" customHeight="1">
      <x:c r="A1859" s="9" t="str">
        <x:v>E1854</x:v>
      </x:c>
      <x:c r="B1859" s="9" t="str">
        <x:v>T37.13</x:v>
      </x:c>
      <x:c r="C1859" s="9" t="str">
        <x:v>Cooperative finance and community finance</x:v>
      </x:c>
      <x:c r="D1859" s="15" t="str">
        <x:v>EXPLORE_WITH</x:v>
      </x:c>
      <x:c r="E1859" s="9" t="str">
        <x:v>T37.08</x:v>
      </x:c>
      <x:c r="F1859" s="9" t="str">
        <x:v>Social finance and financial inclusion</x:v>
      </x:c>
      <x:c r="G1859" s="9" t="str">
        <x:v>Study these together to connect financing decisions with sustainability, inclusion and alternative structures.</x:v>
      </x:c>
      <x:c r="H1859" s="9" t="str">
        <x:v>A topical exploration link, not a claim that one determines the other.</x:v>
      </x:c>
      <x:c r="I1859" s="9" t="str">
        <x:v>Curated curriculum relationship</x:v>
      </x:c>
    </x:row>
    <x:row r="1860" ht="58" customHeight="1">
      <x:c r="A1860" s="10" t="str">
        <x:v>E1855</x:v>
      </x:c>
      <x:c r="B1860" s="10" t="str">
        <x:v>T01.12</x:v>
      </x:c>
      <x:c r="C1860" s="10" t="str">
        <x:v>Value creation versus value transfer</x:v>
      </x:c>
      <x:c r="D1860" s="14" t="str">
        <x:v>RECOMMENDED_BEFORE</x:v>
      </x:c>
      <x:c r="E1860" s="10" t="str">
        <x:v>T37.13</x:v>
      </x:c>
      <x:c r="F1860" s="10" t="str">
        <x:v>Cooperative finance and community finance</x:v>
      </x:c>
      <x:c r="G1860" s="10" t="str">
        <x:v>Suggested starting knowledge: Value creation versus value transfer. It helps you connect financing decisions with sustainability, inclusion and alternative structures.</x:v>
      </x:c>
      <x:c r="H1860" s="10" t="str">
        <x:v>Suggested learning order; learners can still explore freely.</x:v>
      </x:c>
      <x:c r="I1860" s="10" t="str">
        <x:v>Curated curriculum relationship</x:v>
      </x:c>
    </x:row>
    <x:row r="1861" ht="58" customHeight="1">
      <x:c r="A1861" s="9" t="str">
        <x:v>E1856</x:v>
      </x:c>
      <x:c r="B1861" s="9" t="str">
        <x:v>T37.14</x:v>
      </x:c>
      <x:c r="C1861" s="9" t="str">
        <x:v>Nonprofit and endowment finance</x:v>
      </x:c>
      <x:c r="D1861" s="15" t="str">
        <x:v>PART_OF</x:v>
      </x:c>
      <x:c r="E1861" s="9" t="str">
        <x:v>D37</x:v>
      </x:c>
      <x:c r="F1861" s="9" t="str">
        <x:v>Sustainable finance and specialised financial systems</x:v>
      </x:c>
      <x:c r="G1861" s="9" t="str">
        <x:v>Curriculum membership. Use this link to move between the topic and its finance area.</x:v>
      </x:c>
      <x:c r="H1861" s="9" t="str">
        <x:v>Classification only; this edge is not a causal or calculation relationship.</x:v>
      </x:c>
      <x:c r="I1861" s="9" t="str">
        <x:v>Curated curriculum relationship</x:v>
      </x:c>
    </x:row>
    <x:row r="1862" ht="58" customHeight="1">
      <x:c r="A1862" s="10" t="str">
        <x:v>E1857</x:v>
      </x:c>
      <x:c r="B1862" s="10" t="str">
        <x:v>T37.14</x:v>
      </x:c>
      <x:c r="C1862" s="10" t="str">
        <x:v>Nonprofit and endowment finance</x:v>
      </x:c>
      <x:c r="D1862" s="14" t="str">
        <x:v>EXPLORE_WITH</x:v>
      </x:c>
      <x:c r="E1862" s="10" t="str">
        <x:v>T37.06</x:v>
      </x:c>
      <x:c r="F1862" s="10" t="str">
        <x:v>Impact investing and impact measurement</x:v>
      </x:c>
      <x:c r="G1862" s="10" t="str">
        <x:v>Study these together to connect financing decisions with sustainability, inclusion and alternative structures.</x:v>
      </x:c>
      <x:c r="H1862" s="10" t="str">
        <x:v>A topical exploration link, not a claim that one determines the other.</x:v>
      </x:c>
      <x:c r="I1862" s="10" t="str">
        <x:v>Curated curriculum relationship</x:v>
      </x:c>
    </x:row>
    <x:row r="1863" ht="58" customHeight="1">
      <x:c r="A1863" s="9" t="str">
        <x:v>E1858</x:v>
      </x:c>
      <x:c r="B1863" s="9" t="str">
        <x:v>T01.12</x:v>
      </x:c>
      <x:c r="C1863" s="9" t="str">
        <x:v>Value creation versus value transfer</x:v>
      </x:c>
      <x:c r="D1863" s="15" t="str">
        <x:v>RECOMMENDED_BEFORE</x:v>
      </x:c>
      <x:c r="E1863" s="9" t="str">
        <x:v>T37.14</x:v>
      </x:c>
      <x:c r="F1863" s="9" t="str">
        <x:v>Nonprofit and endowment finance</x:v>
      </x:c>
      <x:c r="G1863" s="9" t="str">
        <x:v>Suggested starting knowledge: Value creation versus value transfer. It helps you connect financing decisions with sustainability, inclusion and alternative structures.</x:v>
      </x:c>
      <x:c r="H1863" s="9" t="str">
        <x:v>Suggested learning order; learners can still explore freely.</x:v>
      </x:c>
      <x:c r="I1863" s="9" t="str">
        <x:v>Curated curriculum relationship</x:v>
      </x:c>
    </x:row>
    <x:row r="1864" ht="58" customHeight="1">
      <x:c r="A1864" s="10" t="str">
        <x:v>E1859</x:v>
      </x:c>
      <x:c r="B1864" s="10" t="str">
        <x:v>T38.01</x:v>
      </x:c>
      <x:c r="C1864" s="10" t="str">
        <x:v>Financial data sources and data licensing</x:v>
      </x:c>
      <x:c r="D1864" s="14" t="str">
        <x:v>PART_OF</x:v>
      </x:c>
      <x:c r="E1864" s="10" t="str">
        <x:v>D38</x:v>
      </x:c>
      <x:c r="F1864" s="10" t="str">
        <x:v>Computational finance, financial data, and AI</x:v>
      </x:c>
      <x:c r="G1864" s="10" t="str">
        <x:v>Curriculum membership. Use this link to move between the topic and its finance area.</x:v>
      </x:c>
      <x:c r="H1864" s="10" t="str">
        <x:v>Classification only; this edge is not a causal or calculation relationship.</x:v>
      </x:c>
      <x:c r="I1864" s="10" t="str">
        <x:v>Curated curriculum relationship</x:v>
      </x:c>
    </x:row>
    <x:row r="1865" ht="58" customHeight="1">
      <x:c r="A1865" s="9" t="str">
        <x:v>E1860</x:v>
      </x:c>
      <x:c r="B1865" s="9" t="str">
        <x:v>T38.01</x:v>
      </x:c>
      <x:c r="C1865" s="9" t="str">
        <x:v>Financial data sources and data licensing</x:v>
      </x:c>
      <x:c r="D1865" s="15" t="str">
        <x:v>EXPLORE_WITH</x:v>
      </x:c>
      <x:c r="E1865" s="9" t="str">
        <x:v>T38.02</x:v>
      </x:c>
      <x:c r="F1865" s="9" t="str">
        <x:v>Data cleaning and reconciliation</x:v>
      </x:c>
      <x:c r="G1865" s="9" t="str">
        <x:v>Study these together to produce reproducible financial analysis without data leakage or model misuse.</x:v>
      </x:c>
      <x:c r="H1865" s="9" t="str">
        <x:v>A topical exploration link, not a claim that one determines the other.</x:v>
      </x:c>
      <x:c r="I1865" s="9" t="str">
        <x:v>Curated curriculum relationship</x:v>
      </x:c>
    </x:row>
    <x:row r="1866" ht="58" customHeight="1">
      <x:c r="A1866" s="10" t="str">
        <x:v>E1861</x:v>
      </x:c>
      <x:c r="B1866" s="10" t="str">
        <x:v>T02.12</x:v>
      </x:c>
      <x:c r="C1866" s="10" t="str">
        <x:v>Regression, statistical significance, and economic significance</x:v>
      </x:c>
      <x:c r="D1866" s="14" t="str">
        <x:v>RECOMMENDED_BEFORE</x:v>
      </x:c>
      <x:c r="E1866" s="10" t="str">
        <x:v>T38.01</x:v>
      </x:c>
      <x:c r="F1866" s="10" t="str">
        <x:v>Financial data sources and data licensing</x:v>
      </x:c>
      <x:c r="G1866" s="10" t="str">
        <x:v>Suggested starting knowledge: Regression, statistical significance, and economic significance. It helps you produce reproducible financial analysis without data leakage or model misuse.</x:v>
      </x:c>
      <x:c r="H1866" s="10" t="str">
        <x:v>Suggested learning order; learners can still explore freely.</x:v>
      </x:c>
      <x:c r="I1866" s="10" t="str">
        <x:v>Curated curriculum relationship</x:v>
      </x:c>
    </x:row>
    <x:row r="1867" ht="58" customHeight="1">
      <x:c r="A1867" s="9" t="str">
        <x:v>E1862</x:v>
      </x:c>
      <x:c r="B1867" s="9" t="str">
        <x:v>T38.02</x:v>
      </x:c>
      <x:c r="C1867" s="9" t="str">
        <x:v>Data cleaning and reconciliation</x:v>
      </x:c>
      <x:c r="D1867" s="15" t="str">
        <x:v>PART_OF</x:v>
      </x:c>
      <x:c r="E1867" s="9" t="str">
        <x:v>D38</x:v>
      </x:c>
      <x:c r="F1867" s="9" t="str">
        <x:v>Computational finance, financial data, and AI</x:v>
      </x:c>
      <x:c r="G1867" s="9" t="str">
        <x:v>Curriculum membership. Use this link to move between the topic and its finance area.</x:v>
      </x:c>
      <x:c r="H1867" s="9" t="str">
        <x:v>Classification only; this edge is not a causal or calculation relationship.</x:v>
      </x:c>
      <x:c r="I1867" s="9" t="str">
        <x:v>Curated curriculum relationship</x:v>
      </x:c>
    </x:row>
    <x:row r="1868" ht="58" customHeight="1">
      <x:c r="A1868" s="10" t="str">
        <x:v>E1863</x:v>
      </x:c>
      <x:c r="B1868" s="10" t="str">
        <x:v>T38.02</x:v>
      </x:c>
      <x:c r="C1868" s="10" t="str">
        <x:v>Data cleaning and reconciliation</x:v>
      </x:c>
      <x:c r="D1868" s="14" t="str">
        <x:v>EXPLORE_WITH</x:v>
      </x:c>
      <x:c r="E1868" s="10" t="str">
        <x:v>T38.01</x:v>
      </x:c>
      <x:c r="F1868" s="10" t="str">
        <x:v>Financial data sources and data licensing</x:v>
      </x:c>
      <x:c r="G1868" s="10" t="str">
        <x:v>Study these together to produce reproducible financial analysis without data leakage or model misuse.</x:v>
      </x:c>
      <x:c r="H1868" s="10" t="str">
        <x:v>A topical exploration link, not a claim that one determines the other.</x:v>
      </x:c>
      <x:c r="I1868" s="10" t="str">
        <x:v>Curated curriculum relationship</x:v>
      </x:c>
    </x:row>
    <x:row r="1869" ht="58" customHeight="1">
      <x:c r="A1869" s="9" t="str">
        <x:v>E1864</x:v>
      </x:c>
      <x:c r="B1869" s="9" t="str">
        <x:v>T02.12</x:v>
      </x:c>
      <x:c r="C1869" s="9" t="str">
        <x:v>Regression, statistical significance, and economic significance</x:v>
      </x:c>
      <x:c r="D1869" s="15" t="str">
        <x:v>RECOMMENDED_BEFORE</x:v>
      </x:c>
      <x:c r="E1869" s="9" t="str">
        <x:v>T38.02</x:v>
      </x:c>
      <x:c r="F1869" s="9" t="str">
        <x:v>Data cleaning and reconciliation</x:v>
      </x:c>
      <x:c r="G1869" s="9" t="str">
        <x:v>Suggested starting knowledge: Regression, statistical significance, and economic significance. It helps you produce reproducible financial analysis without data leakage or model misuse.</x:v>
      </x:c>
      <x:c r="H1869" s="9" t="str">
        <x:v>Suggested learning order; learners can still explore freely.</x:v>
      </x:c>
      <x:c r="I1869" s="9" t="str">
        <x:v>Curated curriculum relationship</x:v>
      </x:c>
    </x:row>
    <x:row r="1870" ht="58" customHeight="1">
      <x:c r="A1870" s="10" t="str">
        <x:v>E1865</x:v>
      </x:c>
      <x:c r="B1870" s="10" t="str">
        <x:v>T38.03</x:v>
      </x:c>
      <x:c r="C1870" s="10" t="str">
        <x:v>Corporate-action-adjusted prices</x:v>
      </x:c>
      <x:c r="D1870" s="14" t="str">
        <x:v>PART_OF</x:v>
      </x:c>
      <x:c r="E1870" s="10" t="str">
        <x:v>D38</x:v>
      </x:c>
      <x:c r="F1870" s="10" t="str">
        <x:v>Computational finance, financial data, and AI</x:v>
      </x:c>
      <x:c r="G1870" s="10" t="str">
        <x:v>Curriculum membership. Use this link to move between the topic and its finance area.</x:v>
      </x:c>
      <x:c r="H1870" s="10" t="str">
        <x:v>Classification only; this edge is not a causal or calculation relationship.</x:v>
      </x:c>
      <x:c r="I1870" s="10" t="str">
        <x:v>Curated curriculum relationship</x:v>
      </x:c>
    </x:row>
    <x:row r="1871" ht="58" customHeight="1">
      <x:c r="A1871" s="9" t="str">
        <x:v>E1866</x:v>
      </x:c>
      <x:c r="B1871" s="9" t="str">
        <x:v>T38.03</x:v>
      </x:c>
      <x:c r="C1871" s="9" t="str">
        <x:v>Corporate-action-adjusted prices</x:v>
      </x:c>
      <x:c r="D1871" s="15" t="str">
        <x:v>EXPLORE_WITH</x:v>
      </x:c>
      <x:c r="E1871" s="9" t="str">
        <x:v>T38.04</x:v>
      </x:c>
      <x:c r="F1871" s="9" t="str">
        <x:v>Point-in-time data and survivorship bias</x:v>
      </x:c>
      <x:c r="G1871" s="9" t="str">
        <x:v>Study these together to produce reproducible financial analysis without data leakage or model misuse.</x:v>
      </x:c>
      <x:c r="H1871" s="9" t="str">
        <x:v>A topical exploration link, not a claim that one determines the other.</x:v>
      </x:c>
      <x:c r="I1871" s="9" t="str">
        <x:v>Curated curriculum relationship</x:v>
      </x:c>
    </x:row>
    <x:row r="1872" ht="58" customHeight="1">
      <x:c r="A1872" s="10" t="str">
        <x:v>E1867</x:v>
      </x:c>
      <x:c r="B1872" s="10" t="str">
        <x:v>T02.12</x:v>
      </x:c>
      <x:c r="C1872" s="10" t="str">
        <x:v>Regression, statistical significance, and economic significance</x:v>
      </x:c>
      <x:c r="D1872" s="14" t="str">
        <x:v>RECOMMENDED_BEFORE</x:v>
      </x:c>
      <x:c r="E1872" s="10" t="str">
        <x:v>T38.03</x:v>
      </x:c>
      <x:c r="F1872" s="10" t="str">
        <x:v>Corporate-action-adjusted prices</x:v>
      </x:c>
      <x:c r="G1872" s="10" t="str">
        <x:v>Suggested starting knowledge: Regression, statistical significance, and economic significance. It helps you produce reproducible financial analysis without data leakage or model misuse.</x:v>
      </x:c>
      <x:c r="H1872" s="10" t="str">
        <x:v>Suggested learning order; learners can still explore freely.</x:v>
      </x:c>
      <x:c r="I1872" s="10" t="str">
        <x:v>Curated curriculum relationship</x:v>
      </x:c>
    </x:row>
    <x:row r="1873" ht="58" customHeight="1">
      <x:c r="A1873" s="9" t="str">
        <x:v>E1868</x:v>
      </x:c>
      <x:c r="B1873" s="9" t="str">
        <x:v>T38.04</x:v>
      </x:c>
      <x:c r="C1873" s="9" t="str">
        <x:v>Point-in-time data and survivorship bias</x:v>
      </x:c>
      <x:c r="D1873" s="15" t="str">
        <x:v>PART_OF</x:v>
      </x:c>
      <x:c r="E1873" s="9" t="str">
        <x:v>D38</x:v>
      </x:c>
      <x:c r="F1873" s="9" t="str">
        <x:v>Computational finance, financial data, and AI</x:v>
      </x:c>
      <x:c r="G1873" s="9" t="str">
        <x:v>Curriculum membership. Use this link to move between the topic and its finance area.</x:v>
      </x:c>
      <x:c r="H1873" s="9" t="str">
        <x:v>Classification only; this edge is not a causal or calculation relationship.</x:v>
      </x:c>
      <x:c r="I1873" s="9" t="str">
        <x:v>Curated curriculum relationship</x:v>
      </x:c>
    </x:row>
    <x:row r="1874" ht="58" customHeight="1">
      <x:c r="A1874" s="10" t="str">
        <x:v>E1869</x:v>
      </x:c>
      <x:c r="B1874" s="10" t="str">
        <x:v>T38.04</x:v>
      </x:c>
      <x:c r="C1874" s="10" t="str">
        <x:v>Point-in-time data and survivorship bias</x:v>
      </x:c>
      <x:c r="D1874" s="14" t="str">
        <x:v>EXPLORE_WITH</x:v>
      </x:c>
      <x:c r="E1874" s="10" t="str">
        <x:v>T38.10</x:v>
      </x:c>
      <x:c r="F1874" s="10" t="str">
        <x:v>Look-ahead bias, overfitting, and data snooping</x:v>
      </x:c>
      <x:c r="G1874" s="10" t="str">
        <x:v>Study these together to produce reproducible financial analysis without data leakage or model misuse.</x:v>
      </x:c>
      <x:c r="H1874" s="10" t="str">
        <x:v>A topical exploration link, not a claim that one determines the other.</x:v>
      </x:c>
      <x:c r="I1874" s="10" t="str">
        <x:v>Curated curriculum relationship</x:v>
      </x:c>
    </x:row>
    <x:row r="1875" ht="58" customHeight="1">
      <x:c r="A1875" s="9" t="str">
        <x:v>E1870</x:v>
      </x:c>
      <x:c r="B1875" s="9" t="str">
        <x:v>T02.12</x:v>
      </x:c>
      <x:c r="C1875" s="9" t="str">
        <x:v>Regression, statistical significance, and economic significance</x:v>
      </x:c>
      <x:c r="D1875" s="15" t="str">
        <x:v>RECOMMENDED_BEFORE</x:v>
      </x:c>
      <x:c r="E1875" s="9" t="str">
        <x:v>T38.04</x:v>
      </x:c>
      <x:c r="F1875" s="9" t="str">
        <x:v>Point-in-time data and survivorship bias</x:v>
      </x:c>
      <x:c r="G1875" s="9" t="str">
        <x:v>Suggested starting knowledge: Regression, statistical significance, and economic significance. It helps you produce reproducible financial analysis without data leakage or model misuse.</x:v>
      </x:c>
      <x:c r="H1875" s="9" t="str">
        <x:v>Suggested learning order; learners can still explore freely.</x:v>
      </x:c>
      <x:c r="I1875" s="9" t="str">
        <x:v>Curated curriculum relationship</x:v>
      </x:c>
    </x:row>
    <x:row r="1876" ht="58" customHeight="1">
      <x:c r="A1876" s="10" t="str">
        <x:v>E1871</x:v>
      </x:c>
      <x:c r="B1876" s="10" t="str">
        <x:v>T38.05</x:v>
      </x:c>
      <x:c r="C1876" s="10" t="str">
        <x:v>Spreadsheet engineering</x:v>
      </x:c>
      <x:c r="D1876" s="14" t="str">
        <x:v>PART_OF</x:v>
      </x:c>
      <x:c r="E1876" s="10" t="str">
        <x:v>D38</x:v>
      </x:c>
      <x:c r="F1876" s="10" t="str">
        <x:v>Computational finance, financial data, and AI</x:v>
      </x:c>
      <x:c r="G1876" s="10" t="str">
        <x:v>Curriculum membership. Use this link to move between the topic and its finance area.</x:v>
      </x:c>
      <x:c r="H1876" s="10" t="str">
        <x:v>Classification only; this edge is not a causal or calculation relationship.</x:v>
      </x:c>
      <x:c r="I1876" s="10" t="str">
        <x:v>Curated curriculum relationship</x:v>
      </x:c>
    </x:row>
    <x:row r="1877" ht="58" customHeight="1">
      <x:c r="A1877" s="9" t="str">
        <x:v>E1872</x:v>
      </x:c>
      <x:c r="B1877" s="9" t="str">
        <x:v>T38.05</x:v>
      </x:c>
      <x:c r="C1877" s="9" t="str">
        <x:v>Spreadsheet engineering</x:v>
      </x:c>
      <x:c r="D1877" s="15" t="str">
        <x:v>EXPLORE_WITH</x:v>
      </x:c>
      <x:c r="E1877" s="9" t="str">
        <x:v>T38.18</x:v>
      </x:c>
      <x:c r="F1877" s="9" t="str">
        <x:v>Reproducibility, model governance, and human verification</x:v>
      </x:c>
      <x:c r="G1877" s="9" t="str">
        <x:v>Study these together to produce reproducible financial analysis without data leakage or model misuse.</x:v>
      </x:c>
      <x:c r="H1877" s="9" t="str">
        <x:v>A topical exploration link, not a claim that one determines the other.</x:v>
      </x:c>
      <x:c r="I1877" s="9" t="str">
        <x:v>Curated curriculum relationship</x:v>
      </x:c>
    </x:row>
    <x:row r="1878" ht="58" customHeight="1">
      <x:c r="A1878" s="10" t="str">
        <x:v>E1873</x:v>
      </x:c>
      <x:c r="B1878" s="10" t="str">
        <x:v>T02.12</x:v>
      </x:c>
      <x:c r="C1878" s="10" t="str">
        <x:v>Regression, statistical significance, and economic significance</x:v>
      </x:c>
      <x:c r="D1878" s="14" t="str">
        <x:v>RECOMMENDED_BEFORE</x:v>
      </x:c>
      <x:c r="E1878" s="10" t="str">
        <x:v>T38.05</x:v>
      </x:c>
      <x:c r="F1878" s="10" t="str">
        <x:v>Spreadsheet engineering</x:v>
      </x:c>
      <x:c r="G1878" s="10" t="str">
        <x:v>Suggested starting knowledge: Regression, statistical significance, and economic significance. It helps you produce reproducible financial analysis without data leakage or model misuse.</x:v>
      </x:c>
      <x:c r="H1878" s="10" t="str">
        <x:v>Suggested learning order; learners can still explore freely.</x:v>
      </x:c>
      <x:c r="I1878" s="10" t="str">
        <x:v>Curated curriculum relationship</x:v>
      </x:c>
    </x:row>
    <x:row r="1879" ht="58" customHeight="1">
      <x:c r="A1879" s="9" t="str">
        <x:v>E1874</x:v>
      </x:c>
      <x:c r="B1879" s="9" t="str">
        <x:v>T38.06</x:v>
      </x:c>
      <x:c r="C1879" s="9" t="str">
        <x:v>SQL, Python, and R for finance</x:v>
      </x:c>
      <x:c r="D1879" s="15" t="str">
        <x:v>PART_OF</x:v>
      </x:c>
      <x:c r="E1879" s="9" t="str">
        <x:v>D38</x:v>
      </x:c>
      <x:c r="F1879" s="9" t="str">
        <x:v>Computational finance, financial data, and AI</x:v>
      </x:c>
      <x:c r="G1879" s="9" t="str">
        <x:v>Curriculum membership. Use this link to move between the topic and its finance area.</x:v>
      </x:c>
      <x:c r="H1879" s="9" t="str">
        <x:v>Classification only; this edge is not a causal or calculation relationship.</x:v>
      </x:c>
      <x:c r="I1879" s="9" t="str">
        <x:v>Curated curriculum relationship</x:v>
      </x:c>
    </x:row>
    <x:row r="1880" ht="58" customHeight="1">
      <x:c r="A1880" s="10" t="str">
        <x:v>E1875</x:v>
      </x:c>
      <x:c r="B1880" s="10" t="str">
        <x:v>T38.06</x:v>
      </x:c>
      <x:c r="C1880" s="10" t="str">
        <x:v>SQL, Python, and R for finance</x:v>
      </x:c>
      <x:c r="D1880" s="14" t="str">
        <x:v>EXPLORE_WITH</x:v>
      </x:c>
      <x:c r="E1880" s="10" t="str">
        <x:v>T38.07</x:v>
      </x:c>
      <x:c r="F1880" s="10" t="str">
        <x:v>APIs and financial data pipelines</x:v>
      </x:c>
      <x:c r="G1880" s="10" t="str">
        <x:v>Study these together to produce reproducible financial analysis without data leakage or model misuse.</x:v>
      </x:c>
      <x:c r="H1880" s="10" t="str">
        <x:v>A topical exploration link, not a claim that one determines the other.</x:v>
      </x:c>
      <x:c r="I1880" s="10" t="str">
        <x:v>Curated curriculum relationship</x:v>
      </x:c>
    </x:row>
    <x:row r="1881" ht="58" customHeight="1">
      <x:c r="A1881" s="9" t="str">
        <x:v>E1876</x:v>
      </x:c>
      <x:c r="B1881" s="9" t="str">
        <x:v>T02.12</x:v>
      </x:c>
      <x:c r="C1881" s="9" t="str">
        <x:v>Regression, statistical significance, and economic significance</x:v>
      </x:c>
      <x:c r="D1881" s="15" t="str">
        <x:v>RECOMMENDED_BEFORE</x:v>
      </x:c>
      <x:c r="E1881" s="9" t="str">
        <x:v>T38.06</x:v>
      </x:c>
      <x:c r="F1881" s="9" t="str">
        <x:v>SQL, Python, and R for finance</x:v>
      </x:c>
      <x:c r="G1881" s="9" t="str">
        <x:v>Suggested starting knowledge: Regression, statistical significance, and economic significance. It helps you produce reproducible financial analysis without data leakage or model misuse.</x:v>
      </x:c>
      <x:c r="H1881" s="9" t="str">
        <x:v>Suggested learning order; learners can still explore freely.</x:v>
      </x:c>
      <x:c r="I1881" s="9" t="str">
        <x:v>Curated curriculum relationship</x:v>
      </x:c>
    </x:row>
    <x:row r="1882" ht="58" customHeight="1">
      <x:c r="A1882" s="10" t="str">
        <x:v>E1877</x:v>
      </x:c>
      <x:c r="B1882" s="10" t="str">
        <x:v>T38.07</x:v>
      </x:c>
      <x:c r="C1882" s="10" t="str">
        <x:v>APIs and financial data pipelines</x:v>
      </x:c>
      <x:c r="D1882" s="14" t="str">
        <x:v>PART_OF</x:v>
      </x:c>
      <x:c r="E1882" s="10" t="str">
        <x:v>D38</x:v>
      </x:c>
      <x:c r="F1882" s="10" t="str">
        <x:v>Computational finance, financial data, and AI</x:v>
      </x:c>
      <x:c r="G1882" s="10" t="str">
        <x:v>Curriculum membership. Use this link to move between the topic and its finance area.</x:v>
      </x:c>
      <x:c r="H1882" s="10" t="str">
        <x:v>Classification only; this edge is not a causal or calculation relationship.</x:v>
      </x:c>
      <x:c r="I1882" s="10" t="str">
        <x:v>Curated curriculum relationship</x:v>
      </x:c>
    </x:row>
    <x:row r="1883" ht="58" customHeight="1">
      <x:c r="A1883" s="9" t="str">
        <x:v>E1878</x:v>
      </x:c>
      <x:c r="B1883" s="9" t="str">
        <x:v>T38.07</x:v>
      </x:c>
      <x:c r="C1883" s="9" t="str">
        <x:v>APIs and financial data pipelines</x:v>
      </x:c>
      <x:c r="D1883" s="15" t="str">
        <x:v>EXPLORE_WITH</x:v>
      </x:c>
      <x:c r="E1883" s="9" t="str">
        <x:v>T38.02</x:v>
      </x:c>
      <x:c r="F1883" s="9" t="str">
        <x:v>Data cleaning and reconciliation</x:v>
      </x:c>
      <x:c r="G1883" s="9" t="str">
        <x:v>Study these together to produce reproducible financial analysis without data leakage or model misuse.</x:v>
      </x:c>
      <x:c r="H1883" s="9" t="str">
        <x:v>A topical exploration link, not a claim that one determines the other.</x:v>
      </x:c>
      <x:c r="I1883" s="9" t="str">
        <x:v>Curated curriculum relationship</x:v>
      </x:c>
    </x:row>
    <x:row r="1884" ht="58" customHeight="1">
      <x:c r="A1884" s="10" t="str">
        <x:v>E1879</x:v>
      </x:c>
      <x:c r="B1884" s="10" t="str">
        <x:v>T02.12</x:v>
      </x:c>
      <x:c r="C1884" s="10" t="str">
        <x:v>Regression, statistical significance, and economic significance</x:v>
      </x:c>
      <x:c r="D1884" s="14" t="str">
        <x:v>RECOMMENDED_BEFORE</x:v>
      </x:c>
      <x:c r="E1884" s="10" t="str">
        <x:v>T38.07</x:v>
      </x:c>
      <x:c r="F1884" s="10" t="str">
        <x:v>APIs and financial data pipelines</x:v>
      </x:c>
      <x:c r="G1884" s="10" t="str">
        <x:v>Suggested starting knowledge: Regression, statistical significance, and economic significance. It helps you produce reproducible financial analysis without data leakage or model misuse.</x:v>
      </x:c>
      <x:c r="H1884" s="10" t="str">
        <x:v>Suggested learning order; learners can still explore freely.</x:v>
      </x:c>
      <x:c r="I1884" s="10" t="str">
        <x:v>Curated curriculum relationship</x:v>
      </x:c>
    </x:row>
    <x:row r="1885" ht="58" customHeight="1">
      <x:c r="A1885" s="9" t="str">
        <x:v>E1880</x:v>
      </x:c>
      <x:c r="B1885" s="9" t="str">
        <x:v>T38.08</x:v>
      </x:c>
      <x:c r="C1885" s="9" t="str">
        <x:v>Econometrics and financial forecasting</x:v>
      </x:c>
      <x:c r="D1885" s="15" t="str">
        <x:v>PART_OF</x:v>
      </x:c>
      <x:c r="E1885" s="9" t="str">
        <x:v>D38</x:v>
      </x:c>
      <x:c r="F1885" s="9" t="str">
        <x:v>Computational finance, financial data, and AI</x:v>
      </x:c>
      <x:c r="G1885" s="9" t="str">
        <x:v>Curriculum membership. Use this link to move between the topic and its finance area.</x:v>
      </x:c>
      <x:c r="H1885" s="9" t="str">
        <x:v>Classification only; this edge is not a causal or calculation relationship.</x:v>
      </x:c>
      <x:c r="I1885" s="9" t="str">
        <x:v>Curated curriculum relationship</x:v>
      </x:c>
    </x:row>
    <x:row r="1886" ht="58" customHeight="1">
      <x:c r="A1886" s="10" t="str">
        <x:v>E1881</x:v>
      </x:c>
      <x:c r="B1886" s="10" t="str">
        <x:v>T38.08</x:v>
      </x:c>
      <x:c r="C1886" s="10" t="str">
        <x:v>Econometrics and financial forecasting</x:v>
      </x:c>
      <x:c r="D1886" s="14" t="str">
        <x:v>EXPLORE_WITH</x:v>
      </x:c>
      <x:c r="E1886" s="10" t="str">
        <x:v>T38.10</x:v>
      </x:c>
      <x:c r="F1886" s="10" t="str">
        <x:v>Look-ahead bias, overfitting, and data snooping</x:v>
      </x:c>
      <x:c r="G1886" s="10" t="str">
        <x:v>Study these together to produce reproducible financial analysis without data leakage or model misuse.</x:v>
      </x:c>
      <x:c r="H1886" s="10" t="str">
        <x:v>A topical exploration link, not a claim that one determines the other.</x:v>
      </x:c>
      <x:c r="I1886" s="10" t="str">
        <x:v>Curated curriculum relationship</x:v>
      </x:c>
    </x:row>
    <x:row r="1887" ht="58" customHeight="1">
      <x:c r="A1887" s="9" t="str">
        <x:v>E1882</x:v>
      </x:c>
      <x:c r="B1887" s="9" t="str">
        <x:v>T02.12</x:v>
      </x:c>
      <x:c r="C1887" s="9" t="str">
        <x:v>Regression, statistical significance, and economic significance</x:v>
      </x:c>
      <x:c r="D1887" s="15" t="str">
        <x:v>RECOMMENDED_BEFORE</x:v>
      </x:c>
      <x:c r="E1887" s="9" t="str">
        <x:v>T38.08</x:v>
      </x:c>
      <x:c r="F1887" s="9" t="str">
        <x:v>Econometrics and financial forecasting</x:v>
      </x:c>
      <x:c r="G1887" s="9" t="str">
        <x:v>Suggested starting knowledge: Regression, statistical significance, and economic significance. It helps you produce reproducible financial analysis without data leakage or model misuse.</x:v>
      </x:c>
      <x:c r="H1887" s="9" t="str">
        <x:v>Suggested learning order; learners can still explore freely.</x:v>
      </x:c>
      <x:c r="I1887" s="9" t="str">
        <x:v>Curated curriculum relationship</x:v>
      </x:c>
    </x:row>
    <x:row r="1888" ht="58" customHeight="1">
      <x:c r="A1888" s="10" t="str">
        <x:v>E1883</x:v>
      </x:c>
      <x:c r="B1888" s="10" t="str">
        <x:v>T38.09</x:v>
      </x:c>
      <x:c r="C1888" s="10" t="str">
        <x:v>Factor research and backtesting</x:v>
      </x:c>
      <x:c r="D1888" s="14" t="str">
        <x:v>PART_OF</x:v>
      </x:c>
      <x:c r="E1888" s="10" t="str">
        <x:v>D38</x:v>
      </x:c>
      <x:c r="F1888" s="10" t="str">
        <x:v>Computational finance, financial data, and AI</x:v>
      </x:c>
      <x:c r="G1888" s="10" t="str">
        <x:v>Curriculum membership. Use this link to move between the topic and its finance area.</x:v>
      </x:c>
      <x:c r="H1888" s="10" t="str">
        <x:v>Classification only; this edge is not a causal or calculation relationship.</x:v>
      </x:c>
      <x:c r="I1888" s="10" t="str">
        <x:v>Curated curriculum relationship</x:v>
      </x:c>
    </x:row>
    <x:row r="1889" ht="58" customHeight="1">
      <x:c r="A1889" s="9" t="str">
        <x:v>E1884</x:v>
      </x:c>
      <x:c r="B1889" s="9" t="str">
        <x:v>T38.09</x:v>
      </x:c>
      <x:c r="C1889" s="9" t="str">
        <x:v>Factor research and backtesting</x:v>
      </x:c>
      <x:c r="D1889" s="15" t="str">
        <x:v>EXPLORE_WITH</x:v>
      </x:c>
      <x:c r="E1889" s="9" t="str">
        <x:v>T38.10</x:v>
      </x:c>
      <x:c r="F1889" s="9" t="str">
        <x:v>Look-ahead bias, overfitting, and data snooping</x:v>
      </x:c>
      <x:c r="G1889" s="9" t="str">
        <x:v>Study these together to produce reproducible financial analysis without data leakage or model misuse.</x:v>
      </x:c>
      <x:c r="H1889" s="9" t="str">
        <x:v>A topical exploration link, not a claim that one determines the other.</x:v>
      </x:c>
      <x:c r="I1889" s="9" t="str">
        <x:v>Curated curriculum relationship</x:v>
      </x:c>
    </x:row>
    <x:row r="1890" ht="58" customHeight="1">
      <x:c r="A1890" s="10" t="str">
        <x:v>E1885</x:v>
      </x:c>
      <x:c r="B1890" s="10" t="str">
        <x:v>T02.12</x:v>
      </x:c>
      <x:c r="C1890" s="10" t="str">
        <x:v>Regression, statistical significance, and economic significance</x:v>
      </x:c>
      <x:c r="D1890" s="14" t="str">
        <x:v>RECOMMENDED_BEFORE</x:v>
      </x:c>
      <x:c r="E1890" s="10" t="str">
        <x:v>T38.09</x:v>
      </x:c>
      <x:c r="F1890" s="10" t="str">
        <x:v>Factor research and backtesting</x:v>
      </x:c>
      <x:c r="G1890" s="10" t="str">
        <x:v>Suggested starting knowledge: Regression, statistical significance, and economic significance. It helps you produce reproducible financial analysis without data leakage or model misuse.</x:v>
      </x:c>
      <x:c r="H1890" s="10" t="str">
        <x:v>Suggested learning order; learners can still explore freely.</x:v>
      </x:c>
      <x:c r="I1890" s="10" t="str">
        <x:v>Curated curriculum relationship</x:v>
      </x:c>
    </x:row>
    <x:row r="1891" ht="58" customHeight="1">
      <x:c r="A1891" s="9" t="str">
        <x:v>E1886</x:v>
      </x:c>
      <x:c r="B1891" s="9" t="str">
        <x:v>T38.10</x:v>
      </x:c>
      <x:c r="C1891" s="9" t="str">
        <x:v>Look-ahead bias, overfitting, and data snooping</x:v>
      </x:c>
      <x:c r="D1891" s="15" t="str">
        <x:v>PART_OF</x:v>
      </x:c>
      <x:c r="E1891" s="9" t="str">
        <x:v>D38</x:v>
      </x:c>
      <x:c r="F1891" s="9" t="str">
        <x:v>Computational finance, financial data, and AI</x:v>
      </x:c>
      <x:c r="G1891" s="9" t="str">
        <x:v>Curriculum membership. Use this link to move between the topic and its finance area.</x:v>
      </x:c>
      <x:c r="H1891" s="9" t="str">
        <x:v>Classification only; this edge is not a causal or calculation relationship.</x:v>
      </x:c>
      <x:c r="I1891" s="9" t="str">
        <x:v>Curated curriculum relationship</x:v>
      </x:c>
    </x:row>
    <x:row r="1892" ht="58" customHeight="1">
      <x:c r="A1892" s="10" t="str">
        <x:v>E1887</x:v>
      </x:c>
      <x:c r="B1892" s="10" t="str">
        <x:v>T38.10</x:v>
      </x:c>
      <x:c r="C1892" s="10" t="str">
        <x:v>Look-ahead bias, overfitting, and data snooping</x:v>
      </x:c>
      <x:c r="D1892" s="14" t="str">
        <x:v>EXPLORE_WITH</x:v>
      </x:c>
      <x:c r="E1892" s="10" t="str">
        <x:v>T38.09</x:v>
      </x:c>
      <x:c r="F1892" s="10" t="str">
        <x:v>Factor research and backtesting</x:v>
      </x:c>
      <x:c r="G1892" s="10" t="str">
        <x:v>Study these together to produce reproducible financial analysis without data leakage or model misuse.</x:v>
      </x:c>
      <x:c r="H1892" s="10" t="str">
        <x:v>A topical exploration link, not a claim that one determines the other.</x:v>
      </x:c>
      <x:c r="I1892" s="10" t="str">
        <x:v>Curated curriculum relationship</x:v>
      </x:c>
    </x:row>
    <x:row r="1893" ht="58" customHeight="1">
      <x:c r="A1893" s="9" t="str">
        <x:v>E1888</x:v>
      </x:c>
      <x:c r="B1893" s="9" t="str">
        <x:v>T02.12</x:v>
      </x:c>
      <x:c r="C1893" s="9" t="str">
        <x:v>Regression, statistical significance, and economic significance</x:v>
      </x:c>
      <x:c r="D1893" s="15" t="str">
        <x:v>RECOMMENDED_BEFORE</x:v>
      </x:c>
      <x:c r="E1893" s="9" t="str">
        <x:v>T38.10</x:v>
      </x:c>
      <x:c r="F1893" s="9" t="str">
        <x:v>Look-ahead bias, overfitting, and data snooping</x:v>
      </x:c>
      <x:c r="G1893" s="9" t="str">
        <x:v>Suggested starting knowledge: Regression, statistical significance, and economic significance. It helps you produce reproducible financial analysis without data leakage or model misuse.</x:v>
      </x:c>
      <x:c r="H1893" s="9" t="str">
        <x:v>Suggested learning order; learners can still explore freely.</x:v>
      </x:c>
      <x:c r="I1893" s="9" t="str">
        <x:v>Curated curriculum relationship</x:v>
      </x:c>
    </x:row>
    <x:row r="1894" ht="58" customHeight="1">
      <x:c r="A1894" s="10" t="str">
        <x:v>E1889</x:v>
      </x:c>
      <x:c r="B1894" s="10" t="str">
        <x:v>T38.11</x:v>
      </x:c>
      <x:c r="C1894" s="10" t="str">
        <x:v>Transaction costs and realistic strategy testing</x:v>
      </x:c>
      <x:c r="D1894" s="14" t="str">
        <x:v>PART_OF</x:v>
      </x:c>
      <x:c r="E1894" s="10" t="str">
        <x:v>D38</x:v>
      </x:c>
      <x:c r="F1894" s="10" t="str">
        <x:v>Computational finance, financial data, and AI</x:v>
      </x:c>
      <x:c r="G1894" s="10" t="str">
        <x:v>Curriculum membership. Use this link to move between the topic and its finance area.</x:v>
      </x:c>
      <x:c r="H1894" s="10" t="str">
        <x:v>Classification only; this edge is not a causal or calculation relationship.</x:v>
      </x:c>
      <x:c r="I1894" s="10" t="str">
        <x:v>Curated curriculum relationship</x:v>
      </x:c>
    </x:row>
    <x:row r="1895" ht="58" customHeight="1">
      <x:c r="A1895" s="9" t="str">
        <x:v>E1890</x:v>
      </x:c>
      <x:c r="B1895" s="9" t="str">
        <x:v>T38.11</x:v>
      </x:c>
      <x:c r="C1895" s="9" t="str">
        <x:v>Transaction costs and realistic strategy testing</x:v>
      </x:c>
      <x:c r="D1895" s="15" t="str">
        <x:v>EXPLORE_WITH</x:v>
      </x:c>
      <x:c r="E1895" s="9" t="str">
        <x:v>T38.09</x:v>
      </x:c>
      <x:c r="F1895" s="9" t="str">
        <x:v>Factor research and backtesting</x:v>
      </x:c>
      <x:c r="G1895" s="9" t="str">
        <x:v>Study these together to produce reproducible financial analysis without data leakage or model misuse.</x:v>
      </x:c>
      <x:c r="H1895" s="9" t="str">
        <x:v>A topical exploration link, not a claim that one determines the other.</x:v>
      </x:c>
      <x:c r="I1895" s="9" t="str">
        <x:v>Curated curriculum relationship</x:v>
      </x:c>
    </x:row>
    <x:row r="1896" ht="58" customHeight="1">
      <x:c r="A1896" s="10" t="str">
        <x:v>E1891</x:v>
      </x:c>
      <x:c r="B1896" s="10" t="str">
        <x:v>T02.12</x:v>
      </x:c>
      <x:c r="C1896" s="10" t="str">
        <x:v>Regression, statistical significance, and economic significance</x:v>
      </x:c>
      <x:c r="D1896" s="14" t="str">
        <x:v>RECOMMENDED_BEFORE</x:v>
      </x:c>
      <x:c r="E1896" s="10" t="str">
        <x:v>T38.11</x:v>
      </x:c>
      <x:c r="F1896" s="10" t="str">
        <x:v>Transaction costs and realistic strategy testing</x:v>
      </x:c>
      <x:c r="G1896" s="10" t="str">
        <x:v>Suggested starting knowledge: Regression, statistical significance, and economic significance. It helps you produce reproducible financial analysis without data leakage or model misuse.</x:v>
      </x:c>
      <x:c r="H1896" s="10" t="str">
        <x:v>Suggested learning order; learners can still explore freely.</x:v>
      </x:c>
      <x:c r="I1896" s="10" t="str">
        <x:v>Curated curriculum relationship</x:v>
      </x:c>
    </x:row>
    <x:row r="1897" ht="58" customHeight="1">
      <x:c r="A1897" s="9" t="str">
        <x:v>E1892</x:v>
      </x:c>
      <x:c r="B1897" s="9" t="str">
        <x:v>T38.12</x:v>
      </x:c>
      <x:c r="C1897" s="9" t="str">
        <x:v>Monte Carlo simulation</x:v>
      </x:c>
      <x:c r="D1897" s="15" t="str">
        <x:v>PART_OF</x:v>
      </x:c>
      <x:c r="E1897" s="9" t="str">
        <x:v>D38</x:v>
      </x:c>
      <x:c r="F1897" s="9" t="str">
        <x:v>Computational finance, financial data, and AI</x:v>
      </x:c>
      <x:c r="G1897" s="9" t="str">
        <x:v>Curriculum membership. Use this link to move between the topic and its finance area.</x:v>
      </x:c>
      <x:c r="H1897" s="9" t="str">
        <x:v>Classification only; this edge is not a causal or calculation relationship.</x:v>
      </x:c>
      <x:c r="I1897" s="9" t="str">
        <x:v>Curated curriculum relationship</x:v>
      </x:c>
    </x:row>
    <x:row r="1898" ht="58" customHeight="1">
      <x:c r="A1898" s="10" t="str">
        <x:v>E1893</x:v>
      </x:c>
      <x:c r="B1898" s="10" t="str">
        <x:v>T38.12</x:v>
      </x:c>
      <x:c r="C1898" s="10" t="str">
        <x:v>Monte Carlo simulation</x:v>
      </x:c>
      <x:c r="D1898" s="14" t="str">
        <x:v>EXPLORE_WITH</x:v>
      </x:c>
      <x:c r="E1898" s="10" t="str">
        <x:v>T38.13</x:v>
      </x:c>
      <x:c r="F1898" s="10" t="str">
        <x:v>Numerical pricing and optimisation</x:v>
      </x:c>
      <x:c r="G1898" s="10" t="str">
        <x:v>Study these together to produce reproducible financial analysis without data leakage or model misuse.</x:v>
      </x:c>
      <x:c r="H1898" s="10" t="str">
        <x:v>A topical exploration link, not a claim that one determines the other.</x:v>
      </x:c>
      <x:c r="I1898" s="10" t="str">
        <x:v>Curated curriculum relationship</x:v>
      </x:c>
    </x:row>
    <x:row r="1899" ht="58" customHeight="1">
      <x:c r="A1899" s="9" t="str">
        <x:v>E1894</x:v>
      </x:c>
      <x:c r="B1899" s="9" t="str">
        <x:v>T02.12</x:v>
      </x:c>
      <x:c r="C1899" s="9" t="str">
        <x:v>Regression, statistical significance, and economic significance</x:v>
      </x:c>
      <x:c r="D1899" s="15" t="str">
        <x:v>RECOMMENDED_BEFORE</x:v>
      </x:c>
      <x:c r="E1899" s="9" t="str">
        <x:v>T38.12</x:v>
      </x:c>
      <x:c r="F1899" s="9" t="str">
        <x:v>Monte Carlo simulation</x:v>
      </x:c>
      <x:c r="G1899" s="9" t="str">
        <x:v>Suggested starting knowledge: Regression, statistical significance, and economic significance. It helps you produce reproducible financial analysis without data leakage or model misuse.</x:v>
      </x:c>
      <x:c r="H1899" s="9" t="str">
        <x:v>Suggested learning order; learners can still explore freely.</x:v>
      </x:c>
      <x:c r="I1899" s="9" t="str">
        <x:v>Curated curriculum relationship</x:v>
      </x:c>
    </x:row>
    <x:row r="1900" ht="58" customHeight="1">
      <x:c r="A1900" s="10" t="str">
        <x:v>E1895</x:v>
      </x:c>
      <x:c r="B1900" s="10" t="str">
        <x:v>T38.13</x:v>
      </x:c>
      <x:c r="C1900" s="10" t="str">
        <x:v>Numerical pricing and optimisation</x:v>
      </x:c>
      <x:c r="D1900" s="14" t="str">
        <x:v>PART_OF</x:v>
      </x:c>
      <x:c r="E1900" s="10" t="str">
        <x:v>D38</x:v>
      </x:c>
      <x:c r="F1900" s="10" t="str">
        <x:v>Computational finance, financial data, and AI</x:v>
      </x:c>
      <x:c r="G1900" s="10" t="str">
        <x:v>Curriculum membership. Use this link to move between the topic and its finance area.</x:v>
      </x:c>
      <x:c r="H1900" s="10" t="str">
        <x:v>Classification only; this edge is not a causal or calculation relationship.</x:v>
      </x:c>
      <x:c r="I1900" s="10" t="str">
        <x:v>Curated curriculum relationship</x:v>
      </x:c>
    </x:row>
    <x:row r="1901" ht="58" customHeight="1">
      <x:c r="A1901" s="9" t="str">
        <x:v>E1896</x:v>
      </x:c>
      <x:c r="B1901" s="9" t="str">
        <x:v>T38.13</x:v>
      </x:c>
      <x:c r="C1901" s="9" t="str">
        <x:v>Numerical pricing and optimisation</x:v>
      </x:c>
      <x:c r="D1901" s="15" t="str">
        <x:v>EXPLORE_WITH</x:v>
      </x:c>
      <x:c r="E1901" s="9" t="str">
        <x:v>T38.12</x:v>
      </x:c>
      <x:c r="F1901" s="9" t="str">
        <x:v>Monte Carlo simulation</x:v>
      </x:c>
      <x:c r="G1901" s="9" t="str">
        <x:v>Study these together to produce reproducible financial analysis without data leakage or model misuse.</x:v>
      </x:c>
      <x:c r="H1901" s="9" t="str">
        <x:v>A topical exploration link, not a claim that one determines the other.</x:v>
      </x:c>
      <x:c r="I1901" s="9" t="str">
        <x:v>Curated curriculum relationship</x:v>
      </x:c>
    </x:row>
    <x:row r="1902" ht="58" customHeight="1">
      <x:c r="A1902" s="10" t="str">
        <x:v>E1897</x:v>
      </x:c>
      <x:c r="B1902" s="10" t="str">
        <x:v>T02.12</x:v>
      </x:c>
      <x:c r="C1902" s="10" t="str">
        <x:v>Regression, statistical significance, and economic significance</x:v>
      </x:c>
      <x:c r="D1902" s="14" t="str">
        <x:v>RECOMMENDED_BEFORE</x:v>
      </x:c>
      <x:c r="E1902" s="10" t="str">
        <x:v>T38.13</x:v>
      </x:c>
      <x:c r="F1902" s="10" t="str">
        <x:v>Numerical pricing and optimisation</x:v>
      </x:c>
      <x:c r="G1902" s="10" t="str">
        <x:v>Suggested starting knowledge: Regression, statistical significance, and economic significance. It helps you produce reproducible financial analysis without data leakage or model misuse.</x:v>
      </x:c>
      <x:c r="H1902" s="10" t="str">
        <x:v>Suggested learning order; learners can still explore freely.</x:v>
      </x:c>
      <x:c r="I1902" s="10" t="str">
        <x:v>Curated curriculum relationship</x:v>
      </x:c>
    </x:row>
    <x:row r="1903" ht="58" customHeight="1">
      <x:c r="A1903" s="9" t="str">
        <x:v>E1898</x:v>
      </x:c>
      <x:c r="B1903" s="9" t="str">
        <x:v>T38.14</x:v>
      </x:c>
      <x:c r="C1903" s="9" t="str">
        <x:v>Algorithmic execution and systematic investing</x:v>
      </x:c>
      <x:c r="D1903" s="15" t="str">
        <x:v>PART_OF</x:v>
      </x:c>
      <x:c r="E1903" s="9" t="str">
        <x:v>D38</x:v>
      </x:c>
      <x:c r="F1903" s="9" t="str">
        <x:v>Computational finance, financial data, and AI</x:v>
      </x:c>
      <x:c r="G1903" s="9" t="str">
        <x:v>Curriculum membership. Use this link to move between the topic and its finance area.</x:v>
      </x:c>
      <x:c r="H1903" s="9" t="str">
        <x:v>Classification only; this edge is not a causal or calculation relationship.</x:v>
      </x:c>
      <x:c r="I1903" s="9" t="str">
        <x:v>Curated curriculum relationship</x:v>
      </x:c>
    </x:row>
    <x:row r="1904" ht="58" customHeight="1">
      <x:c r="A1904" s="10" t="str">
        <x:v>E1899</x:v>
      </x:c>
      <x:c r="B1904" s="10" t="str">
        <x:v>T38.14</x:v>
      </x:c>
      <x:c r="C1904" s="10" t="str">
        <x:v>Algorithmic execution and systematic investing</x:v>
      </x:c>
      <x:c r="D1904" s="14" t="str">
        <x:v>EXPLORE_WITH</x:v>
      </x:c>
      <x:c r="E1904" s="10" t="str">
        <x:v>T38.11</x:v>
      </x:c>
      <x:c r="F1904" s="10" t="str">
        <x:v>Transaction costs and realistic strategy testing</x:v>
      </x:c>
      <x:c r="G1904" s="10" t="str">
        <x:v>Study these together to produce reproducible financial analysis without data leakage or model misuse.</x:v>
      </x:c>
      <x:c r="H1904" s="10" t="str">
        <x:v>A topical exploration link, not a claim that one determines the other.</x:v>
      </x:c>
      <x:c r="I1904" s="10" t="str">
        <x:v>Curated curriculum relationship</x:v>
      </x:c>
    </x:row>
    <x:row r="1905" ht="58" customHeight="1">
      <x:c r="A1905" s="9" t="str">
        <x:v>E1900</x:v>
      </x:c>
      <x:c r="B1905" s="9" t="str">
        <x:v>T02.12</x:v>
      </x:c>
      <x:c r="C1905" s="9" t="str">
        <x:v>Regression, statistical significance, and economic significance</x:v>
      </x:c>
      <x:c r="D1905" s="15" t="str">
        <x:v>RECOMMENDED_BEFORE</x:v>
      </x:c>
      <x:c r="E1905" s="9" t="str">
        <x:v>T38.14</x:v>
      </x:c>
      <x:c r="F1905" s="9" t="str">
        <x:v>Algorithmic execution and systematic investing</x:v>
      </x:c>
      <x:c r="G1905" s="9" t="str">
        <x:v>Suggested starting knowledge: Regression, statistical significance, and economic significance. It helps you produce reproducible financial analysis without data leakage or model misuse.</x:v>
      </x:c>
      <x:c r="H1905" s="9" t="str">
        <x:v>Suggested learning order; learners can still explore freely.</x:v>
      </x:c>
      <x:c r="I1905" s="9" t="str">
        <x:v>Curated curriculum relationship</x:v>
      </x:c>
    </x:row>
    <x:row r="1906" ht="58" customHeight="1">
      <x:c r="A1906" s="10" t="str">
        <x:v>E1901</x:v>
      </x:c>
      <x:c r="B1906" s="10" t="str">
        <x:v>T38.15</x:v>
      </x:c>
      <x:c r="C1906" s="10" t="str">
        <x:v>Machine learning for credit, fraud, and forecasting</x:v>
      </x:c>
      <x:c r="D1906" s="14" t="str">
        <x:v>PART_OF</x:v>
      </x:c>
      <x:c r="E1906" s="10" t="str">
        <x:v>D38</x:v>
      </x:c>
      <x:c r="F1906" s="10" t="str">
        <x:v>Computational finance, financial data, and AI</x:v>
      </x:c>
      <x:c r="G1906" s="10" t="str">
        <x:v>Curriculum membership. Use this link to move between the topic and its finance area.</x:v>
      </x:c>
      <x:c r="H1906" s="10" t="str">
        <x:v>Classification only; this edge is not a causal or calculation relationship.</x:v>
      </x:c>
      <x:c r="I1906" s="10" t="str">
        <x:v>Curated curriculum relationship</x:v>
      </x:c>
    </x:row>
    <x:row r="1907" ht="58" customHeight="1">
      <x:c r="A1907" s="9" t="str">
        <x:v>E1902</x:v>
      </x:c>
      <x:c r="B1907" s="9" t="str">
        <x:v>T38.15</x:v>
      </x:c>
      <x:c r="C1907" s="9" t="str">
        <x:v>Machine learning for credit, fraud, and forecasting</x:v>
      </x:c>
      <x:c r="D1907" s="15" t="str">
        <x:v>EXPLORE_WITH</x:v>
      </x:c>
      <x:c r="E1907" s="9" t="str">
        <x:v>T38.18</x:v>
      </x:c>
      <x:c r="F1907" s="9" t="str">
        <x:v>Reproducibility, model governance, and human verification</x:v>
      </x:c>
      <x:c r="G1907" s="9" t="str">
        <x:v>Study these together to produce reproducible financial analysis without data leakage or model misuse.</x:v>
      </x:c>
      <x:c r="H1907" s="9" t="str">
        <x:v>A topical exploration link, not a claim that one determines the other.</x:v>
      </x:c>
      <x:c r="I1907" s="9" t="str">
        <x:v>Curated curriculum relationship</x:v>
      </x:c>
    </x:row>
    <x:row r="1908" ht="58" customHeight="1">
      <x:c r="A1908" s="10" t="str">
        <x:v>E1903</x:v>
      </x:c>
      <x:c r="B1908" s="10" t="str">
        <x:v>T02.12</x:v>
      </x:c>
      <x:c r="C1908" s="10" t="str">
        <x:v>Regression, statistical significance, and economic significance</x:v>
      </x:c>
      <x:c r="D1908" s="14" t="str">
        <x:v>RECOMMENDED_BEFORE</x:v>
      </x:c>
      <x:c r="E1908" s="10" t="str">
        <x:v>T38.15</x:v>
      </x:c>
      <x:c r="F1908" s="10" t="str">
        <x:v>Machine learning for credit, fraud, and forecasting</x:v>
      </x:c>
      <x:c r="G1908" s="10" t="str">
        <x:v>Suggested starting knowledge: Regression, statistical significance, and economic significance. It helps you produce reproducible financial analysis without data leakage or model misuse.</x:v>
      </x:c>
      <x:c r="H1908" s="10" t="str">
        <x:v>Suggested learning order; learners can still explore freely.</x:v>
      </x:c>
      <x:c r="I1908" s="10" t="str">
        <x:v>Curated curriculum relationship</x:v>
      </x:c>
    </x:row>
    <x:row r="1909" ht="58" customHeight="1">
      <x:c r="A1909" s="9" t="str">
        <x:v>E1904</x:v>
      </x:c>
      <x:c r="B1909" s="9" t="str">
        <x:v>T38.16</x:v>
      </x:c>
      <x:c r="C1909" s="9" t="str">
        <x:v>Natural-language processing for financial disclosures</x:v>
      </x:c>
      <x:c r="D1909" s="15" t="str">
        <x:v>PART_OF</x:v>
      </x:c>
      <x:c r="E1909" s="9" t="str">
        <x:v>D38</x:v>
      </x:c>
      <x:c r="F1909" s="9" t="str">
        <x:v>Computational finance, financial data, and AI</x:v>
      </x:c>
      <x:c r="G1909" s="9" t="str">
        <x:v>Curriculum membership. Use this link to move between the topic and its finance area.</x:v>
      </x:c>
      <x:c r="H1909" s="9" t="str">
        <x:v>Classification only; this edge is not a causal or calculation relationship.</x:v>
      </x:c>
      <x:c r="I1909" s="9" t="str">
        <x:v>Curated curriculum relationship</x:v>
      </x:c>
    </x:row>
    <x:row r="1910" ht="58" customHeight="1">
      <x:c r="A1910" s="10" t="str">
        <x:v>E1905</x:v>
      </x:c>
      <x:c r="B1910" s="10" t="str">
        <x:v>T38.16</x:v>
      </x:c>
      <x:c r="C1910" s="10" t="str">
        <x:v>Natural-language processing for financial disclosures</x:v>
      </x:c>
      <x:c r="D1910" s="14" t="str">
        <x:v>EXPLORE_WITH</x:v>
      </x:c>
      <x:c r="E1910" s="10" t="str">
        <x:v>T38.01</x:v>
      </x:c>
      <x:c r="F1910" s="10" t="str">
        <x:v>Financial data sources and data licensing</x:v>
      </x:c>
      <x:c r="G1910" s="10" t="str">
        <x:v>Study these together to produce reproducible financial analysis without data leakage or model misuse.</x:v>
      </x:c>
      <x:c r="H1910" s="10" t="str">
        <x:v>A topical exploration link, not a claim that one determines the other.</x:v>
      </x:c>
      <x:c r="I1910" s="10" t="str">
        <x:v>Curated curriculum relationship</x:v>
      </x:c>
    </x:row>
    <x:row r="1911" ht="58" customHeight="1">
      <x:c r="A1911" s="9" t="str">
        <x:v>E1906</x:v>
      </x:c>
      <x:c r="B1911" s="9" t="str">
        <x:v>T02.12</x:v>
      </x:c>
      <x:c r="C1911" s="9" t="str">
        <x:v>Regression, statistical significance, and economic significance</x:v>
      </x:c>
      <x:c r="D1911" s="15" t="str">
        <x:v>RECOMMENDED_BEFORE</x:v>
      </x:c>
      <x:c r="E1911" s="9" t="str">
        <x:v>T38.16</x:v>
      </x:c>
      <x:c r="F1911" s="9" t="str">
        <x:v>Natural-language processing for financial disclosures</x:v>
      </x:c>
      <x:c r="G1911" s="9" t="str">
        <x:v>Suggested starting knowledge: Regression, statistical significance, and economic significance. It helps you produce reproducible financial analysis without data leakage or model misuse.</x:v>
      </x:c>
      <x:c r="H1911" s="9" t="str">
        <x:v>Suggested learning order; learners can still explore freely.</x:v>
      </x:c>
      <x:c r="I1911" s="9" t="str">
        <x:v>Curated curriculum relationship</x:v>
      </x:c>
    </x:row>
    <x:row r="1912" ht="58" customHeight="1">
      <x:c r="A1912" s="10" t="str">
        <x:v>E1907</x:v>
      </x:c>
      <x:c r="B1912" s="10" t="str">
        <x:v>T38.17</x:v>
      </x:c>
      <x:c r="C1912" s="10" t="str">
        <x:v>AI-assisted research and financial modelling</x:v>
      </x:c>
      <x:c r="D1912" s="14" t="str">
        <x:v>PART_OF</x:v>
      </x:c>
      <x:c r="E1912" s="10" t="str">
        <x:v>D38</x:v>
      </x:c>
      <x:c r="F1912" s="10" t="str">
        <x:v>Computational finance, financial data, and AI</x:v>
      </x:c>
      <x:c r="G1912" s="10" t="str">
        <x:v>Curriculum membership. Use this link to move between the topic and its finance area.</x:v>
      </x:c>
      <x:c r="H1912" s="10" t="str">
        <x:v>Classification only; this edge is not a causal or calculation relationship.</x:v>
      </x:c>
      <x:c r="I1912" s="10" t="str">
        <x:v>Curated curriculum relationship</x:v>
      </x:c>
    </x:row>
    <x:row r="1913" ht="58" customHeight="1">
      <x:c r="A1913" s="9" t="str">
        <x:v>E1908</x:v>
      </x:c>
      <x:c r="B1913" s="9" t="str">
        <x:v>T38.17</x:v>
      </x:c>
      <x:c r="C1913" s="9" t="str">
        <x:v>AI-assisted research and financial modelling</x:v>
      </x:c>
      <x:c r="D1913" s="15" t="str">
        <x:v>EXPLORE_WITH</x:v>
      </x:c>
      <x:c r="E1913" s="9" t="str">
        <x:v>T38.18</x:v>
      </x:c>
      <x:c r="F1913" s="9" t="str">
        <x:v>Reproducibility, model governance, and human verification</x:v>
      </x:c>
      <x:c r="G1913" s="9" t="str">
        <x:v>Study these together to produce reproducible financial analysis without data leakage or model misuse.</x:v>
      </x:c>
      <x:c r="H1913" s="9" t="str">
        <x:v>A topical exploration link, not a claim that one determines the other.</x:v>
      </x:c>
      <x:c r="I1913" s="9" t="str">
        <x:v>Curated curriculum relationship</x:v>
      </x:c>
    </x:row>
    <x:row r="1914" ht="58" customHeight="1">
      <x:c r="A1914" s="10" t="str">
        <x:v>E1909</x:v>
      </x:c>
      <x:c r="B1914" s="10" t="str">
        <x:v>T02.12</x:v>
      </x:c>
      <x:c r="C1914" s="10" t="str">
        <x:v>Regression, statistical significance, and economic significance</x:v>
      </x:c>
      <x:c r="D1914" s="14" t="str">
        <x:v>RECOMMENDED_BEFORE</x:v>
      </x:c>
      <x:c r="E1914" s="10" t="str">
        <x:v>T38.17</x:v>
      </x:c>
      <x:c r="F1914" s="10" t="str">
        <x:v>AI-assisted research and financial modelling</x:v>
      </x:c>
      <x:c r="G1914" s="10" t="str">
        <x:v>Suggested starting knowledge: Regression, statistical significance, and economic significance. It helps you produce reproducible financial analysis without data leakage or model misuse.</x:v>
      </x:c>
      <x:c r="H1914" s="10" t="str">
        <x:v>Suggested learning order; learners can still explore freely.</x:v>
      </x:c>
      <x:c r="I1914" s="10" t="str">
        <x:v>Curated curriculum relationship</x:v>
      </x:c>
    </x:row>
    <x:row r="1915" ht="58" customHeight="1">
      <x:c r="A1915" s="9" t="str">
        <x:v>E1910</x:v>
      </x:c>
      <x:c r="B1915" s="9" t="str">
        <x:v>T38.18</x:v>
      </x:c>
      <x:c r="C1915" s="9" t="str">
        <x:v>Reproducibility, model governance, and human verification</x:v>
      </x:c>
      <x:c r="D1915" s="15" t="str">
        <x:v>PART_OF</x:v>
      </x:c>
      <x:c r="E1915" s="9" t="str">
        <x:v>D38</x:v>
      </x:c>
      <x:c r="F1915" s="9" t="str">
        <x:v>Computational finance, financial data, and AI</x:v>
      </x:c>
      <x:c r="G1915" s="9" t="str">
        <x:v>Curriculum membership. Use this link to move between the topic and its finance area.</x:v>
      </x:c>
      <x:c r="H1915" s="9" t="str">
        <x:v>Classification only; this edge is not a causal or calculation relationship.</x:v>
      </x:c>
      <x:c r="I1915" s="9" t="str">
        <x:v>Curated curriculum relationship</x:v>
      </x:c>
    </x:row>
    <x:row r="1916" ht="58" customHeight="1">
      <x:c r="A1916" s="10" t="str">
        <x:v>E1911</x:v>
      </x:c>
      <x:c r="B1916" s="10" t="str">
        <x:v>T38.18</x:v>
      </x:c>
      <x:c r="C1916" s="10" t="str">
        <x:v>Reproducibility, model governance, and human verification</x:v>
      </x:c>
      <x:c r="D1916" s="14" t="str">
        <x:v>EXPLORE_WITH</x:v>
      </x:c>
      <x:c r="E1916" s="10" t="str">
        <x:v>T38.17</x:v>
      </x:c>
      <x:c r="F1916" s="10" t="str">
        <x:v>AI-assisted research and financial modelling</x:v>
      </x:c>
      <x:c r="G1916" s="10" t="str">
        <x:v>Study these together to produce reproducible financial analysis without data leakage or model misuse.</x:v>
      </x:c>
      <x:c r="H1916" s="10" t="str">
        <x:v>A topical exploration link, not a claim that one determines the other.</x:v>
      </x:c>
      <x:c r="I1916" s="10" t="str">
        <x:v>Curated curriculum relationship</x:v>
      </x:c>
    </x:row>
    <x:row r="1917" ht="58" customHeight="1">
      <x:c r="A1917" s="9" t="str">
        <x:v>E1912</x:v>
      </x:c>
      <x:c r="B1917" s="9" t="str">
        <x:v>T02.12</x:v>
      </x:c>
      <x:c r="C1917" s="9" t="str">
        <x:v>Regression, statistical significance, and economic significance</x:v>
      </x:c>
      <x:c r="D1917" s="15" t="str">
        <x:v>RECOMMENDED_BEFORE</x:v>
      </x:c>
      <x:c r="E1917" s="9" t="str">
        <x:v>T38.18</x:v>
      </x:c>
      <x:c r="F1917" s="9" t="str">
        <x:v>Reproducibility, model governance, and human verification</x:v>
      </x:c>
      <x:c r="G1917" s="9" t="str">
        <x:v>Suggested starting knowledge: Regression, statistical significance, and economic significance. It helps you produce reproducible financial analysis without data leakage or model misuse.</x:v>
      </x:c>
      <x:c r="H1917" s="9" t="str">
        <x:v>Suggested learning order; learners can still explore freely.</x:v>
      </x:c>
      <x:c r="I1917" s="9" t="str">
        <x:v>Curated curriculum relationship</x:v>
      </x:c>
    </x:row>
    <x:row r="1918" ht="58" customHeight="1">
      <x:c r="A1918" s="10" t="str">
        <x:v>E1913</x:v>
      </x:c>
      <x:c r="B1918" s="10" t="str">
        <x:v>T39.01</x:v>
      </x:c>
      <x:c r="C1918" s="10" t="str">
        <x:v>Banks</x:v>
      </x:c>
      <x:c r="D1918" s="14" t="str">
        <x:v>PART_OF</x:v>
      </x:c>
      <x:c r="E1918" s="10" t="str">
        <x:v>D39</x:v>
      </x:c>
      <x:c r="F1918" s="10" t="str">
        <x:v>Industry-specific finance</x:v>
      </x:c>
      <x:c r="G1918" s="10" t="str">
        <x:v>Curriculum membership. Use this link to move between the topic and its finance area.</x:v>
      </x:c>
      <x:c r="H1918" s="10" t="str">
        <x:v>Classification only; this edge is not a causal or calculation relationship.</x:v>
      </x:c>
      <x:c r="I1918" s="10" t="str">
        <x:v>Curated curriculum relationship</x:v>
      </x:c>
    </x:row>
    <x:row r="1919" ht="58" customHeight="1">
      <x:c r="A1919" s="9" t="str">
        <x:v>E1914</x:v>
      </x:c>
      <x:c r="B1919" s="9" t="str">
        <x:v>T39.01</x:v>
      </x:c>
      <x:c r="C1919" s="9" t="str">
        <x:v>Banks</x:v>
      </x:c>
      <x:c r="D1919" s="15" t="str">
        <x:v>EXPLORE_WITH</x:v>
      </x:c>
      <x:c r="E1919" s="9" t="str">
        <x:v>T39.02</x:v>
      </x:c>
      <x:c r="F1919" s="9" t="str">
        <x:v>NBFCs and housing finance</x:v>
      </x:c>
      <x:c r="G1919" s="9" t="str">
        <x:v>Study these together to adapt statement interpretation, operating metrics and valuation to the industry.</x:v>
      </x:c>
      <x:c r="H1919" s="9" t="str">
        <x:v>A topical exploration link, not a claim that one determines the other.</x:v>
      </x:c>
      <x:c r="I1919" s="9" t="str">
        <x:v>Curated curriculum relationship</x:v>
      </x:c>
    </x:row>
    <x:row r="1920" ht="58" customHeight="1">
      <x:c r="A1920" s="10" t="str">
        <x:v>E1915</x:v>
      </x:c>
      <x:c r="B1920" s="10" t="str">
        <x:v>T09.15</x:v>
      </x:c>
      <x:c r="C1920" s="10" t="str">
        <x:v>Peer benchmarking and industry-specific ratios</x:v>
      </x:c>
      <x:c r="D1920" s="14" t="str">
        <x:v>RECOMMENDED_BEFORE</x:v>
      </x:c>
      <x:c r="E1920" s="10" t="str">
        <x:v>T39.01</x:v>
      </x:c>
      <x:c r="F1920" s="10" t="str">
        <x:v>Banks</x:v>
      </x:c>
      <x:c r="G1920" s="10" t="str">
        <x:v>Suggested starting knowledge: Peer benchmarking and industry-specific ratios. It helps you adapt statement interpretation, operating metrics and valuation to the industry.</x:v>
      </x:c>
      <x:c r="H1920" s="10" t="str">
        <x:v>Suggested learning order; learners can still explore freely.</x:v>
      </x:c>
      <x:c r="I1920" s="10" t="str">
        <x:v>Curated curriculum relationship</x:v>
      </x:c>
    </x:row>
    <x:row r="1921" ht="58" customHeight="1">
      <x:c r="A1921" s="9" t="str">
        <x:v>E1916</x:v>
      </x:c>
      <x:c r="B1921" s="9" t="str">
        <x:v>T39.02</x:v>
      </x:c>
      <x:c r="C1921" s="9" t="str">
        <x:v>NBFCs and housing finance</x:v>
      </x:c>
      <x:c r="D1921" s="15" t="str">
        <x:v>PART_OF</x:v>
      </x:c>
      <x:c r="E1921" s="9" t="str">
        <x:v>D39</x:v>
      </x:c>
      <x:c r="F1921" s="9" t="str">
        <x:v>Industry-specific finance</x:v>
      </x:c>
      <x:c r="G1921" s="9" t="str">
        <x:v>Curriculum membership. Use this link to move between the topic and its finance area.</x:v>
      </x:c>
      <x:c r="H1921" s="9" t="str">
        <x:v>Classification only; this edge is not a causal or calculation relationship.</x:v>
      </x:c>
      <x:c r="I1921" s="9" t="str">
        <x:v>Curated curriculum relationship</x:v>
      </x:c>
    </x:row>
    <x:row r="1922" ht="58" customHeight="1">
      <x:c r="A1922" s="10" t="str">
        <x:v>E1917</x:v>
      </x:c>
      <x:c r="B1922" s="10" t="str">
        <x:v>T39.02</x:v>
      </x:c>
      <x:c r="C1922" s="10" t="str">
        <x:v>NBFCs and housing finance</x:v>
      </x:c>
      <x:c r="D1922" s="14" t="str">
        <x:v>EXPLORE_WITH</x:v>
      </x:c>
      <x:c r="E1922" s="10" t="str">
        <x:v>T39.01</x:v>
      </x:c>
      <x:c r="F1922" s="10" t="str">
        <x:v>Banks</x:v>
      </x:c>
      <x:c r="G1922" s="10" t="str">
        <x:v>Study these together to adapt statement interpretation, operating metrics and valuation to the industry.</x:v>
      </x:c>
      <x:c r="H1922" s="10" t="str">
        <x:v>A topical exploration link, not a claim that one determines the other.</x:v>
      </x:c>
      <x:c r="I1922" s="10" t="str">
        <x:v>Curated curriculum relationship</x:v>
      </x:c>
    </x:row>
    <x:row r="1923" ht="58" customHeight="1">
      <x:c r="A1923" s="9" t="str">
        <x:v>E1918</x:v>
      </x:c>
      <x:c r="B1923" s="9" t="str">
        <x:v>T09.15</x:v>
      </x:c>
      <x:c r="C1923" s="9" t="str">
        <x:v>Peer benchmarking and industry-specific ratios</x:v>
      </x:c>
      <x:c r="D1923" s="15" t="str">
        <x:v>RECOMMENDED_BEFORE</x:v>
      </x:c>
      <x:c r="E1923" s="9" t="str">
        <x:v>T39.02</x:v>
      </x:c>
      <x:c r="F1923" s="9" t="str">
        <x:v>NBFCs and housing finance</x:v>
      </x:c>
      <x:c r="G1923" s="9" t="str">
        <x:v>Suggested starting knowledge: Peer benchmarking and industry-specific ratios. It helps you adapt statement interpretation, operating metrics and valuation to the industry.</x:v>
      </x:c>
      <x:c r="H1923" s="9" t="str">
        <x:v>Suggested learning order; learners can still explore freely.</x:v>
      </x:c>
      <x:c r="I1923" s="9" t="str">
        <x:v>Curated curriculum relationship</x:v>
      </x:c>
    </x:row>
    <x:row r="1924" ht="58" customHeight="1">
      <x:c r="A1924" s="10" t="str">
        <x:v>E1919</x:v>
      </x:c>
      <x:c r="B1924" s="10" t="str">
        <x:v>T39.03</x:v>
      </x:c>
      <x:c r="C1924" s="10" t="str">
        <x:v>Insurance</x:v>
      </x:c>
      <x:c r="D1924" s="14" t="str">
        <x:v>PART_OF</x:v>
      </x:c>
      <x:c r="E1924" s="10" t="str">
        <x:v>D39</x:v>
      </x:c>
      <x:c r="F1924" s="10" t="str">
        <x:v>Industry-specific finance</x:v>
      </x:c>
      <x:c r="G1924" s="10" t="str">
        <x:v>Curriculum membership. Use this link to move between the topic and its finance area.</x:v>
      </x:c>
      <x:c r="H1924" s="10" t="str">
        <x:v>Classification only; this edge is not a causal or calculation relationship.</x:v>
      </x:c>
      <x:c r="I1924" s="10" t="str">
        <x:v>Curated curriculum relationship</x:v>
      </x:c>
    </x:row>
    <x:row r="1925" ht="58" customHeight="1">
      <x:c r="A1925" s="9" t="str">
        <x:v>E1920</x:v>
      </x:c>
      <x:c r="B1925" s="9" t="str">
        <x:v>T39.03</x:v>
      </x:c>
      <x:c r="C1925" s="9" t="str">
        <x:v>Insurance</x:v>
      </x:c>
      <x:c r="D1925" s="15" t="str">
        <x:v>EXPLORE_WITH</x:v>
      </x:c>
      <x:c r="E1925" s="9" t="str">
        <x:v>T39.04</x:v>
      </x:c>
      <x:c r="F1925" s="9" t="str">
        <x:v>Asset management and brokerage</x:v>
      </x:c>
      <x:c r="G1925" s="9" t="str">
        <x:v>Study these together to adapt statement interpretation, operating metrics and valuation to the industry.</x:v>
      </x:c>
      <x:c r="H1925" s="9" t="str">
        <x:v>A topical exploration link, not a claim that one determines the other.</x:v>
      </x:c>
      <x:c r="I1925" s="9" t="str">
        <x:v>Curated curriculum relationship</x:v>
      </x:c>
    </x:row>
    <x:row r="1926" ht="58" customHeight="1">
      <x:c r="A1926" s="10" t="str">
        <x:v>E1921</x:v>
      </x:c>
      <x:c r="B1926" s="10" t="str">
        <x:v>T09.15</x:v>
      </x:c>
      <x:c r="C1926" s="10" t="str">
        <x:v>Peer benchmarking and industry-specific ratios</x:v>
      </x:c>
      <x:c r="D1926" s="14" t="str">
        <x:v>RECOMMENDED_BEFORE</x:v>
      </x:c>
      <x:c r="E1926" s="10" t="str">
        <x:v>T39.03</x:v>
      </x:c>
      <x:c r="F1926" s="10" t="str">
        <x:v>Insurance</x:v>
      </x:c>
      <x:c r="G1926" s="10" t="str">
        <x:v>Suggested starting knowledge: Peer benchmarking and industry-specific ratios. It helps you adapt statement interpretation, operating metrics and valuation to the industry.</x:v>
      </x:c>
      <x:c r="H1926" s="10" t="str">
        <x:v>Suggested learning order; learners can still explore freely.</x:v>
      </x:c>
      <x:c r="I1926" s="10" t="str">
        <x:v>Curated curriculum relationship</x:v>
      </x:c>
    </x:row>
    <x:row r="1927" ht="58" customHeight="1">
      <x:c r="A1927" s="9" t="str">
        <x:v>E1922</x:v>
      </x:c>
      <x:c r="B1927" s="9" t="str">
        <x:v>T39.04</x:v>
      </x:c>
      <x:c r="C1927" s="9" t="str">
        <x:v>Asset management and brokerage</x:v>
      </x:c>
      <x:c r="D1927" s="15" t="str">
        <x:v>PART_OF</x:v>
      </x:c>
      <x:c r="E1927" s="9" t="str">
        <x:v>D39</x:v>
      </x:c>
      <x:c r="F1927" s="9" t="str">
        <x:v>Industry-specific finance</x:v>
      </x:c>
      <x:c r="G1927" s="9" t="str">
        <x:v>Curriculum membership. Use this link to move between the topic and its finance area.</x:v>
      </x:c>
      <x:c r="H1927" s="9" t="str">
        <x:v>Classification only; this edge is not a causal or calculation relationship.</x:v>
      </x:c>
      <x:c r="I1927" s="9" t="str">
        <x:v>Curated curriculum relationship</x:v>
      </x:c>
    </x:row>
    <x:row r="1928" ht="58" customHeight="1">
      <x:c r="A1928" s="10" t="str">
        <x:v>E1923</x:v>
      </x:c>
      <x:c r="B1928" s="10" t="str">
        <x:v>T39.04</x:v>
      </x:c>
      <x:c r="C1928" s="10" t="str">
        <x:v>Asset management and brokerage</x:v>
      </x:c>
      <x:c r="D1928" s="14" t="str">
        <x:v>EXPLORE_WITH</x:v>
      </x:c>
      <x:c r="E1928" s="10" t="str">
        <x:v>T39.05</x:v>
      </x:c>
      <x:c r="F1928" s="10" t="str">
        <x:v>Financial exchanges and market infrastructure</x:v>
      </x:c>
      <x:c r="G1928" s="10" t="str">
        <x:v>Study these together to adapt statement interpretation, operating metrics and valuation to the industry.</x:v>
      </x:c>
      <x:c r="H1928" s="10" t="str">
        <x:v>A topical exploration link, not a claim that one determines the other.</x:v>
      </x:c>
      <x:c r="I1928" s="10" t="str">
        <x:v>Curated curriculum relationship</x:v>
      </x:c>
    </x:row>
    <x:row r="1929" ht="58" customHeight="1">
      <x:c r="A1929" s="9" t="str">
        <x:v>E1924</x:v>
      </x:c>
      <x:c r="B1929" s="9" t="str">
        <x:v>T09.15</x:v>
      </x:c>
      <x:c r="C1929" s="9" t="str">
        <x:v>Peer benchmarking and industry-specific ratios</x:v>
      </x:c>
      <x:c r="D1929" s="15" t="str">
        <x:v>RECOMMENDED_BEFORE</x:v>
      </x:c>
      <x:c r="E1929" s="9" t="str">
        <x:v>T39.04</x:v>
      </x:c>
      <x:c r="F1929" s="9" t="str">
        <x:v>Asset management and brokerage</x:v>
      </x:c>
      <x:c r="G1929" s="9" t="str">
        <x:v>Suggested starting knowledge: Peer benchmarking and industry-specific ratios. It helps you adapt statement interpretation, operating metrics and valuation to the industry.</x:v>
      </x:c>
      <x:c r="H1929" s="9" t="str">
        <x:v>Suggested learning order; learners can still explore freely.</x:v>
      </x:c>
      <x:c r="I1929" s="9" t="str">
        <x:v>Curated curriculum relationship</x:v>
      </x:c>
    </x:row>
    <x:row r="1930" ht="58" customHeight="1">
      <x:c r="A1930" s="10" t="str">
        <x:v>E1925</x:v>
      </x:c>
      <x:c r="B1930" s="10" t="str">
        <x:v>T39.05</x:v>
      </x:c>
      <x:c r="C1930" s="10" t="str">
        <x:v>Financial exchanges and market infrastructure</x:v>
      </x:c>
      <x:c r="D1930" s="14" t="str">
        <x:v>PART_OF</x:v>
      </x:c>
      <x:c r="E1930" s="10" t="str">
        <x:v>D39</x:v>
      </x:c>
      <x:c r="F1930" s="10" t="str">
        <x:v>Industry-specific finance</x:v>
      </x:c>
      <x:c r="G1930" s="10" t="str">
        <x:v>Curriculum membership. Use this link to move between the topic and its finance area.</x:v>
      </x:c>
      <x:c r="H1930" s="10" t="str">
        <x:v>Classification only; this edge is not a causal or calculation relationship.</x:v>
      </x:c>
      <x:c r="I1930" s="10" t="str">
        <x:v>Curated curriculum relationship</x:v>
      </x:c>
    </x:row>
    <x:row r="1931" ht="58" customHeight="1">
      <x:c r="A1931" s="9" t="str">
        <x:v>E1926</x:v>
      </x:c>
      <x:c r="B1931" s="9" t="str">
        <x:v>T39.05</x:v>
      </x:c>
      <x:c r="C1931" s="9" t="str">
        <x:v>Financial exchanges and market infrastructure</x:v>
      </x:c>
      <x:c r="D1931" s="15" t="str">
        <x:v>EXPLORE_WITH</x:v>
      </x:c>
      <x:c r="E1931" s="9" t="str">
        <x:v>T39.04</x:v>
      </x:c>
      <x:c r="F1931" s="9" t="str">
        <x:v>Asset management and brokerage</x:v>
      </x:c>
      <x:c r="G1931" s="9" t="str">
        <x:v>Study these together to adapt statement interpretation, operating metrics and valuation to the industry.</x:v>
      </x:c>
      <x:c r="H1931" s="9" t="str">
        <x:v>A topical exploration link, not a claim that one determines the other.</x:v>
      </x:c>
      <x:c r="I1931" s="9" t="str">
        <x:v>Curated curriculum relationship</x:v>
      </x:c>
    </x:row>
    <x:row r="1932" ht="58" customHeight="1">
      <x:c r="A1932" s="10" t="str">
        <x:v>E1927</x:v>
      </x:c>
      <x:c r="B1932" s="10" t="str">
        <x:v>T09.15</x:v>
      </x:c>
      <x:c r="C1932" s="10" t="str">
        <x:v>Peer benchmarking and industry-specific ratios</x:v>
      </x:c>
      <x:c r="D1932" s="14" t="str">
        <x:v>RECOMMENDED_BEFORE</x:v>
      </x:c>
      <x:c r="E1932" s="10" t="str">
        <x:v>T39.05</x:v>
      </x:c>
      <x:c r="F1932" s="10" t="str">
        <x:v>Financial exchanges and market infrastructure</x:v>
      </x:c>
      <x:c r="G1932" s="10" t="str">
        <x:v>Suggested starting knowledge: Peer benchmarking and industry-specific ratios. It helps you adapt statement interpretation, operating metrics and valuation to the industry.</x:v>
      </x:c>
      <x:c r="H1932" s="10" t="str">
        <x:v>Suggested learning order; learners can still explore freely.</x:v>
      </x:c>
      <x:c r="I1932" s="10" t="str">
        <x:v>Curated curriculum relationship</x:v>
      </x:c>
    </x:row>
    <x:row r="1933" ht="58" customHeight="1">
      <x:c r="A1933" s="9" t="str">
        <x:v>E1928</x:v>
      </x:c>
      <x:c r="B1933" s="9" t="str">
        <x:v>T39.06</x:v>
      </x:c>
      <x:c r="C1933" s="9" t="str">
        <x:v>Software, SaaS, and IT services</x:v>
      </x:c>
      <x:c r="D1933" s="15" t="str">
        <x:v>PART_OF</x:v>
      </x:c>
      <x:c r="E1933" s="9" t="str">
        <x:v>D39</x:v>
      </x:c>
      <x:c r="F1933" s="9" t="str">
        <x:v>Industry-specific finance</x:v>
      </x:c>
      <x:c r="G1933" s="9" t="str">
        <x:v>Curriculum membership. Use this link to move between the topic and its finance area.</x:v>
      </x:c>
      <x:c r="H1933" s="9" t="str">
        <x:v>Classification only; this edge is not a causal or calculation relationship.</x:v>
      </x:c>
      <x:c r="I1933" s="9" t="str">
        <x:v>Curated curriculum relationship</x:v>
      </x:c>
    </x:row>
    <x:row r="1934" ht="58" customHeight="1">
      <x:c r="A1934" s="10" t="str">
        <x:v>E1929</x:v>
      </x:c>
      <x:c r="B1934" s="10" t="str">
        <x:v>T39.06</x:v>
      </x:c>
      <x:c r="C1934" s="10" t="str">
        <x:v>Software, SaaS, and IT services</x:v>
      </x:c>
      <x:c r="D1934" s="14" t="str">
        <x:v>EXPLORE_WITH</x:v>
      </x:c>
      <x:c r="E1934" s="10" t="str">
        <x:v>T39.07</x:v>
      </x:c>
      <x:c r="F1934" s="10" t="str">
        <x:v>E-commerce and marketplaces</x:v>
      </x:c>
      <x:c r="G1934" s="10" t="str">
        <x:v>Study these together to adapt statement interpretation, operating metrics and valuation to the industry.</x:v>
      </x:c>
      <x:c r="H1934" s="10" t="str">
        <x:v>A topical exploration link, not a claim that one determines the other.</x:v>
      </x:c>
      <x:c r="I1934" s="10" t="str">
        <x:v>Curated curriculum relationship</x:v>
      </x:c>
    </x:row>
    <x:row r="1935" ht="58" customHeight="1">
      <x:c r="A1935" s="9" t="str">
        <x:v>E1930</x:v>
      </x:c>
      <x:c r="B1935" s="9" t="str">
        <x:v>T09.15</x:v>
      </x:c>
      <x:c r="C1935" s="9" t="str">
        <x:v>Peer benchmarking and industry-specific ratios</x:v>
      </x:c>
      <x:c r="D1935" s="15" t="str">
        <x:v>RECOMMENDED_BEFORE</x:v>
      </x:c>
      <x:c r="E1935" s="9" t="str">
        <x:v>T39.06</x:v>
      </x:c>
      <x:c r="F1935" s="9" t="str">
        <x:v>Software, SaaS, and IT services</x:v>
      </x:c>
      <x:c r="G1935" s="9" t="str">
        <x:v>Suggested starting knowledge: Peer benchmarking and industry-specific ratios. It helps you adapt statement interpretation, operating metrics and valuation to the industry.</x:v>
      </x:c>
      <x:c r="H1935" s="9" t="str">
        <x:v>Suggested learning order; learners can still explore freely.</x:v>
      </x:c>
      <x:c r="I1935" s="9" t="str">
        <x:v>Curated curriculum relationship</x:v>
      </x:c>
    </x:row>
    <x:row r="1936" ht="58" customHeight="1">
      <x:c r="A1936" s="10" t="str">
        <x:v>E1931</x:v>
      </x:c>
      <x:c r="B1936" s="10" t="str">
        <x:v>T39.07</x:v>
      </x:c>
      <x:c r="C1936" s="10" t="str">
        <x:v>E-commerce and marketplaces</x:v>
      </x:c>
      <x:c r="D1936" s="14" t="str">
        <x:v>PART_OF</x:v>
      </x:c>
      <x:c r="E1936" s="10" t="str">
        <x:v>D39</x:v>
      </x:c>
      <x:c r="F1936" s="10" t="str">
        <x:v>Industry-specific finance</x:v>
      </x:c>
      <x:c r="G1936" s="10" t="str">
        <x:v>Curriculum membership. Use this link to move between the topic and its finance area.</x:v>
      </x:c>
      <x:c r="H1936" s="10" t="str">
        <x:v>Classification only; this edge is not a causal or calculation relationship.</x:v>
      </x:c>
      <x:c r="I1936" s="10" t="str">
        <x:v>Curated curriculum relationship</x:v>
      </x:c>
    </x:row>
    <x:row r="1937" ht="58" customHeight="1">
      <x:c r="A1937" s="9" t="str">
        <x:v>E1932</x:v>
      </x:c>
      <x:c r="B1937" s="9" t="str">
        <x:v>T39.07</x:v>
      </x:c>
      <x:c r="C1937" s="9" t="str">
        <x:v>E-commerce and marketplaces</x:v>
      </x:c>
      <x:c r="D1937" s="15" t="str">
        <x:v>EXPLORE_WITH</x:v>
      </x:c>
      <x:c r="E1937" s="9" t="str">
        <x:v>T39.06</x:v>
      </x:c>
      <x:c r="F1937" s="9" t="str">
        <x:v>Software, SaaS, and IT services</x:v>
      </x:c>
      <x:c r="G1937" s="9" t="str">
        <x:v>Study these together to adapt statement interpretation, operating metrics and valuation to the industry.</x:v>
      </x:c>
      <x:c r="H1937" s="9" t="str">
        <x:v>A topical exploration link, not a claim that one determines the other.</x:v>
      </x:c>
      <x:c r="I1937" s="9" t="str">
        <x:v>Curated curriculum relationship</x:v>
      </x:c>
    </x:row>
    <x:row r="1938" ht="58" customHeight="1">
      <x:c r="A1938" s="10" t="str">
        <x:v>E1933</x:v>
      </x:c>
      <x:c r="B1938" s="10" t="str">
        <x:v>T09.15</x:v>
      </x:c>
      <x:c r="C1938" s="10" t="str">
        <x:v>Peer benchmarking and industry-specific ratios</x:v>
      </x:c>
      <x:c r="D1938" s="14" t="str">
        <x:v>RECOMMENDED_BEFORE</x:v>
      </x:c>
      <x:c r="E1938" s="10" t="str">
        <x:v>T39.07</x:v>
      </x:c>
      <x:c r="F1938" s="10" t="str">
        <x:v>E-commerce and marketplaces</x:v>
      </x:c>
      <x:c r="G1938" s="10" t="str">
        <x:v>Suggested starting knowledge: Peer benchmarking and industry-specific ratios. It helps you adapt statement interpretation, operating metrics and valuation to the industry.</x:v>
      </x:c>
      <x:c r="H1938" s="10" t="str">
        <x:v>Suggested learning order; learners can still explore freely.</x:v>
      </x:c>
      <x:c r="I1938" s="10" t="str">
        <x:v>Curated curriculum relationship</x:v>
      </x:c>
    </x:row>
    <x:row r="1939" ht="58" customHeight="1">
      <x:c r="A1939" s="9" t="str">
        <x:v>E1934</x:v>
      </x:c>
      <x:c r="B1939" s="9" t="str">
        <x:v>T39.08</x:v>
      </x:c>
      <x:c r="C1939" s="9" t="str">
        <x:v>Consumer goods and retail</x:v>
      </x:c>
      <x:c r="D1939" s="15" t="str">
        <x:v>PART_OF</x:v>
      </x:c>
      <x:c r="E1939" s="9" t="str">
        <x:v>D39</x:v>
      </x:c>
      <x:c r="F1939" s="9" t="str">
        <x:v>Industry-specific finance</x:v>
      </x:c>
      <x:c r="G1939" s="9" t="str">
        <x:v>Curriculum membership. Use this link to move between the topic and its finance area.</x:v>
      </x:c>
      <x:c r="H1939" s="9" t="str">
        <x:v>Classification only; this edge is not a causal or calculation relationship.</x:v>
      </x:c>
      <x:c r="I1939" s="9" t="str">
        <x:v>Curated curriculum relationship</x:v>
      </x:c>
    </x:row>
    <x:row r="1940" ht="58" customHeight="1">
      <x:c r="A1940" s="10" t="str">
        <x:v>E1935</x:v>
      </x:c>
      <x:c r="B1940" s="10" t="str">
        <x:v>T39.08</x:v>
      </x:c>
      <x:c r="C1940" s="10" t="str">
        <x:v>Consumer goods and retail</x:v>
      </x:c>
      <x:c r="D1940" s="14" t="str">
        <x:v>EXPLORE_WITH</x:v>
      </x:c>
      <x:c r="E1940" s="10" t="str">
        <x:v>T39.10</x:v>
      </x:c>
      <x:c r="F1940" s="10" t="str">
        <x:v>Manufacturing and capital goods</x:v>
      </x:c>
      <x:c r="G1940" s="10" t="str">
        <x:v>Study these together to adapt statement interpretation, operating metrics and valuation to the industry.</x:v>
      </x:c>
      <x:c r="H1940" s="10" t="str">
        <x:v>A topical exploration link, not a claim that one determines the other.</x:v>
      </x:c>
      <x:c r="I1940" s="10" t="str">
        <x:v>Curated curriculum relationship</x:v>
      </x:c>
    </x:row>
    <x:row r="1941" ht="58" customHeight="1">
      <x:c r="A1941" s="9" t="str">
        <x:v>E1936</x:v>
      </x:c>
      <x:c r="B1941" s="9" t="str">
        <x:v>T09.15</x:v>
      </x:c>
      <x:c r="C1941" s="9" t="str">
        <x:v>Peer benchmarking and industry-specific ratios</x:v>
      </x:c>
      <x:c r="D1941" s="15" t="str">
        <x:v>RECOMMENDED_BEFORE</x:v>
      </x:c>
      <x:c r="E1941" s="9" t="str">
        <x:v>T39.08</x:v>
      </x:c>
      <x:c r="F1941" s="9" t="str">
        <x:v>Consumer goods and retail</x:v>
      </x:c>
      <x:c r="G1941" s="9" t="str">
        <x:v>Suggested starting knowledge: Peer benchmarking and industry-specific ratios. It helps you adapt statement interpretation, operating metrics and valuation to the industry.</x:v>
      </x:c>
      <x:c r="H1941" s="9" t="str">
        <x:v>Suggested learning order; learners can still explore freely.</x:v>
      </x:c>
      <x:c r="I1941" s="9" t="str">
        <x:v>Curated curriculum relationship</x:v>
      </x:c>
    </x:row>
    <x:row r="1942" ht="58" customHeight="1">
      <x:c r="A1942" s="10" t="str">
        <x:v>E1937</x:v>
      </x:c>
      <x:c r="B1942" s="10" t="str">
        <x:v>T39.09</x:v>
      </x:c>
      <x:c r="C1942" s="10" t="str">
        <x:v>Automotive and electric vehicles</x:v>
      </x:c>
      <x:c r="D1942" s="14" t="str">
        <x:v>PART_OF</x:v>
      </x:c>
      <x:c r="E1942" s="10" t="str">
        <x:v>D39</x:v>
      </x:c>
      <x:c r="F1942" s="10" t="str">
        <x:v>Industry-specific finance</x:v>
      </x:c>
      <x:c r="G1942" s="10" t="str">
        <x:v>Curriculum membership. Use this link to move between the topic and its finance area.</x:v>
      </x:c>
      <x:c r="H1942" s="10" t="str">
        <x:v>Classification only; this edge is not a causal or calculation relationship.</x:v>
      </x:c>
      <x:c r="I1942" s="10" t="str">
        <x:v>Curated curriculum relationship</x:v>
      </x:c>
    </x:row>
    <x:row r="1943" ht="58" customHeight="1">
      <x:c r="A1943" s="9" t="str">
        <x:v>E1938</x:v>
      </x:c>
      <x:c r="B1943" s="9" t="str">
        <x:v>T39.09</x:v>
      </x:c>
      <x:c r="C1943" s="9" t="str">
        <x:v>Automotive and electric vehicles</x:v>
      </x:c>
      <x:c r="D1943" s="15" t="str">
        <x:v>EXPLORE_WITH</x:v>
      </x:c>
      <x:c r="E1943" s="9" t="str">
        <x:v>T39.10</x:v>
      </x:c>
      <x:c r="F1943" s="9" t="str">
        <x:v>Manufacturing and capital goods</x:v>
      </x:c>
      <x:c r="G1943" s="9" t="str">
        <x:v>Study these together to adapt statement interpretation, operating metrics and valuation to the industry.</x:v>
      </x:c>
      <x:c r="H1943" s="9" t="str">
        <x:v>A topical exploration link, not a claim that one determines the other.</x:v>
      </x:c>
      <x:c r="I1943" s="9" t="str">
        <x:v>Curated curriculum relationship</x:v>
      </x:c>
    </x:row>
    <x:row r="1944" ht="58" customHeight="1">
      <x:c r="A1944" s="10" t="str">
        <x:v>E1939</x:v>
      </x:c>
      <x:c r="B1944" s="10" t="str">
        <x:v>T09.15</x:v>
      </x:c>
      <x:c r="C1944" s="10" t="str">
        <x:v>Peer benchmarking and industry-specific ratios</x:v>
      </x:c>
      <x:c r="D1944" s="14" t="str">
        <x:v>RECOMMENDED_BEFORE</x:v>
      </x:c>
      <x:c r="E1944" s="10" t="str">
        <x:v>T39.09</x:v>
      </x:c>
      <x:c r="F1944" s="10" t="str">
        <x:v>Automotive and electric vehicles</x:v>
      </x:c>
      <x:c r="G1944" s="10" t="str">
        <x:v>Suggested starting knowledge: Peer benchmarking and industry-specific ratios. It helps you adapt statement interpretation, operating metrics and valuation to the industry.</x:v>
      </x:c>
      <x:c r="H1944" s="10" t="str">
        <x:v>Suggested learning order; learners can still explore freely.</x:v>
      </x:c>
      <x:c r="I1944" s="10" t="str">
        <x:v>Curated curriculum relationship</x:v>
      </x:c>
    </x:row>
    <x:row r="1945" ht="58" customHeight="1">
      <x:c r="A1945" s="9" t="str">
        <x:v>E1940</x:v>
      </x:c>
      <x:c r="B1945" s="9" t="str">
        <x:v>T39.10</x:v>
      </x:c>
      <x:c r="C1945" s="9" t="str">
        <x:v>Manufacturing and capital goods</x:v>
      </x:c>
      <x:c r="D1945" s="15" t="str">
        <x:v>PART_OF</x:v>
      </x:c>
      <x:c r="E1945" s="9" t="str">
        <x:v>D39</x:v>
      </x:c>
      <x:c r="F1945" s="9" t="str">
        <x:v>Industry-specific finance</x:v>
      </x:c>
      <x:c r="G1945" s="9" t="str">
        <x:v>Curriculum membership. Use this link to move between the topic and its finance area.</x:v>
      </x:c>
      <x:c r="H1945" s="9" t="str">
        <x:v>Classification only; this edge is not a causal or calculation relationship.</x:v>
      </x:c>
      <x:c r="I1945" s="9" t="str">
        <x:v>Curated curriculum relationship</x:v>
      </x:c>
    </x:row>
    <x:row r="1946" ht="58" customHeight="1">
      <x:c r="A1946" s="10" t="str">
        <x:v>E1941</x:v>
      </x:c>
      <x:c r="B1946" s="10" t="str">
        <x:v>T39.10</x:v>
      </x:c>
      <x:c r="C1946" s="10" t="str">
        <x:v>Manufacturing and capital goods</x:v>
      </x:c>
      <x:c r="D1946" s="14" t="str">
        <x:v>EXPLORE_WITH</x:v>
      </x:c>
      <x:c r="E1946" s="10" t="str">
        <x:v>T39.08</x:v>
      </x:c>
      <x:c r="F1946" s="10" t="str">
        <x:v>Consumer goods and retail</x:v>
      </x:c>
      <x:c r="G1946" s="10" t="str">
        <x:v>Study these together to adapt statement interpretation, operating metrics and valuation to the industry.</x:v>
      </x:c>
      <x:c r="H1946" s="10" t="str">
        <x:v>A topical exploration link, not a claim that one determines the other.</x:v>
      </x:c>
      <x:c r="I1946" s="10" t="str">
        <x:v>Curated curriculum relationship</x:v>
      </x:c>
    </x:row>
    <x:row r="1947" ht="58" customHeight="1">
      <x:c r="A1947" s="9" t="str">
        <x:v>E1942</x:v>
      </x:c>
      <x:c r="B1947" s="9" t="str">
        <x:v>T09.15</x:v>
      </x:c>
      <x:c r="C1947" s="9" t="str">
        <x:v>Peer benchmarking and industry-specific ratios</x:v>
      </x:c>
      <x:c r="D1947" s="15" t="str">
        <x:v>RECOMMENDED_BEFORE</x:v>
      </x:c>
      <x:c r="E1947" s="9" t="str">
        <x:v>T39.10</x:v>
      </x:c>
      <x:c r="F1947" s="9" t="str">
        <x:v>Manufacturing and capital goods</x:v>
      </x:c>
      <x:c r="G1947" s="9" t="str">
        <x:v>Suggested starting knowledge: Peer benchmarking and industry-specific ratios. It helps you adapt statement interpretation, operating metrics and valuation to the industry.</x:v>
      </x:c>
      <x:c r="H1947" s="9" t="str">
        <x:v>Suggested learning order; learners can still explore freely.</x:v>
      </x:c>
      <x:c r="I1947" s="9" t="str">
        <x:v>Curated curriculum relationship</x:v>
      </x:c>
    </x:row>
    <x:row r="1948" ht="58" customHeight="1">
      <x:c r="A1948" s="10" t="str">
        <x:v>E1943</x:v>
      </x:c>
      <x:c r="B1948" s="10" t="str">
        <x:v>T39.11</x:v>
      </x:c>
      <x:c r="C1948" s="10" t="str">
        <x:v>Metals, mining, and commodities</x:v>
      </x:c>
      <x:c r="D1948" s="14" t="str">
        <x:v>PART_OF</x:v>
      </x:c>
      <x:c r="E1948" s="10" t="str">
        <x:v>D39</x:v>
      </x:c>
      <x:c r="F1948" s="10" t="str">
        <x:v>Industry-specific finance</x:v>
      </x:c>
      <x:c r="G1948" s="10" t="str">
        <x:v>Curriculum membership. Use this link to move between the topic and its finance area.</x:v>
      </x:c>
      <x:c r="H1948" s="10" t="str">
        <x:v>Classification only; this edge is not a causal or calculation relationship.</x:v>
      </x:c>
      <x:c r="I1948" s="10" t="str">
        <x:v>Curated curriculum relationship</x:v>
      </x:c>
    </x:row>
    <x:row r="1949" ht="58" customHeight="1">
      <x:c r="A1949" s="9" t="str">
        <x:v>E1944</x:v>
      </x:c>
      <x:c r="B1949" s="9" t="str">
        <x:v>T39.11</x:v>
      </x:c>
      <x:c r="C1949" s="9" t="str">
        <x:v>Metals, mining, and commodities</x:v>
      </x:c>
      <x:c r="D1949" s="15" t="str">
        <x:v>EXPLORE_WITH</x:v>
      </x:c>
      <x:c r="E1949" s="9" t="str">
        <x:v>T39.12</x:v>
      </x:c>
      <x:c r="F1949" s="9" t="str">
        <x:v>Oil, gas, and petrochemicals</x:v>
      </x:c>
      <x:c r="G1949" s="9" t="str">
        <x:v>Study these together to adapt statement interpretation, operating metrics and valuation to the industry.</x:v>
      </x:c>
      <x:c r="H1949" s="9" t="str">
        <x:v>A topical exploration link, not a claim that one determines the other.</x:v>
      </x:c>
      <x:c r="I1949" s="9" t="str">
        <x:v>Curated curriculum relationship</x:v>
      </x:c>
    </x:row>
    <x:row r="1950" ht="58" customHeight="1">
      <x:c r="A1950" s="10" t="str">
        <x:v>E1945</x:v>
      </x:c>
      <x:c r="B1950" s="10" t="str">
        <x:v>T09.15</x:v>
      </x:c>
      <x:c r="C1950" s="10" t="str">
        <x:v>Peer benchmarking and industry-specific ratios</x:v>
      </x:c>
      <x:c r="D1950" s="14" t="str">
        <x:v>RECOMMENDED_BEFORE</x:v>
      </x:c>
      <x:c r="E1950" s="10" t="str">
        <x:v>T39.11</x:v>
      </x:c>
      <x:c r="F1950" s="10" t="str">
        <x:v>Metals, mining, and commodities</x:v>
      </x:c>
      <x:c r="G1950" s="10" t="str">
        <x:v>Suggested starting knowledge: Peer benchmarking and industry-specific ratios. It helps you adapt statement interpretation, operating metrics and valuation to the industry.</x:v>
      </x:c>
      <x:c r="H1950" s="10" t="str">
        <x:v>Suggested learning order; learners can still explore freely.</x:v>
      </x:c>
      <x:c r="I1950" s="10" t="str">
        <x:v>Curated curriculum relationship</x:v>
      </x:c>
    </x:row>
    <x:row r="1951" ht="58" customHeight="1">
      <x:c r="A1951" s="9" t="str">
        <x:v>E1946</x:v>
      </x:c>
      <x:c r="B1951" s="9" t="str">
        <x:v>T39.12</x:v>
      </x:c>
      <x:c r="C1951" s="9" t="str">
        <x:v>Oil, gas, and petrochemicals</x:v>
      </x:c>
      <x:c r="D1951" s="15" t="str">
        <x:v>PART_OF</x:v>
      </x:c>
      <x:c r="E1951" s="9" t="str">
        <x:v>D39</x:v>
      </x:c>
      <x:c r="F1951" s="9" t="str">
        <x:v>Industry-specific finance</x:v>
      </x:c>
      <x:c r="G1951" s="9" t="str">
        <x:v>Curriculum membership. Use this link to move between the topic and its finance area.</x:v>
      </x:c>
      <x:c r="H1951" s="9" t="str">
        <x:v>Classification only; this edge is not a causal or calculation relationship.</x:v>
      </x:c>
      <x:c r="I1951" s="9" t="str">
        <x:v>Curated curriculum relationship</x:v>
      </x:c>
    </x:row>
    <x:row r="1952" ht="58" customHeight="1">
      <x:c r="A1952" s="10" t="str">
        <x:v>E1947</x:v>
      </x:c>
      <x:c r="B1952" s="10" t="str">
        <x:v>T39.12</x:v>
      </x:c>
      <x:c r="C1952" s="10" t="str">
        <x:v>Oil, gas, and petrochemicals</x:v>
      </x:c>
      <x:c r="D1952" s="14" t="str">
        <x:v>EXPLORE_WITH</x:v>
      </x:c>
      <x:c r="E1952" s="10" t="str">
        <x:v>T39.11</x:v>
      </x:c>
      <x:c r="F1952" s="10" t="str">
        <x:v>Metals, mining, and commodities</x:v>
      </x:c>
      <x:c r="G1952" s="10" t="str">
        <x:v>Study these together to adapt statement interpretation, operating metrics and valuation to the industry.</x:v>
      </x:c>
      <x:c r="H1952" s="10" t="str">
        <x:v>A topical exploration link, not a claim that one determines the other.</x:v>
      </x:c>
      <x:c r="I1952" s="10" t="str">
        <x:v>Curated curriculum relationship</x:v>
      </x:c>
    </x:row>
    <x:row r="1953" ht="58" customHeight="1">
      <x:c r="A1953" s="9" t="str">
        <x:v>E1948</x:v>
      </x:c>
      <x:c r="B1953" s="9" t="str">
        <x:v>T09.15</x:v>
      </x:c>
      <x:c r="C1953" s="9" t="str">
        <x:v>Peer benchmarking and industry-specific ratios</x:v>
      </x:c>
      <x:c r="D1953" s="15" t="str">
        <x:v>RECOMMENDED_BEFORE</x:v>
      </x:c>
      <x:c r="E1953" s="9" t="str">
        <x:v>T39.12</x:v>
      </x:c>
      <x:c r="F1953" s="9" t="str">
        <x:v>Oil, gas, and petrochemicals</x:v>
      </x:c>
      <x:c r="G1953" s="9" t="str">
        <x:v>Suggested starting knowledge: Peer benchmarking and industry-specific ratios. It helps you adapt statement interpretation, operating metrics and valuation to the industry.</x:v>
      </x:c>
      <x:c r="H1953" s="9" t="str">
        <x:v>Suggested learning order; learners can still explore freely.</x:v>
      </x:c>
      <x:c r="I1953" s="9" t="str">
        <x:v>Curated curriculum relationship</x:v>
      </x:c>
    </x:row>
    <x:row r="1954" ht="58" customHeight="1">
      <x:c r="A1954" s="10" t="str">
        <x:v>E1949</x:v>
      </x:c>
      <x:c r="B1954" s="10" t="str">
        <x:v>T39.13</x:v>
      </x:c>
      <x:c r="C1954" s="10" t="str">
        <x:v>Power, utilities, and renewable energy</x:v>
      </x:c>
      <x:c r="D1954" s="14" t="str">
        <x:v>PART_OF</x:v>
      </x:c>
      <x:c r="E1954" s="10" t="str">
        <x:v>D39</x:v>
      </x:c>
      <x:c r="F1954" s="10" t="str">
        <x:v>Industry-specific finance</x:v>
      </x:c>
      <x:c r="G1954" s="10" t="str">
        <x:v>Curriculum membership. Use this link to move between the topic and its finance area.</x:v>
      </x:c>
      <x:c r="H1954" s="10" t="str">
        <x:v>Classification only; this edge is not a causal or calculation relationship.</x:v>
      </x:c>
      <x:c r="I1954" s="10" t="str">
        <x:v>Curated curriculum relationship</x:v>
      </x:c>
    </x:row>
    <x:row r="1955" ht="58" customHeight="1">
      <x:c r="A1955" s="9" t="str">
        <x:v>E1950</x:v>
      </x:c>
      <x:c r="B1955" s="9" t="str">
        <x:v>T39.13</x:v>
      </x:c>
      <x:c r="C1955" s="9" t="str">
        <x:v>Power, utilities, and renewable energy</x:v>
      </x:c>
      <x:c r="D1955" s="15" t="str">
        <x:v>EXPLORE_WITH</x:v>
      </x:c>
      <x:c r="E1955" s="9" t="str">
        <x:v>T39.18</x:v>
      </x:c>
      <x:c r="F1955" s="9" t="str">
        <x:v>Hotels, travel, and restaurants</x:v>
      </x:c>
      <x:c r="G1955" s="9" t="str">
        <x:v>Study these together to adapt statement interpretation, operating metrics and valuation to the industry.</x:v>
      </x:c>
      <x:c r="H1955" s="9" t="str">
        <x:v>A topical exploration link, not a claim that one determines the other.</x:v>
      </x:c>
      <x:c r="I1955" s="9" t="str">
        <x:v>Curated curriculum relationship</x:v>
      </x:c>
    </x:row>
    <x:row r="1956" ht="58" customHeight="1">
      <x:c r="A1956" s="10" t="str">
        <x:v>E1951</x:v>
      </x:c>
      <x:c r="B1956" s="10" t="str">
        <x:v>T09.15</x:v>
      </x:c>
      <x:c r="C1956" s="10" t="str">
        <x:v>Peer benchmarking and industry-specific ratios</x:v>
      </x:c>
      <x:c r="D1956" s="14" t="str">
        <x:v>RECOMMENDED_BEFORE</x:v>
      </x:c>
      <x:c r="E1956" s="10" t="str">
        <x:v>T39.13</x:v>
      </x:c>
      <x:c r="F1956" s="10" t="str">
        <x:v>Power, utilities, and renewable energy</x:v>
      </x:c>
      <x:c r="G1956" s="10" t="str">
        <x:v>Suggested starting knowledge: Peer benchmarking and industry-specific ratios. It helps you adapt statement interpretation, operating metrics and valuation to the industry.</x:v>
      </x:c>
      <x:c r="H1956" s="10" t="str">
        <x:v>Suggested learning order; learners can still explore freely.</x:v>
      </x:c>
      <x:c r="I1956" s="10" t="str">
        <x:v>Curated curriculum relationship</x:v>
      </x:c>
    </x:row>
    <x:row r="1957" ht="58" customHeight="1">
      <x:c r="A1957" s="9" t="str">
        <x:v>E1952</x:v>
      </x:c>
      <x:c r="B1957" s="9" t="str">
        <x:v>T39.14</x:v>
      </x:c>
      <x:c r="C1957" s="9" t="str">
        <x:v>Telecom and digital infrastructure</x:v>
      </x:c>
      <x:c r="D1957" s="15" t="str">
        <x:v>PART_OF</x:v>
      </x:c>
      <x:c r="E1957" s="9" t="str">
        <x:v>D39</x:v>
      </x:c>
      <x:c r="F1957" s="9" t="str">
        <x:v>Industry-specific finance</x:v>
      </x:c>
      <x:c r="G1957" s="9" t="str">
        <x:v>Curriculum membership. Use this link to move between the topic and its finance area.</x:v>
      </x:c>
      <x:c r="H1957" s="9" t="str">
        <x:v>Classification only; this edge is not a causal or calculation relationship.</x:v>
      </x:c>
      <x:c r="I1957" s="9" t="str">
        <x:v>Curated curriculum relationship</x:v>
      </x:c>
    </x:row>
    <x:row r="1958" ht="58" customHeight="1">
      <x:c r="A1958" s="10" t="str">
        <x:v>E1953</x:v>
      </x:c>
      <x:c r="B1958" s="10" t="str">
        <x:v>T39.14</x:v>
      </x:c>
      <x:c r="C1958" s="10" t="str">
        <x:v>Telecom and digital infrastructure</x:v>
      </x:c>
      <x:c r="D1958" s="14" t="str">
        <x:v>EXPLORE_WITH</x:v>
      </x:c>
      <x:c r="E1958" s="10" t="str">
        <x:v>T39.13</x:v>
      </x:c>
      <x:c r="F1958" s="10" t="str">
        <x:v>Power, utilities, and renewable energy</x:v>
      </x:c>
      <x:c r="G1958" s="10" t="str">
        <x:v>Study these together to adapt statement interpretation, operating metrics and valuation to the industry.</x:v>
      </x:c>
      <x:c r="H1958" s="10" t="str">
        <x:v>A topical exploration link, not a claim that one determines the other.</x:v>
      </x:c>
      <x:c r="I1958" s="10" t="str">
        <x:v>Curated curriculum relationship</x:v>
      </x:c>
    </x:row>
    <x:row r="1959" ht="58" customHeight="1">
      <x:c r="A1959" s="9" t="str">
        <x:v>E1954</x:v>
      </x:c>
      <x:c r="B1959" s="9" t="str">
        <x:v>T09.15</x:v>
      </x:c>
      <x:c r="C1959" s="9" t="str">
        <x:v>Peer benchmarking and industry-specific ratios</x:v>
      </x:c>
      <x:c r="D1959" s="15" t="str">
        <x:v>RECOMMENDED_BEFORE</x:v>
      </x:c>
      <x:c r="E1959" s="9" t="str">
        <x:v>T39.14</x:v>
      </x:c>
      <x:c r="F1959" s="9" t="str">
        <x:v>Telecom and digital infrastructure</x:v>
      </x:c>
      <x:c r="G1959" s="9" t="str">
        <x:v>Suggested starting knowledge: Peer benchmarking and industry-specific ratios. It helps you adapt statement interpretation, operating metrics and valuation to the industry.</x:v>
      </x:c>
      <x:c r="H1959" s="9" t="str">
        <x:v>Suggested learning order; learners can still explore freely.</x:v>
      </x:c>
      <x:c r="I1959" s="9" t="str">
        <x:v>Curated curriculum relationship</x:v>
      </x:c>
    </x:row>
    <x:row r="1960" ht="58" customHeight="1">
      <x:c r="A1960" s="10" t="str">
        <x:v>E1955</x:v>
      </x:c>
      <x:c r="B1960" s="10" t="str">
        <x:v>T39.15</x:v>
      </x:c>
      <x:c r="C1960" s="10" t="str">
        <x:v>Pharmaceuticals, biotechnology, and healthcare</x:v>
      </x:c>
      <x:c r="D1960" s="14" t="str">
        <x:v>PART_OF</x:v>
      </x:c>
      <x:c r="E1960" s="10" t="str">
        <x:v>D39</x:v>
      </x:c>
      <x:c r="F1960" s="10" t="str">
        <x:v>Industry-specific finance</x:v>
      </x:c>
      <x:c r="G1960" s="10" t="str">
        <x:v>Curriculum membership. Use this link to move between the topic and its finance area.</x:v>
      </x:c>
      <x:c r="H1960" s="10" t="str">
        <x:v>Classification only; this edge is not a causal or calculation relationship.</x:v>
      </x:c>
      <x:c r="I1960" s="10" t="str">
        <x:v>Curated curriculum relationship</x:v>
      </x:c>
    </x:row>
    <x:row r="1961" ht="58" customHeight="1">
      <x:c r="A1961" s="9" t="str">
        <x:v>E1956</x:v>
      </x:c>
      <x:c r="B1961" s="9" t="str">
        <x:v>T39.15</x:v>
      </x:c>
      <x:c r="C1961" s="9" t="str">
        <x:v>Pharmaceuticals, biotechnology, and healthcare</x:v>
      </x:c>
      <x:c r="D1961" s="15" t="str">
        <x:v>EXPLORE_WITH</x:v>
      </x:c>
      <x:c r="E1961" s="9" t="str">
        <x:v>T39.06</x:v>
      </x:c>
      <x:c r="F1961" s="9" t="str">
        <x:v>Software, SaaS, and IT services</x:v>
      </x:c>
      <x:c r="G1961" s="9" t="str">
        <x:v>Study these together to adapt statement interpretation, operating metrics and valuation to the industry.</x:v>
      </x:c>
      <x:c r="H1961" s="9" t="str">
        <x:v>A topical exploration link, not a claim that one determines the other.</x:v>
      </x:c>
      <x:c r="I1961" s="9" t="str">
        <x:v>Curated curriculum relationship</x:v>
      </x:c>
    </x:row>
    <x:row r="1962" ht="58" customHeight="1">
      <x:c r="A1962" s="10" t="str">
        <x:v>E1957</x:v>
      </x:c>
      <x:c r="B1962" s="10" t="str">
        <x:v>T09.15</x:v>
      </x:c>
      <x:c r="C1962" s="10" t="str">
        <x:v>Peer benchmarking and industry-specific ratios</x:v>
      </x:c>
      <x:c r="D1962" s="14" t="str">
        <x:v>RECOMMENDED_BEFORE</x:v>
      </x:c>
      <x:c r="E1962" s="10" t="str">
        <x:v>T39.15</x:v>
      </x:c>
      <x:c r="F1962" s="10" t="str">
        <x:v>Pharmaceuticals, biotechnology, and healthcare</x:v>
      </x:c>
      <x:c r="G1962" s="10" t="str">
        <x:v>Suggested starting knowledge: Peer benchmarking and industry-specific ratios. It helps you adapt statement interpretation, operating metrics and valuation to the industry.</x:v>
      </x:c>
      <x:c r="H1962" s="10" t="str">
        <x:v>Suggested learning order; learners can still explore freely.</x:v>
      </x:c>
      <x:c r="I1962" s="10" t="str">
        <x:v>Curated curriculum relationship</x:v>
      </x:c>
    </x:row>
    <x:row r="1963" ht="58" customHeight="1">
      <x:c r="A1963" s="9" t="str">
        <x:v>E1958</x:v>
      </x:c>
      <x:c r="B1963" s="9" t="str">
        <x:v>T39.16</x:v>
      </x:c>
      <x:c r="C1963" s="9" t="str">
        <x:v>Real estate and construction</x:v>
      </x:c>
      <x:c r="D1963" s="15" t="str">
        <x:v>PART_OF</x:v>
      </x:c>
      <x:c r="E1963" s="9" t="str">
        <x:v>D39</x:v>
      </x:c>
      <x:c r="F1963" s="9" t="str">
        <x:v>Industry-specific finance</x:v>
      </x:c>
      <x:c r="G1963" s="9" t="str">
        <x:v>Curriculum membership. Use this link to move between the topic and its finance area.</x:v>
      </x:c>
      <x:c r="H1963" s="9" t="str">
        <x:v>Classification only; this edge is not a causal or calculation relationship.</x:v>
      </x:c>
      <x:c r="I1963" s="9" t="str">
        <x:v>Curated curriculum relationship</x:v>
      </x:c>
    </x:row>
    <x:row r="1964" ht="58" customHeight="1">
      <x:c r="A1964" s="10" t="str">
        <x:v>E1959</x:v>
      </x:c>
      <x:c r="B1964" s="10" t="str">
        <x:v>T39.16</x:v>
      </x:c>
      <x:c r="C1964" s="10" t="str">
        <x:v>Real estate and construction</x:v>
      </x:c>
      <x:c r="D1964" s="14" t="str">
        <x:v>EXPLORE_WITH</x:v>
      </x:c>
      <x:c r="E1964" s="10" t="str">
        <x:v>T39.17</x:v>
      </x:c>
      <x:c r="F1964" s="10" t="str">
        <x:v>Airports, airlines, ports, and logistics</x:v>
      </x:c>
      <x:c r="G1964" s="10" t="str">
        <x:v>Study these together to adapt statement interpretation, operating metrics and valuation to the industry.</x:v>
      </x:c>
      <x:c r="H1964" s="10" t="str">
        <x:v>A topical exploration link, not a claim that one determines the other.</x:v>
      </x:c>
      <x:c r="I1964" s="10" t="str">
        <x:v>Curated curriculum relationship</x:v>
      </x:c>
    </x:row>
    <x:row r="1965" ht="58" customHeight="1">
      <x:c r="A1965" s="9" t="str">
        <x:v>E1960</x:v>
      </x:c>
      <x:c r="B1965" s="9" t="str">
        <x:v>T09.15</x:v>
      </x:c>
      <x:c r="C1965" s="9" t="str">
        <x:v>Peer benchmarking and industry-specific ratios</x:v>
      </x:c>
      <x:c r="D1965" s="15" t="str">
        <x:v>RECOMMENDED_BEFORE</x:v>
      </x:c>
      <x:c r="E1965" s="9" t="str">
        <x:v>T39.16</x:v>
      </x:c>
      <x:c r="F1965" s="9" t="str">
        <x:v>Real estate and construction</x:v>
      </x:c>
      <x:c r="G1965" s="9" t="str">
        <x:v>Suggested starting knowledge: Peer benchmarking and industry-specific ratios. It helps you adapt statement interpretation, operating metrics and valuation to the industry.</x:v>
      </x:c>
      <x:c r="H1965" s="9" t="str">
        <x:v>Suggested learning order; learners can still explore freely.</x:v>
      </x:c>
      <x:c r="I1965" s="9" t="str">
        <x:v>Curated curriculum relationship</x:v>
      </x:c>
    </x:row>
    <x:row r="1966" ht="58" customHeight="1">
      <x:c r="A1966" s="10" t="str">
        <x:v>E1961</x:v>
      </x:c>
      <x:c r="B1966" s="10" t="str">
        <x:v>T39.17</x:v>
      </x:c>
      <x:c r="C1966" s="10" t="str">
        <x:v>Airports, airlines, ports, and logistics</x:v>
      </x:c>
      <x:c r="D1966" s="14" t="str">
        <x:v>PART_OF</x:v>
      </x:c>
      <x:c r="E1966" s="10" t="str">
        <x:v>D39</x:v>
      </x:c>
      <x:c r="F1966" s="10" t="str">
        <x:v>Industry-specific finance</x:v>
      </x:c>
      <x:c r="G1966" s="10" t="str">
        <x:v>Curriculum membership. Use this link to move between the topic and its finance area.</x:v>
      </x:c>
      <x:c r="H1966" s="10" t="str">
        <x:v>Classification only; this edge is not a causal or calculation relationship.</x:v>
      </x:c>
      <x:c r="I1966" s="10" t="str">
        <x:v>Curated curriculum relationship</x:v>
      </x:c>
    </x:row>
    <x:row r="1967" ht="58" customHeight="1">
      <x:c r="A1967" s="9" t="str">
        <x:v>E1962</x:v>
      </x:c>
      <x:c r="B1967" s="9" t="str">
        <x:v>T39.17</x:v>
      </x:c>
      <x:c r="C1967" s="9" t="str">
        <x:v>Airports, airlines, ports, and logistics</x:v>
      </x:c>
      <x:c r="D1967" s="15" t="str">
        <x:v>EXPLORE_WITH</x:v>
      </x:c>
      <x:c r="E1967" s="9" t="str">
        <x:v>T39.16</x:v>
      </x:c>
      <x:c r="F1967" s="9" t="str">
        <x:v>Real estate and construction</x:v>
      </x:c>
      <x:c r="G1967" s="9" t="str">
        <x:v>Study these together to adapt statement interpretation, operating metrics and valuation to the industry.</x:v>
      </x:c>
      <x:c r="H1967" s="9" t="str">
        <x:v>A topical exploration link, not a claim that one determines the other.</x:v>
      </x:c>
      <x:c r="I1967" s="9" t="str">
        <x:v>Curated curriculum relationship</x:v>
      </x:c>
    </x:row>
    <x:row r="1968" ht="58" customHeight="1">
      <x:c r="A1968" s="10" t="str">
        <x:v>E1963</x:v>
      </x:c>
      <x:c r="B1968" s="10" t="str">
        <x:v>T09.15</x:v>
      </x:c>
      <x:c r="C1968" s="10" t="str">
        <x:v>Peer benchmarking and industry-specific ratios</x:v>
      </x:c>
      <x:c r="D1968" s="14" t="str">
        <x:v>RECOMMENDED_BEFORE</x:v>
      </x:c>
      <x:c r="E1968" s="10" t="str">
        <x:v>T39.17</x:v>
      </x:c>
      <x:c r="F1968" s="10" t="str">
        <x:v>Airports, airlines, ports, and logistics</x:v>
      </x:c>
      <x:c r="G1968" s="10" t="str">
        <x:v>Suggested starting knowledge: Peer benchmarking and industry-specific ratios. It helps you adapt statement interpretation, operating metrics and valuation to the industry.</x:v>
      </x:c>
      <x:c r="H1968" s="10" t="str">
        <x:v>Suggested learning order; learners can still explore freely.</x:v>
      </x:c>
      <x:c r="I1968" s="10" t="str">
        <x:v>Curated curriculum relationship</x:v>
      </x:c>
    </x:row>
    <x:row r="1969" ht="58" customHeight="1">
      <x:c r="A1969" s="9" t="str">
        <x:v>E1964</x:v>
      </x:c>
      <x:c r="B1969" s="9" t="str">
        <x:v>T39.18</x:v>
      </x:c>
      <x:c r="C1969" s="9" t="str">
        <x:v>Hotels, travel, and restaurants</x:v>
      </x:c>
      <x:c r="D1969" s="15" t="str">
        <x:v>PART_OF</x:v>
      </x:c>
      <x:c r="E1969" s="9" t="str">
        <x:v>D39</x:v>
      </x:c>
      <x:c r="F1969" s="9" t="str">
        <x:v>Industry-specific finance</x:v>
      </x:c>
      <x:c r="G1969" s="9" t="str">
        <x:v>Curriculum membership. Use this link to move between the topic and its finance area.</x:v>
      </x:c>
      <x:c r="H1969" s="9" t="str">
        <x:v>Classification only; this edge is not a causal or calculation relationship.</x:v>
      </x:c>
      <x:c r="I1969" s="9" t="str">
        <x:v>Curated curriculum relationship</x:v>
      </x:c>
    </x:row>
    <x:row r="1970" ht="58" customHeight="1">
      <x:c r="A1970" s="10" t="str">
        <x:v>E1965</x:v>
      </x:c>
      <x:c r="B1970" s="10" t="str">
        <x:v>T09.15</x:v>
      </x:c>
      <x:c r="C1970" s="10" t="str">
        <x:v>Peer benchmarking and industry-specific ratios</x:v>
      </x:c>
      <x:c r="D1970" s="14" t="str">
        <x:v>RECOMMENDED_BEFORE</x:v>
      </x:c>
      <x:c r="E1970" s="10" t="str">
        <x:v>T39.18</x:v>
      </x:c>
      <x:c r="F1970" s="10" t="str">
        <x:v>Hotels, travel, and restaurants</x:v>
      </x:c>
      <x:c r="G1970" s="10" t="str">
        <x:v>Suggested starting knowledge: Peer benchmarking and industry-specific ratios. It helps you adapt statement interpretation, operating metrics and valuation to the industry.</x:v>
      </x:c>
      <x:c r="H1970" s="10" t="str">
        <x:v>Suggested learning order; learners can still explore freely.</x:v>
      </x:c>
      <x:c r="I1970" s="10" t="str">
        <x:v>Curated curriculum relationship</x:v>
      </x:c>
    </x:row>
    <x:row r="1971" ht="58" customHeight="1">
      <x:c r="A1971" s="9" t="str">
        <x:v>E1966</x:v>
      </x:c>
      <x:c r="B1971" s="9" t="str">
        <x:v>T39.19</x:v>
      </x:c>
      <x:c r="C1971" s="9" t="str">
        <x:v>Agriculture and agribusiness</x:v>
      </x:c>
      <x:c r="D1971" s="15" t="str">
        <x:v>PART_OF</x:v>
      </x:c>
      <x:c r="E1971" s="9" t="str">
        <x:v>D39</x:v>
      </x:c>
      <x:c r="F1971" s="9" t="str">
        <x:v>Industry-specific finance</x:v>
      </x:c>
      <x:c r="G1971" s="9" t="str">
        <x:v>Curriculum membership. Use this link to move between the topic and its finance area.</x:v>
      </x:c>
      <x:c r="H1971" s="9" t="str">
        <x:v>Classification only; this edge is not a causal or calculation relationship.</x:v>
      </x:c>
      <x:c r="I1971" s="9" t="str">
        <x:v>Curated curriculum relationship</x:v>
      </x:c>
    </x:row>
    <x:row r="1972" ht="58" customHeight="1">
      <x:c r="A1972" s="10" t="str">
        <x:v>E1967</x:v>
      </x:c>
      <x:c r="B1972" s="10" t="str">
        <x:v>T39.19</x:v>
      </x:c>
      <x:c r="C1972" s="10" t="str">
        <x:v>Agriculture and agribusiness</x:v>
      </x:c>
      <x:c r="D1972" s="14" t="str">
        <x:v>EXPLORE_WITH</x:v>
      </x:c>
      <x:c r="E1972" s="10" t="str">
        <x:v>T39.08</x:v>
      </x:c>
      <x:c r="F1972" s="10" t="str">
        <x:v>Consumer goods and retail</x:v>
      </x:c>
      <x:c r="G1972" s="10" t="str">
        <x:v>Study these together to adapt statement interpretation, operating metrics and valuation to the industry.</x:v>
      </x:c>
      <x:c r="H1972" s="10" t="str">
        <x:v>A topical exploration link, not a claim that one determines the other.</x:v>
      </x:c>
      <x:c r="I1972" s="10" t="str">
        <x:v>Curated curriculum relationship</x:v>
      </x:c>
    </x:row>
    <x:row r="1973" ht="58" customHeight="1">
      <x:c r="A1973" s="9" t="str">
        <x:v>E1968</x:v>
      </x:c>
      <x:c r="B1973" s="9" t="str">
        <x:v>T09.15</x:v>
      </x:c>
      <x:c r="C1973" s="9" t="str">
        <x:v>Peer benchmarking and industry-specific ratios</x:v>
      </x:c>
      <x:c r="D1973" s="15" t="str">
        <x:v>RECOMMENDED_BEFORE</x:v>
      </x:c>
      <x:c r="E1973" s="9" t="str">
        <x:v>T39.19</x:v>
      </x:c>
      <x:c r="F1973" s="9" t="str">
        <x:v>Agriculture and agribusiness</x:v>
      </x:c>
      <x:c r="G1973" s="9" t="str">
        <x:v>Suggested starting knowledge: Peer benchmarking and industry-specific ratios. It helps you adapt statement interpretation, operating metrics and valuation to the industry.</x:v>
      </x:c>
      <x:c r="H1973" s="9" t="str">
        <x:v>Suggested learning order; learners can still explore freely.</x:v>
      </x:c>
      <x:c r="I1973" s="9" t="str">
        <x:v>Curated curriculum relationship</x:v>
      </x:c>
    </x:row>
    <x:row r="1974" ht="58" customHeight="1">
      <x:c r="A1974" s="10" t="str">
        <x:v>E1969</x:v>
      </x:c>
      <x:c r="B1974" s="10" t="str">
        <x:v>T39.20</x:v>
      </x:c>
      <x:c r="C1974" s="10" t="str">
        <x:v>Media, entertainment, and sports</x:v>
      </x:c>
      <x:c r="D1974" s="14" t="str">
        <x:v>PART_OF</x:v>
      </x:c>
      <x:c r="E1974" s="10" t="str">
        <x:v>D39</x:v>
      </x:c>
      <x:c r="F1974" s="10" t="str">
        <x:v>Industry-specific finance</x:v>
      </x:c>
      <x:c r="G1974" s="10" t="str">
        <x:v>Curriculum membership. Use this link to move between the topic and its finance area.</x:v>
      </x:c>
      <x:c r="H1974" s="10" t="str">
        <x:v>Classification only; this edge is not a causal or calculation relationship.</x:v>
      </x:c>
      <x:c r="I1974" s="10" t="str">
        <x:v>Curated curriculum relationship</x:v>
      </x:c>
    </x:row>
    <x:row r="1975" ht="58" customHeight="1">
      <x:c r="A1975" s="9" t="str">
        <x:v>E1970</x:v>
      </x:c>
      <x:c r="B1975" s="9" t="str">
        <x:v>T09.15</x:v>
      </x:c>
      <x:c r="C1975" s="9" t="str">
        <x:v>Peer benchmarking and industry-specific ratios</x:v>
      </x:c>
      <x:c r="D1975" s="15" t="str">
        <x:v>RECOMMENDED_BEFORE</x:v>
      </x:c>
      <x:c r="E1975" s="9" t="str">
        <x:v>T39.20</x:v>
      </x:c>
      <x:c r="F1975" s="9" t="str">
        <x:v>Media, entertainment, and sports</x:v>
      </x:c>
      <x:c r="G1975" s="9" t="str">
        <x:v>Suggested starting knowledge: Peer benchmarking and industry-specific ratios. It helps you adapt statement interpretation, operating metrics and valuation to the industry.</x:v>
      </x:c>
      <x:c r="H1975" s="9" t="str">
        <x:v>Suggested learning order; learners can still explore freely.</x:v>
      </x:c>
      <x:c r="I1975" s="9" t="str">
        <x:v>Curated curriculum relationship</x:v>
      </x:c>
    </x:row>
    <x:row r="1976" ht="58" customHeight="1">
      <x:c r="A1976" s="10" t="str">
        <x:v>E1971</x:v>
      </x:c>
      <x:c r="B1976" s="10" t="str">
        <x:v>T39.21</x:v>
      </x:c>
      <x:c r="C1976" s="10" t="str">
        <x:v>Education and professional services</x:v>
      </x:c>
      <x:c r="D1976" s="14" t="str">
        <x:v>PART_OF</x:v>
      </x:c>
      <x:c r="E1976" s="10" t="str">
        <x:v>D39</x:v>
      </x:c>
      <x:c r="F1976" s="10" t="str">
        <x:v>Industry-specific finance</x:v>
      </x:c>
      <x:c r="G1976" s="10" t="str">
        <x:v>Curriculum membership. Use this link to move between the topic and its finance area.</x:v>
      </x:c>
      <x:c r="H1976" s="10" t="str">
        <x:v>Classification only; this edge is not a causal or calculation relationship.</x:v>
      </x:c>
      <x:c r="I1976" s="10" t="str">
        <x:v>Curated curriculum relationship</x:v>
      </x:c>
    </x:row>
    <x:row r="1977" ht="58" customHeight="1">
      <x:c r="A1977" s="9" t="str">
        <x:v>E1972</x:v>
      </x:c>
      <x:c r="B1977" s="9" t="str">
        <x:v>T39.21</x:v>
      </x:c>
      <x:c r="C1977" s="9" t="str">
        <x:v>Education and professional services</x:v>
      </x:c>
      <x:c r="D1977" s="15" t="str">
        <x:v>EXPLORE_WITH</x:v>
      </x:c>
      <x:c r="E1977" s="9" t="str">
        <x:v>T39.20</x:v>
      </x:c>
      <x:c r="F1977" s="9" t="str">
        <x:v>Media, entertainment, and sports</x:v>
      </x:c>
      <x:c r="G1977" s="9" t="str">
        <x:v>Study these together to adapt statement interpretation, operating metrics and valuation to the industry.</x:v>
      </x:c>
      <x:c r="H1977" s="9" t="str">
        <x:v>A topical exploration link, not a claim that one determines the other.</x:v>
      </x:c>
      <x:c r="I1977" s="9" t="str">
        <x:v>Curated curriculum relationship</x:v>
      </x:c>
    </x:row>
    <x:row r="1978" ht="58" customHeight="1">
      <x:c r="A1978" s="10" t="str">
        <x:v>E1973</x:v>
      </x:c>
      <x:c r="B1978" s="10" t="str">
        <x:v>T09.15</x:v>
      </x:c>
      <x:c r="C1978" s="10" t="str">
        <x:v>Peer benchmarking and industry-specific ratios</x:v>
      </x:c>
      <x:c r="D1978" s="14" t="str">
        <x:v>RECOMMENDED_BEFORE</x:v>
      </x:c>
      <x:c r="E1978" s="10" t="str">
        <x:v>T39.21</x:v>
      </x:c>
      <x:c r="F1978" s="10" t="str">
        <x:v>Education and professional services</x:v>
      </x:c>
      <x:c r="G1978" s="10" t="str">
        <x:v>Suggested starting knowledge: Peer benchmarking and industry-specific ratios. It helps you adapt statement interpretation, operating metrics and valuation to the industry.</x:v>
      </x:c>
      <x:c r="H1978" s="10" t="str">
        <x:v>Suggested learning order; learners can still explore freely.</x:v>
      </x:c>
      <x:c r="I1978" s="10" t="str">
        <x:v>Curated curriculum relationship</x:v>
      </x:c>
    </x:row>
    <x:row r="1979" ht="58" customHeight="1">
      <x:c r="A1979" s="9" t="str">
        <x:v>E1974</x:v>
      </x:c>
      <x:c r="B1979" s="9" t="str">
        <x:v>T39.22</x:v>
      </x:c>
      <x:c r="C1979" s="9" t="str">
        <x:v>Government enterprises and regulated businesses</x:v>
      </x:c>
      <x:c r="D1979" s="15" t="str">
        <x:v>PART_OF</x:v>
      </x:c>
      <x:c r="E1979" s="9" t="str">
        <x:v>D39</x:v>
      </x:c>
      <x:c r="F1979" s="9" t="str">
        <x:v>Industry-specific finance</x:v>
      </x:c>
      <x:c r="G1979" s="9" t="str">
        <x:v>Curriculum membership. Use this link to move between the topic and its finance area.</x:v>
      </x:c>
      <x:c r="H1979" s="9" t="str">
        <x:v>Classification only; this edge is not a causal or calculation relationship.</x:v>
      </x:c>
      <x:c r="I1979" s="9" t="str">
        <x:v>Curated curriculum relationship</x:v>
      </x:c>
    </x:row>
    <x:row r="1980" ht="58" customHeight="1">
      <x:c r="A1980" s="10" t="str">
        <x:v>E1975</x:v>
      </x:c>
      <x:c r="B1980" s="10" t="str">
        <x:v>T39.22</x:v>
      </x:c>
      <x:c r="C1980" s="10" t="str">
        <x:v>Government enterprises and regulated businesses</x:v>
      </x:c>
      <x:c r="D1980" s="14" t="str">
        <x:v>EXPLORE_WITH</x:v>
      </x:c>
      <x:c r="E1980" s="10" t="str">
        <x:v>T39.13</x:v>
      </x:c>
      <x:c r="F1980" s="10" t="str">
        <x:v>Power, utilities, and renewable energy</x:v>
      </x:c>
      <x:c r="G1980" s="10" t="str">
        <x:v>Study these together to adapt statement interpretation, operating metrics and valuation to the industry.</x:v>
      </x:c>
      <x:c r="H1980" s="10" t="str">
        <x:v>A topical exploration link, not a claim that one determines the other.</x:v>
      </x:c>
      <x:c r="I1980" s="10" t="str">
        <x:v>Curated curriculum relationship</x:v>
      </x:c>
    </x:row>
    <x:row r="1981" ht="58" customHeight="1">
      <x:c r="A1981" s="9" t="str">
        <x:v>E1976</x:v>
      </x:c>
      <x:c r="B1981" s="9" t="str">
        <x:v>T09.15</x:v>
      </x:c>
      <x:c r="C1981" s="9" t="str">
        <x:v>Peer benchmarking and industry-specific ratios</x:v>
      </x:c>
      <x:c r="D1981" s="15" t="str">
        <x:v>RECOMMENDED_BEFORE</x:v>
      </x:c>
      <x:c r="E1981" s="9" t="str">
        <x:v>T39.22</x:v>
      </x:c>
      <x:c r="F1981" s="9" t="str">
        <x:v>Government enterprises and regulated businesses</x:v>
      </x:c>
      <x:c r="G1981" s="9" t="str">
        <x:v>Suggested starting knowledge: Peer benchmarking and industry-specific ratios. It helps you adapt statement interpretation, operating metrics and valuation to the industry.</x:v>
      </x:c>
      <x:c r="H1981" s="9" t="str">
        <x:v>Suggested learning order; learners can still explore freely.</x:v>
      </x:c>
      <x:c r="I1981" s="9" t="str">
        <x:v>Curated curriculum relationship</x:v>
      </x:c>
    </x:row>
    <x:row r="1982" ht="58" customHeight="1">
      <x:c r="A1982" s="10" t="str">
        <x:v>E1977</x:v>
      </x:c>
      <x:c r="B1982" s="10" t="str">
        <x:v>T40.01</x:v>
      </x:c>
      <x:c r="C1982" s="10" t="str">
        <x:v>Reading a real annual report from beginning to end</x:v>
      </x:c>
      <x:c r="D1982" s="14" t="str">
        <x:v>PART_OF</x:v>
      </x:c>
      <x:c r="E1982" s="10" t="str">
        <x:v>D40</x:v>
      </x:c>
      <x:c r="F1982" s="10" t="str">
        <x:v>Applied cases, financial history, and integrated practice</x:v>
      </x:c>
      <x:c r="G1982" s="10" t="str">
        <x:v>Curriculum membership. Use this link to move between the topic and its finance area.</x:v>
      </x:c>
      <x:c r="H1982" s="10" t="str">
        <x:v>Classification only; this edge is not a causal or calculation relationship.</x:v>
      </x:c>
      <x:c r="I1982" s="10" t="str">
        <x:v>Curated curriculum relationship</x:v>
      </x:c>
    </x:row>
    <x:row r="1983" ht="58" customHeight="1">
      <x:c r="A1983" s="9" t="str">
        <x:v>E1978</x:v>
      </x:c>
      <x:c r="B1983" s="9" t="str">
        <x:v>T40.01</x:v>
      </x:c>
      <x:c r="C1983" s="9" t="str">
        <x:v>Reading a real annual report from beginning to end</x:v>
      </x:c>
      <x:c r="D1983" s="15" t="str">
        <x:v>EXPLORE_WITH</x:v>
      </x:c>
      <x:c r="E1983" s="9" t="str">
        <x:v>T40.16</x:v>
      </x:c>
      <x:c r="F1983" s="9" t="str">
        <x:v>Investigating an accounting failure</x:v>
      </x:c>
      <x:c r="G1983" s="9" t="str">
        <x:v>Study these together to apply multiple concepts to one decision and explain the result using evidence.</x:v>
      </x:c>
      <x:c r="H1983" s="9" t="str">
        <x:v>A topical exploration link, not a claim that one determines the other.</x:v>
      </x:c>
      <x:c r="I1983" s="9" t="str">
        <x:v>Curated curriculum relationship</x:v>
      </x:c>
    </x:row>
    <x:row r="1984" ht="58" customHeight="1">
      <x:c r="A1984" s="10" t="str">
        <x:v>E1979</x:v>
      </x:c>
      <x:c r="B1984" s="10" t="str">
        <x:v>T07.14</x:v>
      </x:c>
      <x:c r="C1984" s="10" t="str">
        <x:v>How transactions move through all three statements</x:v>
      </x:c>
      <x:c r="D1984" s="14" t="str">
        <x:v>RECOMMENDED_BEFORE</x:v>
      </x:c>
      <x:c r="E1984" s="10" t="str">
        <x:v>T40.01</x:v>
      </x:c>
      <x:c r="F1984" s="10" t="str">
        <x:v>Reading a real annual report from beginning to end</x:v>
      </x:c>
      <x:c r="G1984" s="10" t="str">
        <x:v>Suggested starting knowledge: How transactions move through all three statements. It helps you apply multiple concepts to one decision and explain the result using evidence.</x:v>
      </x:c>
      <x:c r="H1984" s="10" t="str">
        <x:v>Suggested learning order; learners can still explore freely.</x:v>
      </x:c>
      <x:c r="I1984" s="10" t="str">
        <x:v>Curated curriculum relationship</x:v>
      </x:c>
    </x:row>
    <x:row r="1985" ht="58" customHeight="1">
      <x:c r="A1985" s="9" t="str">
        <x:v>E1980</x:v>
      </x:c>
      <x:c r="B1985" s="9" t="str">
        <x:v>T40.02</x:v>
      </x:c>
      <x:c r="C1985" s="9" t="str">
        <x:v>Tracing one transaction through all three statements</x:v>
      </x:c>
      <x:c r="D1985" s="15" t="str">
        <x:v>PART_OF</x:v>
      </x:c>
      <x:c r="E1985" s="9" t="str">
        <x:v>D40</x:v>
      </x:c>
      <x:c r="F1985" s="9" t="str">
        <x:v>Applied cases, financial history, and integrated practice</x:v>
      </x:c>
      <x:c r="G1985" s="9" t="str">
        <x:v>Curriculum membership. Use this link to move between the topic and its finance area.</x:v>
      </x:c>
      <x:c r="H1985" s="9" t="str">
        <x:v>Classification only; this edge is not a causal or calculation relationship.</x:v>
      </x:c>
      <x:c r="I1985" s="9" t="str">
        <x:v>Curated curriculum relationship</x:v>
      </x:c>
    </x:row>
    <x:row r="1986" ht="58" customHeight="1">
      <x:c r="A1986" s="10" t="str">
        <x:v>E1981</x:v>
      </x:c>
      <x:c r="B1986" s="10" t="str">
        <x:v>T40.02</x:v>
      </x:c>
      <x:c r="C1986" s="10" t="str">
        <x:v>Tracing one transaction through all three statements</x:v>
      </x:c>
      <x:c r="D1986" s="14" t="str">
        <x:v>EXPLORE_WITH</x:v>
      </x:c>
      <x:c r="E1986" s="10" t="str">
        <x:v>T40.05</x:v>
      </x:c>
      <x:c r="F1986" s="10" t="str">
        <x:v>Building a three-statement forecast</x:v>
      </x:c>
      <x:c r="G1986" s="10" t="str">
        <x:v>Study these together to apply multiple concepts to one decision and explain the result using evidence.</x:v>
      </x:c>
      <x:c r="H1986" s="10" t="str">
        <x:v>A topical exploration link, not a claim that one determines the other.</x:v>
      </x:c>
      <x:c r="I1986" s="10" t="str">
        <x:v>Curated curriculum relationship</x:v>
      </x:c>
    </x:row>
    <x:row r="1987" ht="58" customHeight="1">
      <x:c r="A1987" s="9" t="str">
        <x:v>E1982</x:v>
      </x:c>
      <x:c r="B1987" s="9" t="str">
        <x:v>T07.14</x:v>
      </x:c>
      <x:c r="C1987" s="9" t="str">
        <x:v>How transactions move through all three statements</x:v>
      </x:c>
      <x:c r="D1987" s="15" t="str">
        <x:v>RECOMMENDED_BEFORE</x:v>
      </x:c>
      <x:c r="E1987" s="9" t="str">
        <x:v>T40.02</x:v>
      </x:c>
      <x:c r="F1987" s="9" t="str">
        <x:v>Tracing one transaction through all three statements</x:v>
      </x:c>
      <x:c r="G1987" s="9" t="str">
        <x:v>Suggested starting knowledge: How transactions move through all three statements. It helps you apply multiple concepts to one decision and explain the result using evidence.</x:v>
      </x:c>
      <x:c r="H1987" s="9" t="str">
        <x:v>Suggested learning order; learners can still explore freely.</x:v>
      </x:c>
      <x:c r="I1987" s="9" t="str">
        <x:v>Curated curriculum relationship</x:v>
      </x:c>
    </x:row>
    <x:row r="1988" ht="58" customHeight="1">
      <x:c r="A1988" s="10" t="str">
        <x:v>E1983</x:v>
      </x:c>
      <x:c r="B1988" s="10" t="str">
        <x:v>T40.03</x:v>
      </x:c>
      <x:c r="C1988" s="10" t="str">
        <x:v>Diagnosing a profitable company with a cash shortage</x:v>
      </x:c>
      <x:c r="D1988" s="14" t="str">
        <x:v>PART_OF</x:v>
      </x:c>
      <x:c r="E1988" s="10" t="str">
        <x:v>D40</x:v>
      </x:c>
      <x:c r="F1988" s="10" t="str">
        <x:v>Applied cases, financial history, and integrated practice</x:v>
      </x:c>
      <x:c r="G1988" s="10" t="str">
        <x:v>Curriculum membership. Use this link to move between the topic and its finance area.</x:v>
      </x:c>
      <x:c r="H1988" s="10" t="str">
        <x:v>Classification only; this edge is not a causal or calculation relationship.</x:v>
      </x:c>
      <x:c r="I1988" s="10" t="str">
        <x:v>Curated curriculum relationship</x:v>
      </x:c>
    </x:row>
    <x:row r="1989" ht="58" customHeight="1">
      <x:c r="A1989" s="9" t="str">
        <x:v>E1984</x:v>
      </x:c>
      <x:c r="B1989" s="9" t="str">
        <x:v>T40.03</x:v>
      </x:c>
      <x:c r="C1989" s="9" t="str">
        <x:v>Diagnosing a profitable company with a cash shortage</x:v>
      </x:c>
      <x:c r="D1989" s="15" t="str">
        <x:v>EXPLORE_WITH</x:v>
      </x:c>
      <x:c r="E1989" s="9" t="str">
        <x:v>T40.02</x:v>
      </x:c>
      <x:c r="F1989" s="9" t="str">
        <x:v>Tracing one transaction through all three statements</x:v>
      </x:c>
      <x:c r="G1989" s="9" t="str">
        <x:v>Study these together to apply multiple concepts to one decision and explain the result using evidence.</x:v>
      </x:c>
      <x:c r="H1989" s="9" t="str">
        <x:v>A topical exploration link, not a claim that one determines the other.</x:v>
      </x:c>
      <x:c r="I1989" s="9" t="str">
        <x:v>Curated curriculum relationship</x:v>
      </x:c>
    </x:row>
    <x:row r="1990" ht="58" customHeight="1">
      <x:c r="A1990" s="10" t="str">
        <x:v>E1985</x:v>
      </x:c>
      <x:c r="B1990" s="10" t="str">
        <x:v>T07.14</x:v>
      </x:c>
      <x:c r="C1990" s="10" t="str">
        <x:v>How transactions move through all three statements</x:v>
      </x:c>
      <x:c r="D1990" s="14" t="str">
        <x:v>RECOMMENDED_BEFORE</x:v>
      </x:c>
      <x:c r="E1990" s="10" t="str">
        <x:v>T40.03</x:v>
      </x:c>
      <x:c r="F1990" s="10" t="str">
        <x:v>Diagnosing a profitable company with a cash shortage</x:v>
      </x:c>
      <x:c r="G1990" s="10" t="str">
        <x:v>Suggested starting knowledge: How transactions move through all three statements. It helps you apply multiple concepts to one decision and explain the result using evidence.</x:v>
      </x:c>
      <x:c r="H1990" s="10" t="str">
        <x:v>Suggested learning order; learners can still explore freely.</x:v>
      </x:c>
      <x:c r="I1990" s="10" t="str">
        <x:v>Curated curriculum relationship</x:v>
      </x:c>
    </x:row>
    <x:row r="1991" ht="58" customHeight="1">
      <x:c r="A1991" s="9" t="str">
        <x:v>E1986</x:v>
      </x:c>
      <x:c r="B1991" s="9" t="str">
        <x:v>T40.04</x:v>
      </x:c>
      <x:c r="C1991" s="9" t="str">
        <x:v>Assessing whether growth creates value</x:v>
      </x:c>
      <x:c r="D1991" s="15" t="str">
        <x:v>PART_OF</x:v>
      </x:c>
      <x:c r="E1991" s="9" t="str">
        <x:v>D40</x:v>
      </x:c>
      <x:c r="F1991" s="9" t="str">
        <x:v>Applied cases, financial history, and integrated practice</x:v>
      </x:c>
      <x:c r="G1991" s="9" t="str">
        <x:v>Curriculum membership. Use this link to move between the topic and its finance area.</x:v>
      </x:c>
      <x:c r="H1991" s="9" t="str">
        <x:v>Classification only; this edge is not a causal or calculation relationship.</x:v>
      </x:c>
      <x:c r="I1991" s="9" t="str">
        <x:v>Curated curriculum relationship</x:v>
      </x:c>
    </x:row>
    <x:row r="1992" ht="58" customHeight="1">
      <x:c r="A1992" s="10" t="str">
        <x:v>E1987</x:v>
      </x:c>
      <x:c r="B1992" s="10" t="str">
        <x:v>T40.04</x:v>
      </x:c>
      <x:c r="C1992" s="10" t="str">
        <x:v>Assessing whether growth creates value</x:v>
      </x:c>
      <x:c r="D1992" s="14" t="str">
        <x:v>EXPLORE_WITH</x:v>
      </x:c>
      <x:c r="E1992" s="10" t="str">
        <x:v>T40.06</x:v>
      </x:c>
      <x:c r="F1992" s="10" t="str">
        <x:v>Valuing a listed company</x:v>
      </x:c>
      <x:c r="G1992" s="10" t="str">
        <x:v>Study these together to apply multiple concepts to one decision and explain the result using evidence.</x:v>
      </x:c>
      <x:c r="H1992" s="10" t="str">
        <x:v>A topical exploration link, not a claim that one determines the other.</x:v>
      </x:c>
      <x:c r="I1992" s="10" t="str">
        <x:v>Curated curriculum relationship</x:v>
      </x:c>
    </x:row>
    <x:row r="1993" ht="58" customHeight="1">
      <x:c r="A1993" s="9" t="str">
        <x:v>E1988</x:v>
      </x:c>
      <x:c r="B1993" s="9" t="str">
        <x:v>T07.14</x:v>
      </x:c>
      <x:c r="C1993" s="9" t="str">
        <x:v>How transactions move through all three statements</x:v>
      </x:c>
      <x:c r="D1993" s="15" t="str">
        <x:v>RECOMMENDED_BEFORE</x:v>
      </x:c>
      <x:c r="E1993" s="9" t="str">
        <x:v>T40.04</x:v>
      </x:c>
      <x:c r="F1993" s="9" t="str">
        <x:v>Assessing whether growth creates value</x:v>
      </x:c>
      <x:c r="G1993" s="9" t="str">
        <x:v>Suggested starting knowledge: How transactions move through all three statements. It helps you apply multiple concepts to one decision and explain the result using evidence.</x:v>
      </x:c>
      <x:c r="H1993" s="9" t="str">
        <x:v>Suggested learning order; learners can still explore freely.</x:v>
      </x:c>
      <x:c r="I1993" s="9" t="str">
        <x:v>Curated curriculum relationship</x:v>
      </x:c>
    </x:row>
    <x:row r="1994" ht="58" customHeight="1">
      <x:c r="A1994" s="10" t="str">
        <x:v>E1989</x:v>
      </x:c>
      <x:c r="B1994" s="10" t="str">
        <x:v>T40.05</x:v>
      </x:c>
      <x:c r="C1994" s="10" t="str">
        <x:v>Building a three-statement forecast</x:v>
      </x:c>
      <x:c r="D1994" s="14" t="str">
        <x:v>PART_OF</x:v>
      </x:c>
      <x:c r="E1994" s="10" t="str">
        <x:v>D40</x:v>
      </x:c>
      <x:c r="F1994" s="10" t="str">
        <x:v>Applied cases, financial history, and integrated practice</x:v>
      </x:c>
      <x:c r="G1994" s="10" t="str">
        <x:v>Curriculum membership. Use this link to move between the topic and its finance area.</x:v>
      </x:c>
      <x:c r="H1994" s="10" t="str">
        <x:v>Classification only; this edge is not a causal or calculation relationship.</x:v>
      </x:c>
      <x:c r="I1994" s="10" t="str">
        <x:v>Curated curriculum relationship</x:v>
      </x:c>
    </x:row>
    <x:row r="1995" ht="58" customHeight="1">
      <x:c r="A1995" s="9" t="str">
        <x:v>E1990</x:v>
      </x:c>
      <x:c r="B1995" s="9" t="str">
        <x:v>T40.05</x:v>
      </x:c>
      <x:c r="C1995" s="9" t="str">
        <x:v>Building a three-statement forecast</x:v>
      </x:c>
      <x:c r="D1995" s="15" t="str">
        <x:v>EXPLORE_WITH</x:v>
      </x:c>
      <x:c r="E1995" s="9" t="str">
        <x:v>T40.02</x:v>
      </x:c>
      <x:c r="F1995" s="9" t="str">
        <x:v>Tracing one transaction through all three statements</x:v>
      </x:c>
      <x:c r="G1995" s="9" t="str">
        <x:v>Study these together to apply multiple concepts to one decision and explain the result using evidence.</x:v>
      </x:c>
      <x:c r="H1995" s="9" t="str">
        <x:v>A topical exploration link, not a claim that one determines the other.</x:v>
      </x:c>
      <x:c r="I1995" s="9" t="str">
        <x:v>Curated curriculum relationship</x:v>
      </x:c>
    </x:row>
    <x:row r="1996" ht="58" customHeight="1">
      <x:c r="A1996" s="10" t="str">
        <x:v>E1991</x:v>
      </x:c>
      <x:c r="B1996" s="10" t="str">
        <x:v>T07.14</x:v>
      </x:c>
      <x:c r="C1996" s="10" t="str">
        <x:v>How transactions move through all three statements</x:v>
      </x:c>
      <x:c r="D1996" s="14" t="str">
        <x:v>RECOMMENDED_BEFORE</x:v>
      </x:c>
      <x:c r="E1996" s="10" t="str">
        <x:v>T40.05</x:v>
      </x:c>
      <x:c r="F1996" s="10" t="str">
        <x:v>Building a three-statement forecast</x:v>
      </x:c>
      <x:c r="G1996" s="10" t="str">
        <x:v>Suggested starting knowledge: How transactions move through all three statements. It helps you apply multiple concepts to one decision and explain the result using evidence.</x:v>
      </x:c>
      <x:c r="H1996" s="10" t="str">
        <x:v>Suggested learning order; learners can still explore freely.</x:v>
      </x:c>
      <x:c r="I1996" s="10" t="str">
        <x:v>Curated curriculum relationship</x:v>
      </x:c>
    </x:row>
    <x:row r="1997" ht="58" customHeight="1">
      <x:c r="A1997" s="9" t="str">
        <x:v>E1992</x:v>
      </x:c>
      <x:c r="B1997" s="9" t="str">
        <x:v>T40.06</x:v>
      </x:c>
      <x:c r="C1997" s="9" t="str">
        <x:v>Valuing a listed company</x:v>
      </x:c>
      <x:c r="D1997" s="15" t="str">
        <x:v>PART_OF</x:v>
      </x:c>
      <x:c r="E1997" s="9" t="str">
        <x:v>D40</x:v>
      </x:c>
      <x:c r="F1997" s="9" t="str">
        <x:v>Applied cases, financial history, and integrated practice</x:v>
      </x:c>
      <x:c r="G1997" s="9" t="str">
        <x:v>Curriculum membership. Use this link to move between the topic and its finance area.</x:v>
      </x:c>
      <x:c r="H1997" s="9" t="str">
        <x:v>Classification only; this edge is not a causal or calculation relationship.</x:v>
      </x:c>
      <x:c r="I1997" s="9" t="str">
        <x:v>Curated curriculum relationship</x:v>
      </x:c>
    </x:row>
    <x:row r="1998" ht="58" customHeight="1">
      <x:c r="A1998" s="10" t="str">
        <x:v>E1993</x:v>
      </x:c>
      <x:c r="B1998" s="10" t="str">
        <x:v>T40.06</x:v>
      </x:c>
      <x:c r="C1998" s="10" t="str">
        <x:v>Valuing a listed company</x:v>
      </x:c>
      <x:c r="D1998" s="14" t="str">
        <x:v>EXPLORE_WITH</x:v>
      </x:c>
      <x:c r="E1998" s="10" t="str">
        <x:v>T40.04</x:v>
      </x:c>
      <x:c r="F1998" s="10" t="str">
        <x:v>Assessing whether growth creates value</x:v>
      </x:c>
      <x:c r="G1998" s="10" t="str">
        <x:v>Study these together to apply multiple concepts to one decision and explain the result using evidence.</x:v>
      </x:c>
      <x:c r="H1998" s="10" t="str">
        <x:v>A topical exploration link, not a claim that one determines the other.</x:v>
      </x:c>
      <x:c r="I1998" s="10" t="str">
        <x:v>Curated curriculum relationship</x:v>
      </x:c>
    </x:row>
    <x:row r="1999" ht="58" customHeight="1">
      <x:c r="A1999" s="9" t="str">
        <x:v>E1994</x:v>
      </x:c>
      <x:c r="B1999" s="9" t="str">
        <x:v>T07.14</x:v>
      </x:c>
      <x:c r="C1999" s="9" t="str">
        <x:v>How transactions move through all three statements</x:v>
      </x:c>
      <x:c r="D1999" s="15" t="str">
        <x:v>RECOMMENDED_BEFORE</x:v>
      </x:c>
      <x:c r="E1999" s="9" t="str">
        <x:v>T40.06</x:v>
      </x:c>
      <x:c r="F1999" s="9" t="str">
        <x:v>Valuing a listed company</x:v>
      </x:c>
      <x:c r="G1999" s="9" t="str">
        <x:v>Suggested starting knowledge: How transactions move through all three statements. It helps you apply multiple concepts to one decision and explain the result using evidence.</x:v>
      </x:c>
      <x:c r="H1999" s="9" t="str">
        <x:v>Suggested learning order; learners can still explore freely.</x:v>
      </x:c>
      <x:c r="I1999" s="9" t="str">
        <x:v>Curated curriculum relationship</x:v>
      </x:c>
    </x:row>
    <x:row r="2000" ht="58" customHeight="1">
      <x:c r="A2000" s="10" t="str">
        <x:v>E1995</x:v>
      </x:c>
      <x:c r="B2000" s="10" t="str">
        <x:v>T40.07</x:v>
      </x:c>
      <x:c r="C2000" s="10" t="str">
        <x:v>Writing an equity research report</x:v>
      </x:c>
      <x:c r="D2000" s="14" t="str">
        <x:v>PART_OF</x:v>
      </x:c>
      <x:c r="E2000" s="10" t="str">
        <x:v>D40</x:v>
      </x:c>
      <x:c r="F2000" s="10" t="str">
        <x:v>Applied cases, financial history, and integrated practice</x:v>
      </x:c>
      <x:c r="G2000" s="10" t="str">
        <x:v>Curriculum membership. Use this link to move between the topic and its finance area.</x:v>
      </x:c>
      <x:c r="H2000" s="10" t="str">
        <x:v>Classification only; this edge is not a causal or calculation relationship.</x:v>
      </x:c>
      <x:c r="I2000" s="10" t="str">
        <x:v>Curated curriculum relationship</x:v>
      </x:c>
    </x:row>
    <x:row r="2001" ht="58" customHeight="1">
      <x:c r="A2001" s="9" t="str">
        <x:v>E1996</x:v>
      </x:c>
      <x:c r="B2001" s="9" t="str">
        <x:v>T40.07</x:v>
      </x:c>
      <x:c r="C2001" s="9" t="str">
        <x:v>Writing an equity research report</x:v>
      </x:c>
      <x:c r="D2001" s="15" t="str">
        <x:v>EXPLORE_WITH</x:v>
      </x:c>
      <x:c r="E2001" s="9" t="str">
        <x:v>T40.18</x:v>
      </x:c>
      <x:c r="F2001" s="9" t="str">
        <x:v>Comparing an investment thesis with the outcome</x:v>
      </x:c>
      <x:c r="G2001" s="9" t="str">
        <x:v>Study these together to apply multiple concepts to one decision and explain the result using evidence.</x:v>
      </x:c>
      <x:c r="H2001" s="9" t="str">
        <x:v>A topical exploration link, not a claim that one determines the other.</x:v>
      </x:c>
      <x:c r="I2001" s="9" t="str">
        <x:v>Curated curriculum relationship</x:v>
      </x:c>
    </x:row>
    <x:row r="2002" ht="58" customHeight="1">
      <x:c r="A2002" s="10" t="str">
        <x:v>E1997</x:v>
      </x:c>
      <x:c r="B2002" s="10" t="str">
        <x:v>T07.14</x:v>
      </x:c>
      <x:c r="C2002" s="10" t="str">
        <x:v>How transactions move through all three statements</x:v>
      </x:c>
      <x:c r="D2002" s="14" t="str">
        <x:v>RECOMMENDED_BEFORE</x:v>
      </x:c>
      <x:c r="E2002" s="10" t="str">
        <x:v>T40.07</x:v>
      </x:c>
      <x:c r="F2002" s="10" t="str">
        <x:v>Writing an equity research report</x:v>
      </x:c>
      <x:c r="G2002" s="10" t="str">
        <x:v>Suggested starting knowledge: How transactions move through all three statements. It helps you apply multiple concepts to one decision and explain the result using evidence.</x:v>
      </x:c>
      <x:c r="H2002" s="10" t="str">
        <x:v>Suggested learning order; learners can still explore freely.</x:v>
      </x:c>
      <x:c r="I2002" s="10" t="str">
        <x:v>Curated curriculum relationship</x:v>
      </x:c>
    </x:row>
    <x:row r="2003" ht="58" customHeight="1">
      <x:c r="A2003" s="9" t="str">
        <x:v>E1998</x:v>
      </x:c>
      <x:c r="B2003" s="9" t="str">
        <x:v>T40.08</x:v>
      </x:c>
      <x:c r="C2003" s="9" t="str">
        <x:v>Underwriting a corporate loan</x:v>
      </x:c>
      <x:c r="D2003" s="15" t="str">
        <x:v>PART_OF</x:v>
      </x:c>
      <x:c r="E2003" s="9" t="str">
        <x:v>D40</x:v>
      </x:c>
      <x:c r="F2003" s="9" t="str">
        <x:v>Applied cases, financial history, and integrated practice</x:v>
      </x:c>
      <x:c r="G2003" s="9" t="str">
        <x:v>Curriculum membership. Use this link to move between the topic and its finance area.</x:v>
      </x:c>
      <x:c r="H2003" s="9" t="str">
        <x:v>Classification only; this edge is not a causal or calculation relationship.</x:v>
      </x:c>
      <x:c r="I2003" s="9" t="str">
        <x:v>Curated curriculum relationship</x:v>
      </x:c>
    </x:row>
    <x:row r="2004" ht="58" customHeight="1">
      <x:c r="A2004" s="10" t="str">
        <x:v>E1999</x:v>
      </x:c>
      <x:c r="B2004" s="10" t="str">
        <x:v>T40.08</x:v>
      </x:c>
      <x:c r="C2004" s="10" t="str">
        <x:v>Underwriting a corporate loan</x:v>
      </x:c>
      <x:c r="D2004" s="14" t="str">
        <x:v>EXPLORE_WITH</x:v>
      </x:c>
      <x:c r="E2004" s="10" t="str">
        <x:v>T40.15</x:v>
      </x:c>
      <x:c r="F2004" s="10" t="str">
        <x:v>Stress-testing a bank or business</x:v>
      </x:c>
      <x:c r="G2004" s="10" t="str">
        <x:v>Study these together to apply multiple concepts to one decision and explain the result using evidence.</x:v>
      </x:c>
      <x:c r="H2004" s="10" t="str">
        <x:v>A topical exploration link, not a claim that one determines the other.</x:v>
      </x:c>
      <x:c r="I2004" s="10" t="str">
        <x:v>Curated curriculum relationship</x:v>
      </x:c>
    </x:row>
    <x:row r="2005" ht="58" customHeight="1">
      <x:c r="A2005" s="9" t="str">
        <x:v>E2000</x:v>
      </x:c>
      <x:c r="B2005" s="9" t="str">
        <x:v>T07.14</x:v>
      </x:c>
      <x:c r="C2005" s="9" t="str">
        <x:v>How transactions move through all three statements</x:v>
      </x:c>
      <x:c r="D2005" s="15" t="str">
        <x:v>RECOMMENDED_BEFORE</x:v>
      </x:c>
      <x:c r="E2005" s="9" t="str">
        <x:v>T40.08</x:v>
      </x:c>
      <x:c r="F2005" s="9" t="str">
        <x:v>Underwriting a corporate loan</x:v>
      </x:c>
      <x:c r="G2005" s="9" t="str">
        <x:v>Suggested starting knowledge: How transactions move through all three statements. It helps you apply multiple concepts to one decision and explain the result using evidence.</x:v>
      </x:c>
      <x:c r="H2005" s="9" t="str">
        <x:v>Suggested learning order; learners can still explore freely.</x:v>
      </x:c>
      <x:c r="I2005" s="9" t="str">
        <x:v>Curated curriculum relationship</x:v>
      </x:c>
    </x:row>
    <x:row r="2006" ht="58" customHeight="1">
      <x:c r="A2006" s="10" t="str">
        <x:v>E2001</x:v>
      </x:c>
      <x:c r="B2006" s="10" t="str">
        <x:v>T40.09</x:v>
      </x:c>
      <x:c r="C2006" s="10" t="str">
        <x:v>Evaluating a capital expenditure proposal</x:v>
      </x:c>
      <x:c r="D2006" s="14" t="str">
        <x:v>PART_OF</x:v>
      </x:c>
      <x:c r="E2006" s="10" t="str">
        <x:v>D40</x:v>
      </x:c>
      <x:c r="F2006" s="10" t="str">
        <x:v>Applied cases, financial history, and integrated practice</x:v>
      </x:c>
      <x:c r="G2006" s="10" t="str">
        <x:v>Curriculum membership. Use this link to move between the topic and its finance area.</x:v>
      </x:c>
      <x:c r="H2006" s="10" t="str">
        <x:v>Classification only; this edge is not a causal or calculation relationship.</x:v>
      </x:c>
      <x:c r="I2006" s="10" t="str">
        <x:v>Curated curriculum relationship</x:v>
      </x:c>
    </x:row>
    <x:row r="2007" ht="58" customHeight="1">
      <x:c r="A2007" s="9" t="str">
        <x:v>E2002</x:v>
      </x:c>
      <x:c r="B2007" s="9" t="str">
        <x:v>T40.09</x:v>
      </x:c>
      <x:c r="C2007" s="9" t="str">
        <x:v>Evaluating a capital expenditure proposal</x:v>
      </x:c>
      <x:c r="D2007" s="15" t="str">
        <x:v>EXPLORE_WITH</x:v>
      </x:c>
      <x:c r="E2007" s="9" t="str">
        <x:v>T40.04</x:v>
      </x:c>
      <x:c r="F2007" s="9" t="str">
        <x:v>Assessing whether growth creates value</x:v>
      </x:c>
      <x:c r="G2007" s="9" t="str">
        <x:v>Study these together to apply multiple concepts to one decision and explain the result using evidence.</x:v>
      </x:c>
      <x:c r="H2007" s="9" t="str">
        <x:v>A topical exploration link, not a claim that one determines the other.</x:v>
      </x:c>
      <x:c r="I2007" s="9" t="str">
        <x:v>Curated curriculum relationship</x:v>
      </x:c>
    </x:row>
    <x:row r="2008" ht="58" customHeight="1">
      <x:c r="A2008" s="10" t="str">
        <x:v>E2003</x:v>
      </x:c>
      <x:c r="B2008" s="10" t="str">
        <x:v>T07.14</x:v>
      </x:c>
      <x:c r="C2008" s="10" t="str">
        <x:v>How transactions move through all three statements</x:v>
      </x:c>
      <x:c r="D2008" s="14" t="str">
        <x:v>RECOMMENDED_BEFORE</x:v>
      </x:c>
      <x:c r="E2008" s="10" t="str">
        <x:v>T40.09</x:v>
      </x:c>
      <x:c r="F2008" s="10" t="str">
        <x:v>Evaluating a capital expenditure proposal</x:v>
      </x:c>
      <x:c r="G2008" s="10" t="str">
        <x:v>Suggested starting knowledge: How transactions move through all three statements. It helps you apply multiple concepts to one decision and explain the result using evidence.</x:v>
      </x:c>
      <x:c r="H2008" s="10" t="str">
        <x:v>Suggested learning order; learners can still explore freely.</x:v>
      </x:c>
      <x:c r="I2008" s="10" t="str">
        <x:v>Curated curriculum relationship</x:v>
      </x:c>
    </x:row>
    <x:row r="2009" ht="58" customHeight="1">
      <x:c r="A2009" s="9" t="str">
        <x:v>E2004</x:v>
      </x:c>
      <x:c r="B2009" s="9" t="str">
        <x:v>T40.10</x:v>
      </x:c>
      <x:c r="C2009" s="9" t="str">
        <x:v>Comparing debt versus equity financing</x:v>
      </x:c>
      <x:c r="D2009" s="15" t="str">
        <x:v>PART_OF</x:v>
      </x:c>
      <x:c r="E2009" s="9" t="str">
        <x:v>D40</x:v>
      </x:c>
      <x:c r="F2009" s="9" t="str">
        <x:v>Applied cases, financial history, and integrated practice</x:v>
      </x:c>
      <x:c r="G2009" s="9" t="str">
        <x:v>Curriculum membership. Use this link to move between the topic and its finance area.</x:v>
      </x:c>
      <x:c r="H2009" s="9" t="str">
        <x:v>Classification only; this edge is not a causal or calculation relationship.</x:v>
      </x:c>
      <x:c r="I2009" s="9" t="str">
        <x:v>Curated curriculum relationship</x:v>
      </x:c>
    </x:row>
    <x:row r="2010" ht="58" customHeight="1">
      <x:c r="A2010" s="10" t="str">
        <x:v>E2005</x:v>
      </x:c>
      <x:c r="B2010" s="10" t="str">
        <x:v>T40.10</x:v>
      </x:c>
      <x:c r="C2010" s="10" t="str">
        <x:v>Comparing debt versus equity financing</x:v>
      </x:c>
      <x:c r="D2010" s="14" t="str">
        <x:v>EXPLORE_WITH</x:v>
      </x:c>
      <x:c r="E2010" s="10" t="str">
        <x:v>T40.09</x:v>
      </x:c>
      <x:c r="F2010" s="10" t="str">
        <x:v>Evaluating a capital expenditure proposal</x:v>
      </x:c>
      <x:c r="G2010" s="10" t="str">
        <x:v>Study these together to apply multiple concepts to one decision and explain the result using evidence.</x:v>
      </x:c>
      <x:c r="H2010" s="10" t="str">
        <x:v>A topical exploration link, not a claim that one determines the other.</x:v>
      </x:c>
      <x:c r="I2010" s="10" t="str">
        <x:v>Curated curriculum relationship</x:v>
      </x:c>
    </x:row>
    <x:row r="2011" ht="58" customHeight="1">
      <x:c r="A2011" s="9" t="str">
        <x:v>E2006</x:v>
      </x:c>
      <x:c r="B2011" s="9" t="str">
        <x:v>T07.14</x:v>
      </x:c>
      <x:c r="C2011" s="9" t="str">
        <x:v>How transactions move through all three statements</x:v>
      </x:c>
      <x:c r="D2011" s="15" t="str">
        <x:v>RECOMMENDED_BEFORE</x:v>
      </x:c>
      <x:c r="E2011" s="9" t="str">
        <x:v>T40.10</x:v>
      </x:c>
      <x:c r="F2011" s="9" t="str">
        <x:v>Comparing debt versus equity financing</x:v>
      </x:c>
      <x:c r="G2011" s="9" t="str">
        <x:v>Suggested starting knowledge: How transactions move through all three statements. It helps you apply multiple concepts to one decision and explain the result using evidence.</x:v>
      </x:c>
      <x:c r="H2011" s="9" t="str">
        <x:v>Suggested learning order; learners can still explore freely.</x:v>
      </x:c>
      <x:c r="I2011" s="9" t="str">
        <x:v>Curated curriculum relationship</x:v>
      </x:c>
    </x:row>
    <x:row r="2012" ht="58" customHeight="1">
      <x:c r="A2012" s="10" t="str">
        <x:v>E2007</x:v>
      </x:c>
      <x:c r="B2012" s="10" t="str">
        <x:v>T40.11</x:v>
      </x:c>
      <x:c r="C2012" s="10" t="str">
        <x:v>Analysing an acquisition</x:v>
      </x:c>
      <x:c r="D2012" s="14" t="str">
        <x:v>PART_OF</x:v>
      </x:c>
      <x:c r="E2012" s="10" t="str">
        <x:v>D40</x:v>
      </x:c>
      <x:c r="F2012" s="10" t="str">
        <x:v>Applied cases, financial history, and integrated practice</x:v>
      </x:c>
      <x:c r="G2012" s="10" t="str">
        <x:v>Curriculum membership. Use this link to move between the topic and its finance area.</x:v>
      </x:c>
      <x:c r="H2012" s="10" t="str">
        <x:v>Classification only; this edge is not a causal or calculation relationship.</x:v>
      </x:c>
      <x:c r="I2012" s="10" t="str">
        <x:v>Curated curriculum relationship</x:v>
      </x:c>
    </x:row>
    <x:row r="2013" ht="58" customHeight="1">
      <x:c r="A2013" s="9" t="str">
        <x:v>E2008</x:v>
      </x:c>
      <x:c r="B2013" s="9" t="str">
        <x:v>T40.11</x:v>
      </x:c>
      <x:c r="C2013" s="9" t="str">
        <x:v>Analysing an acquisition</x:v>
      </x:c>
      <x:c r="D2013" s="15" t="str">
        <x:v>EXPLORE_WITH</x:v>
      </x:c>
      <x:c r="E2013" s="9" t="str">
        <x:v>T40.06</x:v>
      </x:c>
      <x:c r="F2013" s="9" t="str">
        <x:v>Valuing a listed company</x:v>
      </x:c>
      <x:c r="G2013" s="9" t="str">
        <x:v>Study these together to apply multiple concepts to one decision and explain the result using evidence.</x:v>
      </x:c>
      <x:c r="H2013" s="9" t="str">
        <x:v>A topical exploration link, not a claim that one determines the other.</x:v>
      </x:c>
      <x:c r="I2013" s="9" t="str">
        <x:v>Curated curriculum relationship</x:v>
      </x:c>
    </x:row>
    <x:row r="2014" ht="58" customHeight="1">
      <x:c r="A2014" s="10" t="str">
        <x:v>E2009</x:v>
      </x:c>
      <x:c r="B2014" s="10" t="str">
        <x:v>T07.14</x:v>
      </x:c>
      <x:c r="C2014" s="10" t="str">
        <x:v>How transactions move through all three statements</x:v>
      </x:c>
      <x:c r="D2014" s="14" t="str">
        <x:v>RECOMMENDED_BEFORE</x:v>
      </x:c>
      <x:c r="E2014" s="10" t="str">
        <x:v>T40.11</x:v>
      </x:c>
      <x:c r="F2014" s="10" t="str">
        <x:v>Analysing an acquisition</x:v>
      </x:c>
      <x:c r="G2014" s="10" t="str">
        <x:v>Suggested starting knowledge: How transactions move through all three statements. It helps you apply multiple concepts to one decision and explain the result using evidence.</x:v>
      </x:c>
      <x:c r="H2014" s="10" t="str">
        <x:v>Suggested learning order; learners can still explore freely.</x:v>
      </x:c>
      <x:c r="I2014" s="10" t="str">
        <x:v>Curated curriculum relationship</x:v>
      </x:c>
    </x:row>
    <x:row r="2015" ht="58" customHeight="1">
      <x:c r="A2015" s="9" t="str">
        <x:v>E2010</x:v>
      </x:c>
      <x:c r="B2015" s="9" t="str">
        <x:v>T40.12</x:v>
      </x:c>
      <x:c r="C2015" s="9" t="str">
        <x:v>Building a startup fundraising and dilution model</x:v>
      </x:c>
      <x:c r="D2015" s="15" t="str">
        <x:v>PART_OF</x:v>
      </x:c>
      <x:c r="E2015" s="9" t="str">
        <x:v>D40</x:v>
      </x:c>
      <x:c r="F2015" s="9" t="str">
        <x:v>Applied cases, financial history, and integrated practice</x:v>
      </x:c>
      <x:c r="G2015" s="9" t="str">
        <x:v>Curriculum membership. Use this link to move between the topic and its finance area.</x:v>
      </x:c>
      <x:c r="H2015" s="9" t="str">
        <x:v>Classification only; this edge is not a causal or calculation relationship.</x:v>
      </x:c>
      <x:c r="I2015" s="9" t="str">
        <x:v>Curated curriculum relationship</x:v>
      </x:c>
    </x:row>
    <x:row r="2016" ht="58" customHeight="1">
      <x:c r="A2016" s="10" t="str">
        <x:v>E2011</x:v>
      </x:c>
      <x:c r="B2016" s="10" t="str">
        <x:v>T40.12</x:v>
      </x:c>
      <x:c r="C2016" s="10" t="str">
        <x:v>Building a startup fundraising and dilution model</x:v>
      </x:c>
      <x:c r="D2016" s="14" t="str">
        <x:v>EXPLORE_WITH</x:v>
      </x:c>
      <x:c r="E2016" s="10" t="str">
        <x:v>T40.06</x:v>
      </x:c>
      <x:c r="F2016" s="10" t="str">
        <x:v>Valuing a listed company</x:v>
      </x:c>
      <x:c r="G2016" s="10" t="str">
        <x:v>Study these together to apply multiple concepts to one decision and explain the result using evidence.</x:v>
      </x:c>
      <x:c r="H2016" s="10" t="str">
        <x:v>A topical exploration link, not a claim that one determines the other.</x:v>
      </x:c>
      <x:c r="I2016" s="10" t="str">
        <x:v>Curated curriculum relationship</x:v>
      </x:c>
    </x:row>
    <x:row r="2017" ht="58" customHeight="1">
      <x:c r="A2017" s="9" t="str">
        <x:v>E2012</x:v>
      </x:c>
      <x:c r="B2017" s="9" t="str">
        <x:v>T07.14</x:v>
      </x:c>
      <x:c r="C2017" s="9" t="str">
        <x:v>How transactions move through all three statements</x:v>
      </x:c>
      <x:c r="D2017" s="15" t="str">
        <x:v>RECOMMENDED_BEFORE</x:v>
      </x:c>
      <x:c r="E2017" s="9" t="str">
        <x:v>T40.12</x:v>
      </x:c>
      <x:c r="F2017" s="9" t="str">
        <x:v>Building a startup fundraising and dilution model</x:v>
      </x:c>
      <x:c r="G2017" s="9" t="str">
        <x:v>Suggested starting knowledge: How transactions move through all three statements. It helps you apply multiple concepts to one decision and explain the result using evidence.</x:v>
      </x:c>
      <x:c r="H2017" s="9" t="str">
        <x:v>Suggested learning order; learners can still explore freely.</x:v>
      </x:c>
      <x:c r="I2017" s="9" t="str">
        <x:v>Curated curriculum relationship</x:v>
      </x:c>
    </x:row>
    <x:row r="2018" ht="58" customHeight="1">
      <x:c r="A2018" s="10" t="str">
        <x:v>E2013</x:v>
      </x:c>
      <x:c r="B2018" s="10" t="str">
        <x:v>T40.13</x:v>
      </x:c>
      <x:c r="C2018" s="10" t="str">
        <x:v>Evaluating a property investment</x:v>
      </x:c>
      <x:c r="D2018" s="14" t="str">
        <x:v>PART_OF</x:v>
      </x:c>
      <x:c r="E2018" s="10" t="str">
        <x:v>D40</x:v>
      </x:c>
      <x:c r="F2018" s="10" t="str">
        <x:v>Applied cases, financial history, and integrated practice</x:v>
      </x:c>
      <x:c r="G2018" s="10" t="str">
        <x:v>Curriculum membership. Use this link to move between the topic and its finance area.</x:v>
      </x:c>
      <x:c r="H2018" s="10" t="str">
        <x:v>Classification only; this edge is not a causal or calculation relationship.</x:v>
      </x:c>
      <x:c r="I2018" s="10" t="str">
        <x:v>Curated curriculum relationship</x:v>
      </x:c>
    </x:row>
    <x:row r="2019" ht="58" customHeight="1">
      <x:c r="A2019" s="9" t="str">
        <x:v>E2014</x:v>
      </x:c>
      <x:c r="B2019" s="9" t="str">
        <x:v>T40.13</x:v>
      </x:c>
      <x:c r="C2019" s="9" t="str">
        <x:v>Evaluating a property investment</x:v>
      </x:c>
      <x:c r="D2019" s="15" t="str">
        <x:v>EXPLORE_WITH</x:v>
      </x:c>
      <x:c r="E2019" s="9" t="str">
        <x:v>T40.06</x:v>
      </x:c>
      <x:c r="F2019" s="9" t="str">
        <x:v>Valuing a listed company</x:v>
      </x:c>
      <x:c r="G2019" s="9" t="str">
        <x:v>Study these together to apply multiple concepts to one decision and explain the result using evidence.</x:v>
      </x:c>
      <x:c r="H2019" s="9" t="str">
        <x:v>A topical exploration link, not a claim that one determines the other.</x:v>
      </x:c>
      <x:c r="I2019" s="9" t="str">
        <x:v>Curated curriculum relationship</x:v>
      </x:c>
    </x:row>
    <x:row r="2020" ht="58" customHeight="1">
      <x:c r="A2020" s="10" t="str">
        <x:v>E2015</x:v>
      </x:c>
      <x:c r="B2020" s="10" t="str">
        <x:v>T07.14</x:v>
      </x:c>
      <x:c r="C2020" s="10" t="str">
        <x:v>How transactions move through all three statements</x:v>
      </x:c>
      <x:c r="D2020" s="14" t="str">
        <x:v>RECOMMENDED_BEFORE</x:v>
      </x:c>
      <x:c r="E2020" s="10" t="str">
        <x:v>T40.13</x:v>
      </x:c>
      <x:c r="F2020" s="10" t="str">
        <x:v>Evaluating a property investment</x:v>
      </x:c>
      <x:c r="G2020" s="10" t="str">
        <x:v>Suggested starting knowledge: How transactions move through all three statements. It helps you apply multiple concepts to one decision and explain the result using evidence.</x:v>
      </x:c>
      <x:c r="H2020" s="10" t="str">
        <x:v>Suggested learning order; learners can still explore freely.</x:v>
      </x:c>
      <x:c r="I2020" s="10" t="str">
        <x:v>Curated curriculum relationship</x:v>
      </x:c>
    </x:row>
    <x:row r="2021" ht="58" customHeight="1">
      <x:c r="A2021" s="9" t="str">
        <x:v>E2016</x:v>
      </x:c>
      <x:c r="B2021" s="9" t="str">
        <x:v>T40.14</x:v>
      </x:c>
      <x:c r="C2021" s="9" t="str">
        <x:v>Designing and evaluating a portfolio</x:v>
      </x:c>
      <x:c r="D2021" s="15" t="str">
        <x:v>PART_OF</x:v>
      </x:c>
      <x:c r="E2021" s="9" t="str">
        <x:v>D40</x:v>
      </x:c>
      <x:c r="F2021" s="9" t="str">
        <x:v>Applied cases, financial history, and integrated practice</x:v>
      </x:c>
      <x:c r="G2021" s="9" t="str">
        <x:v>Curriculum membership. Use this link to move between the topic and its finance area.</x:v>
      </x:c>
      <x:c r="H2021" s="9" t="str">
        <x:v>Classification only; this edge is not a causal or calculation relationship.</x:v>
      </x:c>
      <x:c r="I2021" s="9" t="str">
        <x:v>Curated curriculum relationship</x:v>
      </x:c>
    </x:row>
    <x:row r="2022" ht="58" customHeight="1">
      <x:c r="A2022" s="10" t="str">
        <x:v>E2017</x:v>
      </x:c>
      <x:c r="B2022" s="10" t="str">
        <x:v>T40.14</x:v>
      </x:c>
      <x:c r="C2022" s="10" t="str">
        <x:v>Designing and evaluating a portfolio</x:v>
      </x:c>
      <x:c r="D2022" s="14" t="str">
        <x:v>EXPLORE_WITH</x:v>
      </x:c>
      <x:c r="E2022" s="10" t="str">
        <x:v>T40.18</x:v>
      </x:c>
      <x:c r="F2022" s="10" t="str">
        <x:v>Comparing an investment thesis with the outcome</x:v>
      </x:c>
      <x:c r="G2022" s="10" t="str">
        <x:v>Study these together to apply multiple concepts to one decision and explain the result using evidence.</x:v>
      </x:c>
      <x:c r="H2022" s="10" t="str">
        <x:v>A topical exploration link, not a claim that one determines the other.</x:v>
      </x:c>
      <x:c r="I2022" s="10" t="str">
        <x:v>Curated curriculum relationship</x:v>
      </x:c>
    </x:row>
    <x:row r="2023" ht="58" customHeight="1">
      <x:c r="A2023" s="9" t="str">
        <x:v>E2018</x:v>
      </x:c>
      <x:c r="B2023" s="9" t="str">
        <x:v>T07.14</x:v>
      </x:c>
      <x:c r="C2023" s="9" t="str">
        <x:v>How transactions move through all three statements</x:v>
      </x:c>
      <x:c r="D2023" s="15" t="str">
        <x:v>RECOMMENDED_BEFORE</x:v>
      </x:c>
      <x:c r="E2023" s="9" t="str">
        <x:v>T40.14</x:v>
      </x:c>
      <x:c r="F2023" s="9" t="str">
        <x:v>Designing and evaluating a portfolio</x:v>
      </x:c>
      <x:c r="G2023" s="9" t="str">
        <x:v>Suggested starting knowledge: How transactions move through all three statements. It helps you apply multiple concepts to one decision and explain the result using evidence.</x:v>
      </x:c>
      <x:c r="H2023" s="9" t="str">
        <x:v>Suggested learning order; learners can still explore freely.</x:v>
      </x:c>
      <x:c r="I2023" s="9" t="str">
        <x:v>Curated curriculum relationship</x:v>
      </x:c>
    </x:row>
    <x:row r="2024" ht="58" customHeight="1">
      <x:c r="A2024" s="10" t="str">
        <x:v>E2019</x:v>
      </x:c>
      <x:c r="B2024" s="10" t="str">
        <x:v>T40.15</x:v>
      </x:c>
      <x:c r="C2024" s="10" t="str">
        <x:v>Stress-testing a bank or business</x:v>
      </x:c>
      <x:c r="D2024" s="14" t="str">
        <x:v>PART_OF</x:v>
      </x:c>
      <x:c r="E2024" s="10" t="str">
        <x:v>D40</x:v>
      </x:c>
      <x:c r="F2024" s="10" t="str">
        <x:v>Applied cases, financial history, and integrated practice</x:v>
      </x:c>
      <x:c r="G2024" s="10" t="str">
        <x:v>Curriculum membership. Use this link to move between the topic and its finance area.</x:v>
      </x:c>
      <x:c r="H2024" s="10" t="str">
        <x:v>Classification only; this edge is not a causal or calculation relationship.</x:v>
      </x:c>
      <x:c r="I2024" s="10" t="str">
        <x:v>Curated curriculum relationship</x:v>
      </x:c>
    </x:row>
    <x:row r="2025" ht="58" customHeight="1">
      <x:c r="A2025" s="9" t="str">
        <x:v>E2020</x:v>
      </x:c>
      <x:c r="B2025" s="9" t="str">
        <x:v>T40.15</x:v>
      </x:c>
      <x:c r="C2025" s="9" t="str">
        <x:v>Stress-testing a bank or business</x:v>
      </x:c>
      <x:c r="D2025" s="15" t="str">
        <x:v>EXPLORE_WITH</x:v>
      </x:c>
      <x:c r="E2025" s="9" t="str">
        <x:v>T40.08</x:v>
      </x:c>
      <x:c r="F2025" s="9" t="str">
        <x:v>Underwriting a corporate loan</x:v>
      </x:c>
      <x:c r="G2025" s="9" t="str">
        <x:v>Study these together to apply multiple concepts to one decision and explain the result using evidence.</x:v>
      </x:c>
      <x:c r="H2025" s="9" t="str">
        <x:v>A topical exploration link, not a claim that one determines the other.</x:v>
      </x:c>
      <x:c r="I2025" s="9" t="str">
        <x:v>Curated curriculum relationship</x:v>
      </x:c>
    </x:row>
    <x:row r="2026" ht="58" customHeight="1">
      <x:c r="A2026" s="10" t="str">
        <x:v>E2021</x:v>
      </x:c>
      <x:c r="B2026" s="10" t="str">
        <x:v>T07.14</x:v>
      </x:c>
      <x:c r="C2026" s="10" t="str">
        <x:v>How transactions move through all three statements</x:v>
      </x:c>
      <x:c r="D2026" s="14" t="str">
        <x:v>RECOMMENDED_BEFORE</x:v>
      </x:c>
      <x:c r="E2026" s="10" t="str">
        <x:v>T40.15</x:v>
      </x:c>
      <x:c r="F2026" s="10" t="str">
        <x:v>Stress-testing a bank or business</x:v>
      </x:c>
      <x:c r="G2026" s="10" t="str">
        <x:v>Suggested starting knowledge: How transactions move through all three statements. It helps you apply multiple concepts to one decision and explain the result using evidence.</x:v>
      </x:c>
      <x:c r="H2026" s="10" t="str">
        <x:v>Suggested learning order; learners can still explore freely.</x:v>
      </x:c>
      <x:c r="I2026" s="10" t="str">
        <x:v>Curated curriculum relationship</x:v>
      </x:c>
    </x:row>
    <x:row r="2027" ht="58" customHeight="1">
      <x:c r="A2027" s="9" t="str">
        <x:v>E2022</x:v>
      </x:c>
      <x:c r="B2027" s="9" t="str">
        <x:v>T40.16</x:v>
      </x:c>
      <x:c r="C2027" s="9" t="str">
        <x:v>Investigating an accounting failure</x:v>
      </x:c>
      <x:c r="D2027" s="15" t="str">
        <x:v>PART_OF</x:v>
      </x:c>
      <x:c r="E2027" s="9" t="str">
        <x:v>D40</x:v>
      </x:c>
      <x:c r="F2027" s="9" t="str">
        <x:v>Applied cases, financial history, and integrated practice</x:v>
      </x:c>
      <x:c r="G2027" s="9" t="str">
        <x:v>Curriculum membership. Use this link to move between the topic and its finance area.</x:v>
      </x:c>
      <x:c r="H2027" s="9" t="str">
        <x:v>Classification only; this edge is not a causal or calculation relationship.</x:v>
      </x:c>
      <x:c r="I2027" s="9" t="str">
        <x:v>Curated curriculum relationship</x:v>
      </x:c>
    </x:row>
    <x:row r="2028" ht="58" customHeight="1">
      <x:c r="A2028" s="10" t="str">
        <x:v>E2023</x:v>
      </x:c>
      <x:c r="B2028" s="10" t="str">
        <x:v>T40.16</x:v>
      </x:c>
      <x:c r="C2028" s="10" t="str">
        <x:v>Investigating an accounting failure</x:v>
      </x:c>
      <x:c r="D2028" s="14" t="str">
        <x:v>EXPLORE_WITH</x:v>
      </x:c>
      <x:c r="E2028" s="10" t="str">
        <x:v>T40.01</x:v>
      </x:c>
      <x:c r="F2028" s="10" t="str">
        <x:v>Reading a real annual report from beginning to end</x:v>
      </x:c>
      <x:c r="G2028" s="10" t="str">
        <x:v>Study these together to apply multiple concepts to one decision and explain the result using evidence.</x:v>
      </x:c>
      <x:c r="H2028" s="10" t="str">
        <x:v>A topical exploration link, not a claim that one determines the other.</x:v>
      </x:c>
      <x:c r="I2028" s="10" t="str">
        <x:v>Curated curriculum relationship</x:v>
      </x:c>
    </x:row>
    <x:row r="2029" ht="58" customHeight="1">
      <x:c r="A2029" s="9" t="str">
        <x:v>E2024</x:v>
      </x:c>
      <x:c r="B2029" s="9" t="str">
        <x:v>T07.14</x:v>
      </x:c>
      <x:c r="C2029" s="9" t="str">
        <x:v>How transactions move through all three statements</x:v>
      </x:c>
      <x:c r="D2029" s="15" t="str">
        <x:v>RECOMMENDED_BEFORE</x:v>
      </x:c>
      <x:c r="E2029" s="9" t="str">
        <x:v>T40.16</x:v>
      </x:c>
      <x:c r="F2029" s="9" t="str">
        <x:v>Investigating an accounting failure</x:v>
      </x:c>
      <x:c r="G2029" s="9" t="str">
        <x:v>Suggested starting knowledge: How transactions move through all three statements. It helps you apply multiple concepts to one decision and explain the result using evidence.</x:v>
      </x:c>
      <x:c r="H2029" s="9" t="str">
        <x:v>Suggested learning order; learners can still explore freely.</x:v>
      </x:c>
      <x:c r="I2029" s="9" t="str">
        <x:v>Curated curriculum relationship</x:v>
      </x:c>
    </x:row>
    <x:row r="2030" ht="58" customHeight="1">
      <x:c r="A2030" s="10" t="str">
        <x:v>E2025</x:v>
      </x:c>
      <x:c r="B2030" s="10" t="str">
        <x:v>T40.17</x:v>
      </x:c>
      <x:c r="C2030" s="10" t="str">
        <x:v>Studying financial crises, bubbles, and corporate collapses</x:v>
      </x:c>
      <x:c r="D2030" s="14" t="str">
        <x:v>PART_OF</x:v>
      </x:c>
      <x:c r="E2030" s="10" t="str">
        <x:v>D40</x:v>
      </x:c>
      <x:c r="F2030" s="10" t="str">
        <x:v>Applied cases, financial history, and integrated practice</x:v>
      </x:c>
      <x:c r="G2030" s="10" t="str">
        <x:v>Curriculum membership. Use this link to move between the topic and its finance area.</x:v>
      </x:c>
      <x:c r="H2030" s="10" t="str">
        <x:v>Classification only; this edge is not a causal or calculation relationship.</x:v>
      </x:c>
      <x:c r="I2030" s="10" t="str">
        <x:v>Curated curriculum relationship</x:v>
      </x:c>
    </x:row>
    <x:row r="2031" ht="58" customHeight="1">
      <x:c r="A2031" s="9" t="str">
        <x:v>E2026</x:v>
      </x:c>
      <x:c r="B2031" s="9" t="str">
        <x:v>T40.17</x:v>
      </x:c>
      <x:c r="C2031" s="9" t="str">
        <x:v>Studying financial crises, bubbles, and corporate collapses</x:v>
      </x:c>
      <x:c r="D2031" s="15" t="str">
        <x:v>EXPLORE_WITH</x:v>
      </x:c>
      <x:c r="E2031" s="9" t="str">
        <x:v>T40.15</x:v>
      </x:c>
      <x:c r="F2031" s="9" t="str">
        <x:v>Stress-testing a bank or business</x:v>
      </x:c>
      <x:c r="G2031" s="9" t="str">
        <x:v>Study these together to apply multiple concepts to one decision and explain the result using evidence.</x:v>
      </x:c>
      <x:c r="H2031" s="9" t="str">
        <x:v>A topical exploration link, not a claim that one determines the other.</x:v>
      </x:c>
      <x:c r="I2031" s="9" t="str">
        <x:v>Curated curriculum relationship</x:v>
      </x:c>
    </x:row>
    <x:row r="2032" ht="58" customHeight="1">
      <x:c r="A2032" s="10" t="str">
        <x:v>E2027</x:v>
      </x:c>
      <x:c r="B2032" s="10" t="str">
        <x:v>T07.14</x:v>
      </x:c>
      <x:c r="C2032" s="10" t="str">
        <x:v>How transactions move through all three statements</x:v>
      </x:c>
      <x:c r="D2032" s="14" t="str">
        <x:v>RECOMMENDED_BEFORE</x:v>
      </x:c>
      <x:c r="E2032" s="10" t="str">
        <x:v>T40.17</x:v>
      </x:c>
      <x:c r="F2032" s="10" t="str">
        <x:v>Studying financial crises, bubbles, and corporate collapses</x:v>
      </x:c>
      <x:c r="G2032" s="10" t="str">
        <x:v>Suggested starting knowledge: How transactions move through all three statements. It helps you apply multiple concepts to one decision and explain the result using evidence.</x:v>
      </x:c>
      <x:c r="H2032" s="10" t="str">
        <x:v>Suggested learning order; learners can still explore freely.</x:v>
      </x:c>
      <x:c r="I2032" s="10" t="str">
        <x:v>Curated curriculum relationship</x:v>
      </x:c>
    </x:row>
    <x:row r="2033" ht="58" customHeight="1">
      <x:c r="A2033" s="9" t="str">
        <x:v>E2028</x:v>
      </x:c>
      <x:c r="B2033" s="9" t="str">
        <x:v>T40.18</x:v>
      </x:c>
      <x:c r="C2033" s="9" t="str">
        <x:v>Comparing an investment thesis with the outcome</x:v>
      </x:c>
      <x:c r="D2033" s="15" t="str">
        <x:v>PART_OF</x:v>
      </x:c>
      <x:c r="E2033" s="9" t="str">
        <x:v>D40</x:v>
      </x:c>
      <x:c r="F2033" s="9" t="str">
        <x:v>Applied cases, financial history, and integrated practice</x:v>
      </x:c>
      <x:c r="G2033" s="9" t="str">
        <x:v>Curriculum membership. Use this link to move between the topic and its finance area.</x:v>
      </x:c>
      <x:c r="H2033" s="9" t="str">
        <x:v>Classification only; this edge is not a causal or calculation relationship.</x:v>
      </x:c>
      <x:c r="I2033" s="9" t="str">
        <x:v>Curated curriculum relationship</x:v>
      </x:c>
    </x:row>
    <x:row r="2034" ht="58" customHeight="1">
      <x:c r="A2034" s="10" t="str">
        <x:v>E2029</x:v>
      </x:c>
      <x:c r="B2034" s="10" t="str">
        <x:v>T40.18</x:v>
      </x:c>
      <x:c r="C2034" s="10" t="str">
        <x:v>Comparing an investment thesis with the outcome</x:v>
      </x:c>
      <x:c r="D2034" s="14" t="str">
        <x:v>EXPLORE_WITH</x:v>
      </x:c>
      <x:c r="E2034" s="10" t="str">
        <x:v>T40.07</x:v>
      </x:c>
      <x:c r="F2034" s="10" t="str">
        <x:v>Writing an equity research report</x:v>
      </x:c>
      <x:c r="G2034" s="10" t="str">
        <x:v>Study these together to apply multiple concepts to one decision and explain the result using evidence.</x:v>
      </x:c>
      <x:c r="H2034" s="10" t="str">
        <x:v>A topical exploration link, not a claim that one determines the other.</x:v>
      </x:c>
      <x:c r="I2034" s="10" t="str">
        <x:v>Curated curriculum relationship</x:v>
      </x:c>
    </x:row>
    <x:row r="2035" ht="58" customHeight="1">
      <x:c r="A2035" s="9" t="str">
        <x:v>E2030</x:v>
      </x:c>
      <x:c r="B2035" s="9" t="str">
        <x:v>T07.14</x:v>
      </x:c>
      <x:c r="C2035" s="9" t="str">
        <x:v>How transactions move through all three statements</x:v>
      </x:c>
      <x:c r="D2035" s="15" t="str">
        <x:v>RECOMMENDED_BEFORE</x:v>
      </x:c>
      <x:c r="E2035" s="9" t="str">
        <x:v>T40.18</x:v>
      </x:c>
      <x:c r="F2035" s="9" t="str">
        <x:v>Comparing an investment thesis with the outcome</x:v>
      </x:c>
      <x:c r="G2035" s="9" t="str">
        <x:v>Suggested starting knowledge: How transactions move through all three statements. It helps you apply multiple concepts to one decision and explain the result using evidence.</x:v>
      </x:c>
      <x:c r="H2035" s="9" t="str">
        <x:v>Suggested learning order; learners can still explore freely.</x:v>
      </x:c>
      <x:c r="I2035" s="9" t="str">
        <x:v>Curated curriculum relationship</x:v>
      </x:c>
    </x:row>
    <x:row r="2036" ht="58" customHeight="1">
      <x:c r="A2036" s="10" t="str">
        <x:v>E2031</x:v>
      </x:c>
      <x:c r="B2036" s="10" t="str">
        <x:v>T02.07</x:v>
      </x:c>
      <x:c r="C2036" s="10" t="str">
        <x:v>Probability, conditional probability, and Bayes' theorem</x:v>
      </x:c>
      <x:c r="D2036" s="14" t="str">
        <x:v>RECOMMENDED_BEFORE</x:v>
      </x:c>
      <x:c r="E2036" s="10" t="str">
        <x:v>T02.08</x:v>
      </x:c>
      <x:c r="F2036" s="10" t="str">
        <x:v>Expected value, variance, standard deviation, and covariance</x:v>
      </x:c>
      <x:c r="G2036" s="10" t="str">
        <x:v>Understand Probability, conditional probability, and Bayes' theorem before exploring Expected value, variance, standard deviation, and covariance.</x:v>
      </x:c>
      <x:c r="H2036" s="10" t="str">
        <x:v>Optional preparation, not a navigation restriction.</x:v>
      </x:c>
      <x:c r="I2036" s="10" t="str">
        <x:v>Curated curriculum relationship</x:v>
      </x:c>
    </x:row>
    <x:row r="2037" ht="58" customHeight="1">
      <x:c r="A2037" s="9" t="str">
        <x:v>E2032</x:v>
      </x:c>
      <x:c r="B2037" s="9" t="str">
        <x:v>T02.08</x:v>
      </x:c>
      <x:c r="C2037" s="9" t="str">
        <x:v>Expected value, variance, standard deviation, and covariance</x:v>
      </x:c>
      <x:c r="D2037" s="15" t="str">
        <x:v>RECOMMENDED_BEFORE</x:v>
      </x:c>
      <x:c r="E2037" s="9" t="str">
        <x:v>T02.09</x:v>
      </x:c>
      <x:c r="F2037" s="9" t="str">
        <x:v>Correlation and its limitations</x:v>
      </x:c>
      <x:c r="G2037" s="9" t="str">
        <x:v>Understand Expected value, variance, standard deviation, and covariance before exploring Correlation and its limitations.</x:v>
      </x:c>
      <x:c r="H2037" s="9" t="str">
        <x:v>Optional preparation, not a navigation restriction.</x:v>
      </x:c>
      <x:c r="I2037" s="9" t="str">
        <x:v>Curated curriculum relationship</x:v>
      </x:c>
    </x:row>
    <x:row r="2038" ht="58" customHeight="1">
      <x:c r="A2038" s="10" t="str">
        <x:v>E2033</x:v>
      </x:c>
      <x:c r="B2038" s="10" t="str">
        <x:v>T02.08</x:v>
      </x:c>
      <x:c r="C2038" s="10" t="str">
        <x:v>Expected value, variance, standard deviation, and covariance</x:v>
      </x:c>
      <x:c r="D2038" s="14" t="str">
        <x:v>RECOMMENDED_BEFORE</x:v>
      </x:c>
      <x:c r="E2038" s="10" t="str">
        <x:v>T02.10</x:v>
      </x:c>
      <x:c r="F2038" s="10" t="str">
        <x:v>Probability distributions, skewness, kurtosis, and tail risk</x:v>
      </x:c>
      <x:c r="G2038" s="10" t="str">
        <x:v>Understand Expected value, variance, standard deviation, and covariance before exploring Probability distributions, skewness, kurtosis, and tail risk.</x:v>
      </x:c>
      <x:c r="H2038" s="10" t="str">
        <x:v>Optional preparation, not a navigation restriction.</x:v>
      </x:c>
      <x:c r="I2038" s="10" t="str">
        <x:v>Curated curriculum relationship</x:v>
      </x:c>
    </x:row>
    <x:row r="2039" ht="58" customHeight="1">
      <x:c r="A2039" s="9" t="str">
        <x:v>E2034</x:v>
      </x:c>
      <x:c r="B2039" s="9" t="str">
        <x:v>T02.07</x:v>
      </x:c>
      <x:c r="C2039" s="9" t="str">
        <x:v>Probability, conditional probability, and Bayes' theorem</x:v>
      </x:c>
      <x:c r="D2039" s="15" t="str">
        <x:v>RECOMMENDED_BEFORE</x:v>
      </x:c>
      <x:c r="E2039" s="9" t="str">
        <x:v>T02.11</x:v>
      </x:c>
      <x:c r="F2039" s="9" t="str">
        <x:v>Sampling, estimation, confidence intervals, and hypothesis testing</x:v>
      </x:c>
      <x:c r="G2039" s="9" t="str">
        <x:v>Understand Probability, conditional probability, and Bayes' theorem before exploring Sampling, estimation, confidence intervals, and hypothesis testing.</x:v>
      </x:c>
      <x:c r="H2039" s="9" t="str">
        <x:v>Optional preparation, not a navigation restriction.</x:v>
      </x:c>
      <x:c r="I2039" s="9" t="str">
        <x:v>Curated curriculum relationship</x:v>
      </x:c>
    </x:row>
    <x:row r="2040" ht="58" customHeight="1">
      <x:c r="A2040" s="10" t="str">
        <x:v>E2035</x:v>
      </x:c>
      <x:c r="B2040" s="10" t="str">
        <x:v>T02.11</x:v>
      </x:c>
      <x:c r="C2040" s="10" t="str">
        <x:v>Sampling, estimation, confidence intervals, and hypothesis testing</x:v>
      </x:c>
      <x:c r="D2040" s="14" t="str">
        <x:v>RECOMMENDED_BEFORE</x:v>
      </x:c>
      <x:c r="E2040" s="10" t="str">
        <x:v>T02.12</x:v>
      </x:c>
      <x:c r="F2040" s="10" t="str">
        <x:v>Regression, statistical significance, and economic significance</x:v>
      </x:c>
      <x:c r="G2040" s="10" t="str">
        <x:v>Understand Sampling, estimation, confidence intervals, and hypothesis testing before exploring Regression, statistical significance, and economic significance.</x:v>
      </x:c>
      <x:c r="H2040" s="10" t="str">
        <x:v>Optional preparation, not a navigation restriction.</x:v>
      </x:c>
      <x:c r="I2040" s="10" t="str">
        <x:v>Curated curriculum relationship</x:v>
      </x:c>
    </x:row>
    <x:row r="2041" ht="58" customHeight="1">
      <x:c r="A2041" s="9" t="str">
        <x:v>E2036</x:v>
      </x:c>
      <x:c r="B2041" s="9" t="str">
        <x:v>T02.12</x:v>
      </x:c>
      <x:c r="C2041" s="9" t="str">
        <x:v>Regression, statistical significance, and economic significance</x:v>
      </x:c>
      <x:c r="D2041" s="15" t="str">
        <x:v>RECOMMENDED_BEFORE</x:v>
      </x:c>
      <x:c r="E2041" s="9" t="str">
        <x:v>T02.13</x:v>
      </x:c>
      <x:c r="F2041" s="9" t="str">
        <x:v>Time-series foundations, stationarity, autocorrelation, and volatility</x:v>
      </x:c>
      <x:c r="G2041" s="9" t="str">
        <x:v>Understand Regression, statistical significance, and economic significance before exploring Time-series foundations, stationarity, autocorrelation, and volatility.</x:v>
      </x:c>
      <x:c r="H2041" s="9" t="str">
        <x:v>Optional preparation, not a navigation restriction.</x:v>
      </x:c>
      <x:c r="I2041" s="9" t="str">
        <x:v>Curated curriculum relationship</x:v>
      </x:c>
    </x:row>
    <x:row r="2042" ht="58" customHeight="1">
      <x:c r="A2042" s="10" t="str">
        <x:v>E2037</x:v>
      </x:c>
      <x:c r="B2042" s="10" t="str">
        <x:v>T02.07</x:v>
      </x:c>
      <x:c r="C2042" s="10" t="str">
        <x:v>Probability, conditional probability, and Bayes' theorem</x:v>
      </x:c>
      <x:c r="D2042" s="14" t="str">
        <x:v>RECOMMENDED_BEFORE</x:v>
      </x:c>
      <x:c r="E2042" s="10" t="str">
        <x:v>T02.15</x:v>
      </x:c>
      <x:c r="F2042" s="10" t="str">
        <x:v>Simulation, sensitivity analysis, and scenario analysis</x:v>
      </x:c>
      <x:c r="G2042" s="10" t="str">
        <x:v>Understand Probability, conditional probability, and Bayes' theorem before exploring Simulation, sensitivity analysis, and scenario analysis.</x:v>
      </x:c>
      <x:c r="H2042" s="10" t="str">
        <x:v>Optional preparation, not a navigation restriction.</x:v>
      </x:c>
      <x:c r="I2042" s="10" t="str">
        <x:v>Curated curriculum relationship</x:v>
      </x:c>
    </x:row>
    <x:row r="2043" ht="58" customHeight="1">
      <x:c r="A2043" s="9" t="str">
        <x:v>E2038</x:v>
      </x:c>
      <x:c r="B2043" s="9" t="str">
        <x:v>T03.01</x:v>
      </x:c>
      <x:c r="C2043" s="9" t="str">
        <x:v>Present value and future value</x:v>
      </x:c>
      <x:c r="D2043" s="15" t="str">
        <x:v>RECOMMENDED_BEFORE</x:v>
      </x:c>
      <x:c r="E2043" s="9" t="str">
        <x:v>T03.04</x:v>
      </x:c>
      <x:c r="F2043" s="9" t="str">
        <x:v>Ordinary annuities and annuities due</x:v>
      </x:c>
      <x:c r="G2043" s="9" t="str">
        <x:v>Understand Present value and future value before exploring Ordinary annuities and annuities due.</x:v>
      </x:c>
      <x:c r="H2043" s="9" t="str">
        <x:v>Optional preparation, not a navigation restriction.</x:v>
      </x:c>
      <x:c r="I2043" s="9" t="str">
        <x:v>Curated curriculum relationship</x:v>
      </x:c>
    </x:row>
    <x:row r="2044" ht="58" customHeight="1">
      <x:c r="A2044" s="10" t="str">
        <x:v>E2039</x:v>
      </x:c>
      <x:c r="B2044" s="10" t="str">
        <x:v>T03.04</x:v>
      </x:c>
      <x:c r="C2044" s="10" t="str">
        <x:v>Ordinary annuities and annuities due</x:v>
      </x:c>
      <x:c r="D2044" s="14" t="str">
        <x:v>RECOMMENDED_BEFORE</x:v>
      </x:c>
      <x:c r="E2044" s="10" t="str">
        <x:v>T03.05</x:v>
      </x:c>
      <x:c r="F2044" s="10" t="str">
        <x:v>Growing annuities</x:v>
      </x:c>
      <x:c r="G2044" s="10" t="str">
        <x:v>Understand Ordinary annuities and annuities due before exploring Growing annuities.</x:v>
      </x:c>
      <x:c r="H2044" s="10" t="str">
        <x:v>Optional preparation, not a navigation restriction.</x:v>
      </x:c>
      <x:c r="I2044" s="10" t="str">
        <x:v>Curated curriculum relationship</x:v>
      </x:c>
    </x:row>
    <x:row r="2045" ht="58" customHeight="1">
      <x:c r="A2045" s="9" t="str">
        <x:v>E2040</x:v>
      </x:c>
      <x:c r="B2045" s="9" t="str">
        <x:v>T03.02</x:v>
      </x:c>
      <x:c r="C2045" s="9" t="str">
        <x:v>Discounting and compounding</x:v>
      </x:c>
      <x:c r="D2045" s="15" t="str">
        <x:v>RECOMMENDED_BEFORE</x:v>
      </x:c>
      <x:c r="E2045" s="9" t="str">
        <x:v>T03.06</x:v>
      </x:c>
      <x:c r="F2045" s="9" t="str">
        <x:v>Perpetuities and growing perpetuities</x:v>
      </x:c>
      <x:c r="G2045" s="9" t="str">
        <x:v>Understand Discounting and compounding before exploring Perpetuities and growing perpetuities.</x:v>
      </x:c>
      <x:c r="H2045" s="9" t="str">
        <x:v>Optional preparation, not a navigation restriction.</x:v>
      </x:c>
      <x:c r="I2045" s="9" t="str">
        <x:v>Curated curriculum relationship</x:v>
      </x:c>
    </x:row>
    <x:row r="2046" ht="58" customHeight="1">
      <x:c r="A2046" s="10" t="str">
        <x:v>E2041</x:v>
      </x:c>
      <x:c r="B2046" s="10" t="str">
        <x:v>T03.04</x:v>
      </x:c>
      <x:c r="C2046" s="10" t="str">
        <x:v>Ordinary annuities and annuities due</x:v>
      </x:c>
      <x:c r="D2046" s="14" t="str">
        <x:v>RECOMMENDED_BEFORE</x:v>
      </x:c>
      <x:c r="E2046" s="10" t="str">
        <x:v>T03.10</x:v>
      </x:c>
      <x:c r="F2046" s="10" t="str">
        <x:v>Loan amortisation and EMI calculations</x:v>
      </x:c>
      <x:c r="G2046" s="10" t="str">
        <x:v>Understand Ordinary annuities and annuities due before exploring Loan amortisation and EMI calculations.</x:v>
      </x:c>
      <x:c r="H2046" s="10" t="str">
        <x:v>Optional preparation, not a navigation restriction.</x:v>
      </x:c>
      <x:c r="I2046" s="10" t="str">
        <x:v>Curated curriculum relationship</x:v>
      </x:c>
    </x:row>
    <x:row r="2047" ht="58" customHeight="1">
      <x:c r="A2047" s="9" t="str">
        <x:v>E2042</x:v>
      </x:c>
      <x:c r="B2047" s="9" t="str">
        <x:v>T03.07</x:v>
      </x:c>
      <x:c r="C2047" s="9" t="str">
        <x:v>Uneven cash flows</x:v>
      </x:c>
      <x:c r="D2047" s="15" t="str">
        <x:v>RECOMMENDED_BEFORE</x:v>
      </x:c>
      <x:c r="E2047" s="9" t="str">
        <x:v>T03.12</x:v>
      </x:c>
      <x:c r="F2047" s="9" t="str">
        <x:v>Net present value</x:v>
      </x:c>
      <x:c r="G2047" s="9" t="str">
        <x:v>Understand Uneven cash flows before exploring Net present value.</x:v>
      </x:c>
      <x:c r="H2047" s="9" t="str">
        <x:v>Optional preparation, not a navigation restriction.</x:v>
      </x:c>
      <x:c r="I2047" s="9" t="str">
        <x:v>Curated curriculum relationship</x:v>
      </x:c>
    </x:row>
    <x:row r="2048" ht="58" customHeight="1">
      <x:c r="A2048" s="10" t="str">
        <x:v>E2043</x:v>
      </x:c>
      <x:c r="B2048" s="10" t="str">
        <x:v>T03.12</x:v>
      </x:c>
      <x:c r="C2048" s="10" t="str">
        <x:v>Net present value</x:v>
      </x:c>
      <x:c r="D2048" s="14" t="str">
        <x:v>RECOMMENDED_BEFORE</x:v>
      </x:c>
      <x:c r="E2048" s="10" t="str">
        <x:v>T03.13</x:v>
      </x:c>
      <x:c r="F2048" s="10" t="str">
        <x:v>Internal rate of return and modified IRR</x:v>
      </x:c>
      <x:c r="G2048" s="10" t="str">
        <x:v>Understand Net present value before exploring Internal rate of return and modified IRR.</x:v>
      </x:c>
      <x:c r="H2048" s="10" t="str">
        <x:v>Optional preparation, not a navigation restriction.</x:v>
      </x:c>
      <x:c r="I2048" s="10" t="str">
        <x:v>Curated curriculum relationship</x:v>
      </x:c>
    </x:row>
    <x:row r="2049" ht="58" customHeight="1">
      <x:c r="A2049" s="9" t="str">
        <x:v>E2044</x:v>
      </x:c>
      <x:c r="B2049" s="9" t="str">
        <x:v>T02.04</x:v>
      </x:c>
      <x:c r="C2049" s="9" t="str">
        <x:v>Arithmetic returns, geometric returns, and logarithmic returns</x:v>
      </x:c>
      <x:c r="D2049" s="15" t="str">
        <x:v>RECOMMENDED_BEFORE</x:v>
      </x:c>
      <x:c r="E2049" s="9" t="str">
        <x:v>T03.14</x:v>
      </x:c>
      <x:c r="F2049" s="9" t="str">
        <x:v>Money-weighted versus time-weighted returns</x:v>
      </x:c>
      <x:c r="G2049" s="9" t="str">
        <x:v>Understand Arithmetic returns, geometric returns, and logarithmic returns before exploring Money-weighted versus time-weighted returns.</x:v>
      </x:c>
      <x:c r="H2049" s="9" t="str">
        <x:v>Optional preparation, not a navigation restriction.</x:v>
      </x:c>
      <x:c r="I2049" s="9" t="str">
        <x:v>Curated curriculum relationship</x:v>
      </x:c>
    </x:row>
    <x:row r="2050" ht="58" customHeight="1">
      <x:c r="A2050" s="10" t="str">
        <x:v>E2045</x:v>
      </x:c>
      <x:c r="B2050" s="10" t="str">
        <x:v>T04.01</x:v>
      </x:c>
      <x:c r="C2050" s="10" t="str">
        <x:v>The accounting equation</x:v>
      </x:c>
      <x:c r="D2050" s="14" t="str">
        <x:v>RECOMMENDED_BEFORE</x:v>
      </x:c>
      <x:c r="E2050" s="10" t="str">
        <x:v>T04.02</x:v>
      </x:c>
      <x:c r="F2050" s="10" t="str">
        <x:v>Double-entry bookkeeping</x:v>
      </x:c>
      <x:c r="G2050" s="10" t="str">
        <x:v>Understand The accounting equation before exploring Double-entry bookkeeping.</x:v>
      </x:c>
      <x:c r="H2050" s="10" t="str">
        <x:v>Optional preparation, not a navigation restriction.</x:v>
      </x:c>
      <x:c r="I2050" s="10" t="str">
        <x:v>Curated curriculum relationship</x:v>
      </x:c>
    </x:row>
    <x:row r="2051" ht="58" customHeight="1">
      <x:c r="A2051" s="9" t="str">
        <x:v>E2046</x:v>
      </x:c>
      <x:c r="B2051" s="9" t="str">
        <x:v>T04.02</x:v>
      </x:c>
      <x:c r="C2051" s="9" t="str">
        <x:v>Double-entry bookkeeping</x:v>
      </x:c>
      <x:c r="D2051" s="15" t="str">
        <x:v>RECOMMENDED_BEFORE</x:v>
      </x:c>
      <x:c r="E2051" s="9" t="str">
        <x:v>T04.03</x:v>
      </x:c>
      <x:c r="F2051" s="9" t="str">
        <x:v>Debits and credits</x:v>
      </x:c>
      <x:c r="G2051" s="9" t="str">
        <x:v>Understand Double-entry bookkeeping before exploring Debits and credits.</x:v>
      </x:c>
      <x:c r="H2051" s="9" t="str">
        <x:v>Optional preparation, not a navigation restriction.</x:v>
      </x:c>
      <x:c r="I2051" s="9" t="str">
        <x:v>Curated curriculum relationship</x:v>
      </x:c>
    </x:row>
    <x:row r="2052" ht="58" customHeight="1">
      <x:c r="A2052" s="10" t="str">
        <x:v>E2047</x:v>
      </x:c>
      <x:c r="B2052" s="10" t="str">
        <x:v>T04.03</x:v>
      </x:c>
      <x:c r="C2052" s="10" t="str">
        <x:v>Debits and credits</x:v>
      </x:c>
      <x:c r="D2052" s="14" t="str">
        <x:v>RECOMMENDED_BEFORE</x:v>
      </x:c>
      <x:c r="E2052" s="10" t="str">
        <x:v>T04.04</x:v>
      </x:c>
      <x:c r="F2052" s="10" t="str">
        <x:v>Journals, ledgers, trial balances, and closing entries</x:v>
      </x:c>
      <x:c r="G2052" s="10" t="str">
        <x:v>Understand Debits and credits before exploring Journals, ledgers, trial balances, and closing entries.</x:v>
      </x:c>
      <x:c r="H2052" s="10" t="str">
        <x:v>Optional preparation, not a navigation restriction.</x:v>
      </x:c>
      <x:c r="I2052" s="10" t="str">
        <x:v>Curated curriculum relationship</x:v>
      </x:c>
    </x:row>
    <x:row r="2053" ht="58" customHeight="1">
      <x:c r="A2053" s="9" t="str">
        <x:v>E2048</x:v>
      </x:c>
      <x:c r="B2053" s="9" t="str">
        <x:v>T04.05</x:v>
      </x:c>
      <x:c r="C2053" s="9" t="str">
        <x:v>Cash accounting versus accrual accounting</x:v>
      </x:c>
      <x:c r="D2053" s="15" t="str">
        <x:v>RECOMMENDED_BEFORE</x:v>
      </x:c>
      <x:c r="E2053" s="9" t="str">
        <x:v>T04.06</x:v>
      </x:c>
      <x:c r="F2053" s="9" t="str">
        <x:v>Revenue recognition and expense recognition</x:v>
      </x:c>
      <x:c r="G2053" s="9" t="str">
        <x:v>Understand Cash accounting versus accrual accounting before exploring Revenue recognition and expense recognition.</x:v>
      </x:c>
      <x:c r="H2053" s="9" t="str">
        <x:v>Optional preparation, not a navigation restriction.</x:v>
      </x:c>
      <x:c r="I2053" s="9" t="str">
        <x:v>Curated curriculum relationship</x:v>
      </x:c>
    </x:row>
    <x:row r="2054" ht="58" customHeight="1">
      <x:c r="A2054" s="10" t="str">
        <x:v>E2049</x:v>
      </x:c>
      <x:c r="B2054" s="10" t="str">
        <x:v>T04.08</x:v>
      </x:c>
      <x:c r="C2054" s="10" t="str">
        <x:v>Capital expenditure versus operating expenditure</x:v>
      </x:c>
      <x:c r="D2054" s="14" t="str">
        <x:v>RECOMMENDED_BEFORE</x:v>
      </x:c>
      <x:c r="E2054" s="10" t="str">
        <x:v>T04.09</x:v>
      </x:c>
      <x:c r="F2054" s="10" t="str">
        <x:v>Capitalisation versus immediate expensing</x:v>
      </x:c>
      <x:c r="G2054" s="10" t="str">
        <x:v>Understand Capital expenditure versus operating expenditure before exploring Capitalisation versus immediate expensing.</x:v>
      </x:c>
      <x:c r="H2054" s="10" t="str">
        <x:v>Optional preparation, not a navigation restriction.</x:v>
      </x:c>
      <x:c r="I2054" s="10" t="str">
        <x:v>Curated curriculum relationship</x:v>
      </x:c>
    </x:row>
    <x:row r="2055" ht="58" customHeight="1">
      <x:c r="A2055" s="9" t="str">
        <x:v>E2050</x:v>
      </x:c>
      <x:c r="B2055" s="9" t="str">
        <x:v>T04.13</x:v>
      </x:c>
      <x:c r="C2055" s="9" t="str">
        <x:v>Reporting periods and comparative statements</x:v>
      </x:c>
      <x:c r="D2055" s="15" t="str">
        <x:v>RECOMMENDED_BEFORE</x:v>
      </x:c>
      <x:c r="E2055" s="9" t="str">
        <x:v>T04.14</x:v>
      </x:c>
      <x:c r="F2055" s="9" t="str">
        <x:v>Standalone versus consolidated accounts</x:v>
      </x:c>
      <x:c r="G2055" s="9" t="str">
        <x:v>Understand Reporting periods and comparative statements before exploring Standalone versus consolidated accounts.</x:v>
      </x:c>
      <x:c r="H2055" s="9" t="str">
        <x:v>Optional preparation, not a navigation restriction.</x:v>
      </x:c>
      <x:c r="I2055" s="9" t="str">
        <x:v>Curated curriculum relationship</x:v>
      </x:c>
    </x:row>
    <x:row r="2056" ht="58" customHeight="1">
      <x:c r="A2056" s="10" t="str">
        <x:v>E2051</x:v>
      </x:c>
      <x:c r="B2056" s="10" t="str">
        <x:v>T08.01</x:v>
      </x:c>
      <x:c r="C2056" s="10" t="str">
        <x:v>Business combinations and purchase-price allocation</x:v>
      </x:c>
      <x:c r="D2056" s="14" t="str">
        <x:v>RECOMMENDED_BEFORE</x:v>
      </x:c>
      <x:c r="E2056" s="10" t="str">
        <x:v>T08.02</x:v>
      </x:c>
      <x:c r="F2056" s="10" t="str">
        <x:v>Goodwill recognition and impairment testing</x:v>
      </x:c>
      <x:c r="G2056" s="10" t="str">
        <x:v>Understand Business combinations and purchase-price allocation before exploring Goodwill recognition and impairment testing.</x:v>
      </x:c>
      <x:c r="H2056" s="10" t="str">
        <x:v>Optional preparation, not a navigation restriction.</x:v>
      </x:c>
      <x:c r="I2056" s="10" t="str">
        <x:v>Curated curriculum relationship</x:v>
      </x:c>
    </x:row>
    <x:row r="2057" ht="58" customHeight="1">
      <x:c r="A2057" s="9" t="str">
        <x:v>E2052</x:v>
      </x:c>
      <x:c r="B2057" s="9" t="str">
        <x:v>T08.03</x:v>
      </x:c>
      <x:c r="C2057" s="9" t="str">
        <x:v>Subsidiaries, associates, and joint ventures</x:v>
      </x:c>
      <x:c r="D2057" s="15" t="str">
        <x:v>RECOMMENDED_BEFORE</x:v>
      </x:c>
      <x:c r="E2057" s="9" t="str">
        <x:v>T08.04</x:v>
      </x:c>
      <x:c r="F2057" s="9" t="str">
        <x:v>Consolidation and intercompany eliminations</x:v>
      </x:c>
      <x:c r="G2057" s="9" t="str">
        <x:v>Understand Subsidiaries, associates, and joint ventures before exploring Consolidation and intercompany eliminations.</x:v>
      </x:c>
      <x:c r="H2057" s="9" t="str">
        <x:v>Optional preparation, not a navigation restriction.</x:v>
      </x:c>
      <x:c r="I2057" s="9" t="str">
        <x:v>Curated curriculum relationship</x:v>
      </x:c>
    </x:row>
    <x:row r="2058" ht="58" customHeight="1">
      <x:c r="A2058" s="10" t="str">
        <x:v>E2053</x:v>
      </x:c>
      <x:c r="B2058" s="10" t="str">
        <x:v>T08.03</x:v>
      </x:c>
      <x:c r="C2058" s="10" t="str">
        <x:v>Subsidiaries, associates, and joint ventures</x:v>
      </x:c>
      <x:c r="D2058" s="14" t="str">
        <x:v>RECOMMENDED_BEFORE</x:v>
      </x:c>
      <x:c r="E2058" s="10" t="str">
        <x:v>T08.05</x:v>
      </x:c>
      <x:c r="F2058" s="10" t="str">
        <x:v>Equity-method accounting</x:v>
      </x:c>
      <x:c r="G2058" s="10" t="str">
        <x:v>Understand Subsidiaries, associates, and joint ventures before exploring Equity-method accounting.</x:v>
      </x:c>
      <x:c r="H2058" s="10" t="str">
        <x:v>Optional preparation, not a navigation restriction.</x:v>
      </x:c>
      <x:c r="I2058" s="10" t="str">
        <x:v>Curated curriculum relationship</x:v>
      </x:c>
    </x:row>
    <x:row r="2059" ht="58" customHeight="1">
      <x:c r="A2059" s="9" t="str">
        <x:v>E2054</x:v>
      </x:c>
      <x:c r="B2059" s="9" t="str">
        <x:v>T21.17</x:v>
      </x:c>
      <x:c r="C2059" s="9" t="str">
        <x:v>Hedging, speculation, and arbitrage</x:v>
      </x:c>
      <x:c r="D2059" s="15" t="str">
        <x:v>RECOMMENDED_BEFORE</x:v>
      </x:c>
      <x:c r="E2059" s="9" t="str">
        <x:v>T08.08</x:v>
      </x:c>
      <x:c r="F2059" s="9" t="str">
        <x:v>Hedge accounting</x:v>
      </x:c>
      <x:c r="G2059" s="9" t="str">
        <x:v>Understand Hedging, speculation, and arbitrage before exploring Hedge accounting.</x:v>
      </x:c>
      <x:c r="H2059" s="9" t="str">
        <x:v>Optional preparation, not a navigation restriction.</x:v>
      </x:c>
      <x:c r="I2059" s="9" t="str">
        <x:v>Curated curriculum relationship</x:v>
      </x:c>
    </x:row>
    <x:row r="2060" ht="58" customHeight="1">
      <x:c r="A2060" s="10" t="str">
        <x:v>E2055</x:v>
      </x:c>
      <x:c r="B2060" s="10" t="str">
        <x:v>T09.08</x:v>
      </x:c>
      <x:c r="C2060" s="10" t="str">
        <x:v>ROA, ROE, ROCE, and ROIC</x:v>
      </x:c>
      <x:c r="D2060" s="14" t="str">
        <x:v>RECOMMENDED_BEFORE</x:v>
      </x:c>
      <x:c r="E2060" s="10" t="str">
        <x:v>T09.09</x:v>
      </x:c>
      <x:c r="F2060" s="10" t="str">
        <x:v>DuPont analysis</x:v>
      </x:c>
      <x:c r="G2060" s="10" t="str">
        <x:v>Understand ROA, ROE, ROCE, and ROIC before exploring DuPont analysis.</x:v>
      </x:c>
      <x:c r="H2060" s="10" t="str">
        <x:v>Optional preparation, not a navigation restriction.</x:v>
      </x:c>
      <x:c r="I2060" s="10" t="str">
        <x:v>Curated curriculum relationship</x:v>
      </x:c>
    </x:row>
    <x:row r="2061" ht="58" customHeight="1">
      <x:c r="A2061" s="9" t="str">
        <x:v>E2056</x:v>
      </x:c>
      <x:c r="B2061" s="9" t="str">
        <x:v>T09.08</x:v>
      </x:c>
      <x:c r="C2061" s="9" t="str">
        <x:v>ROA, ROE, ROCE, and ROIC</x:v>
      </x:c>
      <x:c r="D2061" s="15" t="str">
        <x:v>RECOMMENDED_BEFORE</x:v>
      </x:c>
      <x:c r="E2061" s="9" t="str">
        <x:v>T09.12</x:v>
      </x:c>
      <x:c r="F2061" s="9" t="str">
        <x:v>Sustainable growth and internal growth</x:v>
      </x:c>
      <x:c r="G2061" s="9" t="str">
        <x:v>Understand ROA, ROE, ROCE, and ROIC before exploring Sustainable growth and internal growth.</x:v>
      </x:c>
      <x:c r="H2061" s="9" t="str">
        <x:v>Optional preparation, not a navigation restriction.</x:v>
      </x:c>
      <x:c r="I2061" s="9" t="str">
        <x:v>Curated curriculum relationship</x:v>
      </x:c>
    </x:row>
    <x:row r="2062" ht="58" customHeight="1">
      <x:c r="A2062" s="10" t="str">
        <x:v>E2057</x:v>
      </x:c>
      <x:c r="B2062" s="10" t="str">
        <x:v>T09.08</x:v>
      </x:c>
      <x:c r="C2062" s="10" t="str">
        <x:v>ROA, ROE, ROCE, and ROIC</x:v>
      </x:c>
      <x:c r="D2062" s="14" t="str">
        <x:v>RECOMMENDED_BEFORE</x:v>
      </x:c>
      <x:c r="E2062" s="10" t="str">
        <x:v>T09.13</x:v>
      </x:c>
      <x:c r="F2062" s="10" t="str">
        <x:v>Incremental returns on capital</x:v>
      </x:c>
      <x:c r="G2062" s="10" t="str">
        <x:v>Understand ROA, ROE, ROCE, and ROIC before exploring Incremental returns on capital.</x:v>
      </x:c>
      <x:c r="H2062" s="10" t="str">
        <x:v>Optional preparation, not a navigation restriction.</x:v>
      </x:c>
      <x:c r="I2062" s="10" t="str">
        <x:v>Curated curriculum relationship</x:v>
      </x:c>
    </x:row>
    <x:row r="2063" ht="58" customHeight="1">
      <x:c r="A2063" s="9" t="str">
        <x:v>E2058</x:v>
      </x:c>
      <x:c r="B2063" s="9" t="str">
        <x:v>T11.02</x:v>
      </x:c>
      <x:c r="C2063" s="9" t="str">
        <x:v>Fixed, variable, and semi-variable costs</x:v>
      </x:c>
      <x:c r="D2063" s="15" t="str">
        <x:v>RECOMMENDED_BEFORE</x:v>
      </x:c>
      <x:c r="E2063" s="9" t="str">
        <x:v>T11.03</x:v>
      </x:c>
      <x:c r="F2063" s="9" t="str">
        <x:v>Contribution margin and break-even analysis</x:v>
      </x:c>
      <x:c r="G2063" s="9" t="str">
        <x:v>Understand Fixed, variable, and semi-variable costs before exploring Contribution margin and break-even analysis.</x:v>
      </x:c>
      <x:c r="H2063" s="9" t="str">
        <x:v>Optional preparation, not a navigation restriction.</x:v>
      </x:c>
      <x:c r="I2063" s="9" t="str">
        <x:v>Curated curriculum relationship</x:v>
      </x:c>
    </x:row>
    <x:row r="2064" ht="58" customHeight="1">
      <x:c r="A2064" s="10" t="str">
        <x:v>E2059</x:v>
      </x:c>
      <x:c r="B2064" s="10" t="str">
        <x:v>T11.07</x:v>
      </x:c>
      <x:c r="C2064" s="10" t="str">
        <x:v>Customer acquisition cost</x:v>
      </x:c>
      <x:c r="D2064" s="14" t="str">
        <x:v>RECOMMENDED_BEFORE</x:v>
      </x:c>
      <x:c r="E2064" s="10" t="str">
        <x:v>T11.08</x:v>
      </x:c>
      <x:c r="F2064" s="10" t="str">
        <x:v>Customer lifetime value</x:v>
      </x:c>
      <x:c r="G2064" s="10" t="str">
        <x:v>Understand Customer acquisition cost before exploring Customer lifetime value.</x:v>
      </x:c>
      <x:c r="H2064" s="10" t="str">
        <x:v>Optional preparation, not a navigation restriction.</x:v>
      </x:c>
      <x:c r="I2064" s="10" t="str">
        <x:v>Curated curriculum relationship</x:v>
      </x:c>
    </x:row>
    <x:row r="2065" ht="58" customHeight="1">
      <x:c r="A2065" s="9" t="str">
        <x:v>E2060</x:v>
      </x:c>
      <x:c r="B2065" s="9" t="str">
        <x:v>T11.03</x:v>
      </x:c>
      <x:c r="C2065" s="9" t="str">
        <x:v>Contribution margin and break-even analysis</x:v>
      </x:c>
      <x:c r="D2065" s="15" t="str">
        <x:v>RECOMMENDED_BEFORE</x:v>
      </x:c>
      <x:c r="E2065" s="9" t="str">
        <x:v>T11.11</x:v>
      </x:c>
      <x:c r="F2065" s="9" t="str">
        <x:v>Payback periods and contribution after acquisition costs</x:v>
      </x:c>
      <x:c r="G2065" s="9" t="str">
        <x:v>Understand Contribution margin and break-even analysis before exploring Payback periods and contribution after acquisition costs.</x:v>
      </x:c>
      <x:c r="H2065" s="9" t="str">
        <x:v>Optional preparation, not a navigation restriction.</x:v>
      </x:c>
      <x:c r="I2065" s="9" t="str">
        <x:v>Curated curriculum relationship</x:v>
      </x:c>
    </x:row>
    <x:row r="2066" ht="58" customHeight="1">
      <x:c r="A2066" s="10" t="str">
        <x:v>E2061</x:v>
      </x:c>
      <x:c r="B2066" s="10" t="str">
        <x:v>T02.09</x:v>
      </x:c>
      <x:c r="C2066" s="10" t="str">
        <x:v>Correlation and its limitations</x:v>
      </x:c>
      <x:c r="D2066" s="14" t="str">
        <x:v>RECOMMENDED_BEFORE</x:v>
      </x:c>
      <x:c r="E2066" s="10" t="str">
        <x:v>T13.02</x:v>
      </x:c>
      <x:c r="F2066" s="10" t="str">
        <x:v>Capital Asset Pricing Model</x:v>
      </x:c>
      <x:c r="G2066" s="10" t="str">
        <x:v>Understand Correlation and its limitations before exploring Capital Asset Pricing Model.</x:v>
      </x:c>
      <x:c r="H2066" s="10" t="str">
        <x:v>Optional preparation, not a navigation restriction.</x:v>
      </x:c>
      <x:c r="I2066" s="10" t="str">
        <x:v>Curated curriculum relationship</x:v>
      </x:c>
    </x:row>
    <x:row r="2067" ht="58" customHeight="1">
      <x:c r="A2067" s="9" t="str">
        <x:v>E2062</x:v>
      </x:c>
      <x:c r="B2067" s="9" t="str">
        <x:v>T02.12</x:v>
      </x:c>
      <x:c r="C2067" s="9" t="str">
        <x:v>Regression, statistical significance, and economic significance</x:v>
      </x:c>
      <x:c r="D2067" s="15" t="str">
        <x:v>RECOMMENDED_BEFORE</x:v>
      </x:c>
      <x:c r="E2067" s="9" t="str">
        <x:v>T13.04</x:v>
      </x:c>
      <x:c r="F2067" s="9" t="str">
        <x:v>Beta estimation</x:v>
      </x:c>
      <x:c r="G2067" s="9" t="str">
        <x:v>Understand Regression, statistical significance, and economic significance before exploring Beta estimation.</x:v>
      </x:c>
      <x:c r="H2067" s="9" t="str">
        <x:v>Optional preparation, not a navigation restriction.</x:v>
      </x:c>
      <x:c r="I2067" s="9" t="str">
        <x:v>Curated curriculum relationship</x:v>
      </x:c>
    </x:row>
    <x:row r="2068" ht="58" customHeight="1">
      <x:c r="A2068" s="10" t="str">
        <x:v>E2063</x:v>
      </x:c>
      <x:c r="B2068" s="10" t="str">
        <x:v>T13.04</x:v>
      </x:c>
      <x:c r="C2068" s="10" t="str">
        <x:v>Beta estimation</x:v>
      </x:c>
      <x:c r="D2068" s="14" t="str">
        <x:v>RECOMMENDED_BEFORE</x:v>
      </x:c>
      <x:c r="E2068" s="10" t="str">
        <x:v>T13.05</x:v>
      </x:c>
      <x:c r="F2068" s="10" t="str">
        <x:v>Levered and unlevered beta</x:v>
      </x:c>
      <x:c r="G2068" s="10" t="str">
        <x:v>Understand Beta estimation before exploring Levered and unlevered beta.</x:v>
      </x:c>
      <x:c r="H2068" s="10" t="str">
        <x:v>Optional preparation, not a navigation restriction.</x:v>
      </x:c>
      <x:c r="I2068" s="10" t="str">
        <x:v>Curated curriculum relationship</x:v>
      </x:c>
    </x:row>
    <x:row r="2069" ht="58" customHeight="1">
      <x:c r="A2069" s="9" t="str">
        <x:v>E2064</x:v>
      </x:c>
      <x:c r="B2069" s="9" t="str">
        <x:v>T13.05</x:v>
      </x:c>
      <x:c r="C2069" s="9" t="str">
        <x:v>Levered and unlevered beta</x:v>
      </x:c>
      <x:c r="D2069" s="15" t="str">
        <x:v>RECOMMENDED_BEFORE</x:v>
      </x:c>
      <x:c r="E2069" s="9" t="str">
        <x:v>T13.06</x:v>
      </x:c>
      <x:c r="F2069" s="9" t="str">
        <x:v>Bottom-up beta</x:v>
      </x:c>
      <x:c r="G2069" s="9" t="str">
        <x:v>Understand Levered and unlevered beta before exploring Bottom-up beta.</x:v>
      </x:c>
      <x:c r="H2069" s="9" t="str">
        <x:v>Optional preparation, not a navigation restriction.</x:v>
      </x:c>
      <x:c r="I2069" s="9" t="str">
        <x:v>Curated curriculum relationship</x:v>
      </x:c>
    </x:row>
    <x:row r="2070" ht="58" customHeight="1">
      <x:c r="A2070" s="10" t="str">
        <x:v>E2065</x:v>
      </x:c>
      <x:c r="B2070" s="10" t="str">
        <x:v>T13.01</x:v>
      </x:c>
      <x:c r="C2070" s="10" t="str">
        <x:v>Cost of equity</x:v>
      </x:c>
      <x:c r="D2070" s="14" t="str">
        <x:v>RECOMMENDED_BEFORE</x:v>
      </x:c>
      <x:c r="E2070" s="10" t="str">
        <x:v>T13.10</x:v>
      </x:c>
      <x:c r="F2070" s="10" t="str">
        <x:v>Weighted average cost of capital</x:v>
      </x:c>
      <x:c r="G2070" s="10" t="str">
        <x:v>Understand Cost of equity before exploring Weighted average cost of capital.</x:v>
      </x:c>
      <x:c r="H2070" s="10" t="str">
        <x:v>Optional preparation, not a navigation restriction.</x:v>
      </x:c>
      <x:c r="I2070" s="10" t="str">
        <x:v>Curated curriculum relationship</x:v>
      </x:c>
    </x:row>
    <x:row r="2071" ht="58" customHeight="1">
      <x:c r="A2071" s="9" t="str">
        <x:v>E2066</x:v>
      </x:c>
      <x:c r="B2071" s="9" t="str">
        <x:v>T13.14</x:v>
      </x:c>
      <x:c r="C2071" s="9" t="str">
        <x:v>Interest tax shields</x:v>
      </x:c>
      <x:c r="D2071" s="15" t="str">
        <x:v>RECOMMENDED_BEFORE</x:v>
      </x:c>
      <x:c r="E2071" s="9" t="str">
        <x:v>T13.17</x:v>
      </x:c>
      <x:c r="F2071" s="9" t="str">
        <x:v>Adjusted present value</x:v>
      </x:c>
      <x:c r="G2071" s="9" t="str">
        <x:v>Understand Interest tax shields before exploring Adjusted present value.</x:v>
      </x:c>
      <x:c r="H2071" s="9" t="str">
        <x:v>Optional preparation, not a navigation restriction.</x:v>
      </x:c>
      <x:c r="I2071" s="9" t="str">
        <x:v>Curated curriculum relationship</x:v>
      </x:c>
    </x:row>
    <x:row r="2072" ht="58" customHeight="1">
      <x:c r="A2072" s="10" t="str">
        <x:v>E2067</x:v>
      </x:c>
      <x:c r="B2072" s="10" t="str">
        <x:v>T14.01</x:v>
      </x:c>
      <x:c r="C2072" s="10" t="str">
        <x:v>Operating working capital versus total working capital</x:v>
      </x:c>
      <x:c r="D2072" s="14" t="str">
        <x:v>RECOMMENDED_BEFORE</x:v>
      </x:c>
      <x:c r="E2072" s="10" t="str">
        <x:v>T14.02</x:v>
      </x:c>
      <x:c r="F2072" s="10" t="str">
        <x:v>Cash conversion cycle</x:v>
      </x:c>
      <x:c r="G2072" s="10" t="str">
        <x:v>Understand Operating working capital versus total working capital before exploring Cash conversion cycle.</x:v>
      </x:c>
      <x:c r="H2072" s="10" t="str">
        <x:v>Optional preparation, not a navigation restriction.</x:v>
      </x:c>
      <x:c r="I2072" s="10" t="str">
        <x:v>Curated curriculum relationship</x:v>
      </x:c>
    </x:row>
    <x:row r="2073" ht="58" customHeight="1">
      <x:c r="A2073" s="9" t="str">
        <x:v>E2068</x:v>
      </x:c>
      <x:c r="B2073" s="9" t="str">
        <x:v>T14.01</x:v>
      </x:c>
      <x:c r="C2073" s="9" t="str">
        <x:v>Operating working capital versus total working capital</x:v>
      </x:c>
      <x:c r="D2073" s="15" t="str">
        <x:v>RECOMMENDED_BEFORE</x:v>
      </x:c>
      <x:c r="E2073" s="9" t="str">
        <x:v>T14.03</x:v>
      </x:c>
      <x:c r="F2073" s="9" t="str">
        <x:v>Inventory days, receivable days, and payable days</x:v>
      </x:c>
      <x:c r="G2073" s="9" t="str">
        <x:v>Understand Operating working capital versus total working capital before exploring Inventory days, receivable days, and payable days.</x:v>
      </x:c>
      <x:c r="H2073" s="9" t="str">
        <x:v>Optional preparation, not a navigation restriction.</x:v>
      </x:c>
      <x:c r="I2073" s="9" t="str">
        <x:v>Curated curriculum relationship</x:v>
      </x:c>
    </x:row>
    <x:row r="2074" ht="58" customHeight="1">
      <x:c r="A2074" s="10" t="str">
        <x:v>E2069</x:v>
      </x:c>
      <x:c r="B2074" s="10" t="str">
        <x:v>T16.03</x:v>
      </x:c>
      <x:c r="C2074" s="10" t="str">
        <x:v>Three-statement models</x:v>
      </x:c>
      <x:c r="D2074" s="14" t="str">
        <x:v>RECOMMENDED_BEFORE</x:v>
      </x:c>
      <x:c r="E2074" s="10" t="str">
        <x:v>T16.09</x:v>
      </x:c>
      <x:c r="F2074" s="10" t="str">
        <x:v>Circularity and model balancing</x:v>
      </x:c>
      <x:c r="G2074" s="10" t="str">
        <x:v>Understand Three-statement models before exploring Circularity and model balancing.</x:v>
      </x:c>
      <x:c r="H2074" s="10" t="str">
        <x:v>Optional preparation, not a navigation restriction.</x:v>
      </x:c>
      <x:c r="I2074" s="10" t="str">
        <x:v>Curated curriculum relationship</x:v>
      </x:c>
    </x:row>
    <x:row r="2075" ht="58" customHeight="1">
      <x:c r="A2075" s="9" t="str">
        <x:v>E2070</x:v>
      </x:c>
      <x:c r="B2075" s="9" t="str">
        <x:v>T17.03</x:v>
      </x:c>
      <x:c r="C2075" s="9" t="str">
        <x:v>Enterprise value versus equity value</x:v>
      </x:c>
      <x:c r="D2075" s="15" t="str">
        <x:v>RECOMMENDED_BEFORE</x:v>
      </x:c>
      <x:c r="E2075" s="9" t="str">
        <x:v>T17.04</x:v>
      </x:c>
      <x:c r="F2075" s="9" t="str">
        <x:v>The enterprise-to-equity value bridge</x:v>
      </x:c>
      <x:c r="G2075" s="9" t="str">
        <x:v>Understand Enterprise value versus equity value before exploring The enterprise-to-equity value bridge.</x:v>
      </x:c>
      <x:c r="H2075" s="9" t="str">
        <x:v>Optional preparation, not a navigation restriction.</x:v>
      </x:c>
      <x:c r="I2075" s="9" t="str">
        <x:v>Curated curriculum relationship</x:v>
      </x:c>
    </x:row>
    <x:row r="2076" ht="58" customHeight="1">
      <x:c r="A2076" s="10" t="str">
        <x:v>E2071</x:v>
      </x:c>
      <x:c r="B2076" s="10" t="str">
        <x:v>T17.05</x:v>
      </x:c>
      <x:c r="C2076" s="10" t="str">
        <x:v>FCFF and FCFE</x:v>
      </x:c>
      <x:c r="D2076" s="14" t="str">
        <x:v>RECOMMENDED_BEFORE</x:v>
      </x:c>
      <x:c r="E2076" s="10" t="str">
        <x:v>T17.07</x:v>
      </x:c>
      <x:c r="F2076" s="10" t="str">
        <x:v>Discounted cash-flow valuation</x:v>
      </x:c>
      <x:c r="G2076" s="10" t="str">
        <x:v>Understand FCFF and FCFE before exploring Discounted cash-flow valuation.</x:v>
      </x:c>
      <x:c r="H2076" s="10" t="str">
        <x:v>Optional preparation, not a navigation restriction.</x:v>
      </x:c>
      <x:c r="I2076" s="10" t="str">
        <x:v>Curated curriculum relationship</x:v>
      </x:c>
    </x:row>
    <x:row r="2077" ht="58" customHeight="1">
      <x:c r="A2077" s="9" t="str">
        <x:v>E2072</x:v>
      </x:c>
      <x:c r="B2077" s="9" t="str">
        <x:v>T17.11</x:v>
      </x:c>
      <x:c r="C2077" s="9" t="str">
        <x:v>Reinvestment, growth, and return on capital</x:v>
      </x:c>
      <x:c r="D2077" s="15" t="str">
        <x:v>RECOMMENDED_BEFORE</x:v>
      </x:c>
      <x:c r="E2077" s="9" t="str">
        <x:v>T17.12</x:v>
      </x:c>
      <x:c r="F2077" s="9" t="str">
        <x:v>Terminal growth and terminal value</x:v>
      </x:c>
      <x:c r="G2077" s="9" t="str">
        <x:v>Understand Reinvestment, growth, and return on capital before exploring Terminal growth and terminal value.</x:v>
      </x:c>
      <x:c r="H2077" s="9" t="str">
        <x:v>Optional preparation, not a navigation restriction.</x:v>
      </x:c>
      <x:c r="I2077" s="9" t="str">
        <x:v>Curated curriculum relationship</x:v>
      </x:c>
    </x:row>
    <x:row r="2078" ht="58" customHeight="1">
      <x:c r="A2078" s="10" t="str">
        <x:v>E2073</x:v>
      </x:c>
      <x:c r="B2078" s="10" t="str">
        <x:v>T17.07</x:v>
      </x:c>
      <x:c r="C2078" s="10" t="str">
        <x:v>Discounted cash-flow valuation</x:v>
      </x:c>
      <x:c r="D2078" s="14" t="str">
        <x:v>RECOMMENDED_BEFORE</x:v>
      </x:c>
      <x:c r="E2078" s="10" t="str">
        <x:v>T17.18</x:v>
      </x:c>
      <x:c r="F2078" s="10" t="str">
        <x:v>Sensitivity analysis, scenarios, and reverse DCF</x:v>
      </x:c>
      <x:c r="G2078" s="10" t="str">
        <x:v>Understand Discounted cash-flow valuation before exploring Sensitivity analysis, scenarios, and reverse DCF.</x:v>
      </x:c>
      <x:c r="H2078" s="10" t="str">
        <x:v>Optional preparation, not a navigation restriction.</x:v>
      </x:c>
      <x:c r="I2078" s="10" t="str">
        <x:v>Curated curriculum relationship</x:v>
      </x:c>
    </x:row>
    <x:row r="2079" ht="58" customHeight="1">
      <x:c r="A2079" s="9" t="str">
        <x:v>E2074</x:v>
      </x:c>
      <x:c r="B2079" s="9" t="str">
        <x:v>T05.18</x:v>
      </x:c>
      <x:c r="C2079" s="9" t="str">
        <x:v>Basic and diluted earnings per share</x:v>
      </x:c>
      <x:c r="D2079" s="15" t="str">
        <x:v>RECOMMENDED_BEFORE</x:v>
      </x:c>
      <x:c r="E2079" s="9" t="str">
        <x:v>T18.04</x:v>
      </x:c>
      <x:c r="F2079" s="9" t="str">
        <x:v>P/E, PEG, P/B, and P/S</x:v>
      </x:c>
      <x:c r="G2079" s="9" t="str">
        <x:v>Understand Basic and diluted earnings per share before exploring P/E, PEG, P/B, and P/S.</x:v>
      </x:c>
      <x:c r="H2079" s="9" t="str">
        <x:v>Optional preparation, not a navigation restriction.</x:v>
      </x:c>
      <x:c r="I2079" s="9" t="str">
        <x:v>Curated curriculum relationship</x:v>
      </x:c>
    </x:row>
    <x:row r="2080" ht="58" customHeight="1">
      <x:c r="A2080" s="10" t="str">
        <x:v>E2075</x:v>
      </x:c>
      <x:c r="B2080" s="10" t="str">
        <x:v>T20.05</x:v>
      </x:c>
      <x:c r="C2080" s="10" t="str">
        <x:v>Bond pricing</x:v>
      </x:c>
      <x:c r="D2080" s="14" t="str">
        <x:v>RECOMMENDED_BEFORE</x:v>
      </x:c>
      <x:c r="E2080" s="10" t="str">
        <x:v>T20.06</x:v>
      </x:c>
      <x:c r="F2080" s="10" t="str">
        <x:v>Current yield, yield to maturity, yield to call, and yield to worst</x:v>
      </x:c>
      <x:c r="G2080" s="10" t="str">
        <x:v>Understand Bond pricing before exploring Current yield, yield to maturity, yield to call, and yield to worst.</x:v>
      </x:c>
      <x:c r="H2080" s="10" t="str">
        <x:v>Optional preparation, not a navigation restriction.</x:v>
      </x:c>
      <x:c r="I2080" s="10" t="str">
        <x:v>Curated curriculum relationship</x:v>
      </x:c>
    </x:row>
    <x:row r="2081" ht="58" customHeight="1">
      <x:c r="A2081" s="9" t="str">
        <x:v>E2076</x:v>
      </x:c>
      <x:c r="B2081" s="9" t="str">
        <x:v>T20.07</x:v>
      </x:c>
      <x:c r="C2081" s="9" t="str">
        <x:v>Spot rates, forward rates, and par yields</x:v>
      </x:c>
      <x:c r="D2081" s="15" t="str">
        <x:v>RECOMMENDED_BEFORE</x:v>
      </x:c>
      <x:c r="E2081" s="9" t="str">
        <x:v>T20.09</x:v>
      </x:c>
      <x:c r="F2081" s="9" t="str">
        <x:v>Bootstrapping discount curves</x:v>
      </x:c>
      <x:c r="G2081" s="9" t="str">
        <x:v>Understand Spot rates, forward rates, and par yields before exploring Bootstrapping discount curves.</x:v>
      </x:c>
      <x:c r="H2081" s="9" t="str">
        <x:v>Optional preparation, not a navigation restriction.</x:v>
      </x:c>
      <x:c r="I2081" s="9" t="str">
        <x:v>Curated curriculum relationship</x:v>
      </x:c>
    </x:row>
    <x:row r="2082" ht="58" customHeight="1">
      <x:c r="A2082" s="10" t="str">
        <x:v>E2077</x:v>
      </x:c>
      <x:c r="B2082" s="10" t="str">
        <x:v>T20.05</x:v>
      </x:c>
      <x:c r="C2082" s="10" t="str">
        <x:v>Bond pricing</x:v>
      </x:c>
      <x:c r="D2082" s="14" t="str">
        <x:v>RECOMMENDED_BEFORE</x:v>
      </x:c>
      <x:c r="E2082" s="10" t="str">
        <x:v>T20.10</x:v>
      </x:c>
      <x:c r="F2082" s="10" t="str">
        <x:v>Duration, modified duration, and effective duration</x:v>
      </x:c>
      <x:c r="G2082" s="10" t="str">
        <x:v>Understand Bond pricing before exploring Duration, modified duration, and effective duration.</x:v>
      </x:c>
      <x:c r="H2082" s="10" t="str">
        <x:v>Optional preparation, not a navigation restriction.</x:v>
      </x:c>
      <x:c r="I2082" s="10" t="str">
        <x:v>Curated curriculum relationship</x:v>
      </x:c>
    </x:row>
    <x:row r="2083" ht="58" customHeight="1">
      <x:c r="A2083" s="9" t="str">
        <x:v>E2078</x:v>
      </x:c>
      <x:c r="B2083" s="9" t="str">
        <x:v>T20.10</x:v>
      </x:c>
      <x:c r="C2083" s="9" t="str">
        <x:v>Duration, modified duration, and effective duration</x:v>
      </x:c>
      <x:c r="D2083" s="15" t="str">
        <x:v>RECOMMENDED_BEFORE</x:v>
      </x:c>
      <x:c r="E2083" s="9" t="str">
        <x:v>T20.11</x:v>
      </x:c>
      <x:c r="F2083" s="9" t="str">
        <x:v>Convexity and key-rate duration</x:v>
      </x:c>
      <x:c r="G2083" s="9" t="str">
        <x:v>Understand Duration, modified duration, and effective duration before exploring Convexity and key-rate duration.</x:v>
      </x:c>
      <x:c r="H2083" s="9" t="str">
        <x:v>Optional preparation, not a navigation restriction.</x:v>
      </x:c>
      <x:c r="I2083" s="9" t="str">
        <x:v>Curated curriculum relationship</x:v>
      </x:c>
    </x:row>
    <x:row r="2084" ht="58" customHeight="1">
      <x:c r="A2084" s="10" t="str">
        <x:v>E2079</x:v>
      </x:c>
      <x:c r="B2084" s="10" t="str">
        <x:v>T21.02</x:v>
      </x:c>
      <x:c r="C2084" s="10" t="str">
        <x:v>Options: calls and puts</x:v>
      </x:c>
      <x:c r="D2084" s="14" t="str">
        <x:v>RECOMMENDED_BEFORE</x:v>
      </x:c>
      <x:c r="E2084" s="10" t="str">
        <x:v>T21.04</x:v>
      </x:c>
      <x:c r="F2084" s="10" t="str">
        <x:v>Moneyness, intrinsic value, and time value</x:v>
      </x:c>
      <x:c r="G2084" s="10" t="str">
        <x:v>Understand Options: calls and puts before exploring Moneyness, intrinsic value, and time value.</x:v>
      </x:c>
      <x:c r="H2084" s="10" t="str">
        <x:v>Optional preparation, not a navigation restriction.</x:v>
      </x:c>
      <x:c r="I2084" s="10" t="str">
        <x:v>Curated curriculum relationship</x:v>
      </x:c>
    </x:row>
    <x:row r="2085" ht="58" customHeight="1">
      <x:c r="A2085" s="9" t="str">
        <x:v>E2080</x:v>
      </x:c>
      <x:c r="B2085" s="9" t="str">
        <x:v>T21.02</x:v>
      </x:c>
      <x:c r="C2085" s="9" t="str">
        <x:v>Options: calls and puts</x:v>
      </x:c>
      <x:c r="D2085" s="15" t="str">
        <x:v>RECOMMENDED_BEFORE</x:v>
      </x:c>
      <x:c r="E2085" s="9" t="str">
        <x:v>T21.05</x:v>
      </x:c>
      <x:c r="F2085" s="9" t="str">
        <x:v>Put-call parity</x:v>
      </x:c>
      <x:c r="G2085" s="9" t="str">
        <x:v>Understand Options: calls and puts before exploring Put-call parity.</x:v>
      </x:c>
      <x:c r="H2085" s="9" t="str">
        <x:v>Optional preparation, not a navigation restriction.</x:v>
      </x:c>
      <x:c r="I2085" s="9" t="str">
        <x:v>Curated curriculum relationship</x:v>
      </x:c>
    </x:row>
    <x:row r="2086" ht="58" customHeight="1">
      <x:c r="A2086" s="10" t="str">
        <x:v>E2081</x:v>
      </x:c>
      <x:c r="B2086" s="10" t="str">
        <x:v>T02.07</x:v>
      </x:c>
      <x:c r="C2086" s="10" t="str">
        <x:v>Probability, conditional probability, and Bayes' theorem</x:v>
      </x:c>
      <x:c r="D2086" s="14" t="str">
        <x:v>RECOMMENDED_BEFORE</x:v>
      </x:c>
      <x:c r="E2086" s="10" t="str">
        <x:v>T21.06</x:v>
      </x:c>
      <x:c r="F2086" s="10" t="str">
        <x:v>Binomial option pricing</x:v>
      </x:c>
      <x:c r="G2086" s="10" t="str">
        <x:v>Understand Probability, conditional probability, and Bayes' theorem before exploring Binomial option pricing.</x:v>
      </x:c>
      <x:c r="H2086" s="10" t="str">
        <x:v>Optional preparation, not a navigation restriction.</x:v>
      </x:c>
      <x:c r="I2086" s="10" t="str">
        <x:v>Curated curriculum relationship</x:v>
      </x:c>
    </x:row>
    <x:row r="2087" ht="58" customHeight="1">
      <x:c r="A2087" s="9" t="str">
        <x:v>E2082</x:v>
      </x:c>
      <x:c r="B2087" s="9" t="str">
        <x:v>T21.06</x:v>
      </x:c>
      <x:c r="C2087" s="9" t="str">
        <x:v>Binomial option pricing</x:v>
      </x:c>
      <x:c r="D2087" s="15" t="str">
        <x:v>RECOMMENDED_BEFORE</x:v>
      </x:c>
      <x:c r="E2087" s="9" t="str">
        <x:v>T21.07</x:v>
      </x:c>
      <x:c r="F2087" s="9" t="str">
        <x:v>Black-Scholes foundations and assumptions</x:v>
      </x:c>
      <x:c r="G2087" s="9" t="str">
        <x:v>Understand Binomial option pricing before exploring Black-Scholes foundations and assumptions.</x:v>
      </x:c>
      <x:c r="H2087" s="9" t="str">
        <x:v>Optional preparation, not a navigation restriction.</x:v>
      </x:c>
      <x:c r="I2087" s="9" t="str">
        <x:v>Curated curriculum relationship</x:v>
      </x:c>
    </x:row>
    <x:row r="2088" ht="58" customHeight="1">
      <x:c r="A2088" s="10" t="str">
        <x:v>E2083</x:v>
      </x:c>
      <x:c r="B2088" s="10" t="str">
        <x:v>T21.07</x:v>
      </x:c>
      <x:c r="C2088" s="10" t="str">
        <x:v>Black-Scholes foundations and assumptions</x:v>
      </x:c>
      <x:c r="D2088" s="14" t="str">
        <x:v>RECOMMENDED_BEFORE</x:v>
      </x:c>
      <x:c r="E2088" s="10" t="str">
        <x:v>T21.08</x:v>
      </x:c>
      <x:c r="F2088" s="10" t="str">
        <x:v>Option Greeks</x:v>
      </x:c>
      <x:c r="G2088" s="10" t="str">
        <x:v>Understand Black-Scholes foundations and assumptions before exploring Option Greeks.</x:v>
      </x:c>
      <x:c r="H2088" s="10" t="str">
        <x:v>Optional preparation, not a navigation restriction.</x:v>
      </x:c>
      <x:c r="I2088" s="10" t="str">
        <x:v>Curated curriculum relationship</x:v>
      </x:c>
    </x:row>
    <x:row r="2089" ht="58" customHeight="1">
      <x:c r="A2089" s="9" t="str">
        <x:v>E2084</x:v>
      </x:c>
      <x:c r="B2089" s="9" t="str">
        <x:v>T21.09</x:v>
      </x:c>
      <x:c r="C2089" s="9" t="str">
        <x:v>Implied versus realised volatility</x:v>
      </x:c>
      <x:c r="D2089" s="15" t="str">
        <x:v>RECOMMENDED_BEFORE</x:v>
      </x:c>
      <x:c r="E2089" s="9" t="str">
        <x:v>T21.10</x:v>
      </x:c>
      <x:c r="F2089" s="9" t="str">
        <x:v>Volatility smiles, skews, and term structures</x:v>
      </x:c>
      <x:c r="G2089" s="9" t="str">
        <x:v>Understand Implied versus realised volatility before exploring Volatility smiles, skews, and term structures.</x:v>
      </x:c>
      <x:c r="H2089" s="9" t="str">
        <x:v>Optional preparation, not a navigation restriction.</x:v>
      </x:c>
      <x:c r="I2089" s="9" t="str">
        <x:v>Curated curriculum relationship</x:v>
      </x:c>
    </x:row>
    <x:row r="2090" ht="58" customHeight="1">
      <x:c r="A2090" s="10" t="str">
        <x:v>E2085</x:v>
      </x:c>
      <x:c r="B2090" s="10" t="str">
        <x:v>T21.03</x:v>
      </x:c>
      <x:c r="C2090" s="10" t="str">
        <x:v>Payoff versus profit diagrams</x:v>
      </x:c>
      <x:c r="D2090" s="14" t="str">
        <x:v>RECOMMENDED_BEFORE</x:v>
      </x:c>
      <x:c r="E2090" s="10" t="str">
        <x:v>T21.11</x:v>
      </x:c>
      <x:c r="F2090" s="10" t="str">
        <x:v>Option strategies: spreads, straddles, strangles, and collars</x:v>
      </x:c>
      <x:c r="G2090" s="10" t="str">
        <x:v>Understand Payoff versus profit diagrams before exploring Option strategies: spreads, straddles, strangles, and collars.</x:v>
      </x:c>
      <x:c r="H2090" s="10" t="str">
        <x:v>Optional preparation, not a navigation restriction.</x:v>
      </x:c>
      <x:c r="I2090" s="10" t="str">
        <x:v>Curated curriculum relationship</x:v>
      </x:c>
    </x:row>
    <x:row r="2091" ht="58" customHeight="1">
      <x:c r="A2091" s="9" t="str">
        <x:v>E2086</x:v>
      </x:c>
      <x:c r="B2091" s="9" t="str">
        <x:v>T22.04</x:v>
      </x:c>
      <x:c r="C2091" s="9" t="str">
        <x:v>Diversification and correlation</x:v>
      </x:c>
      <x:c r="D2091" s="15" t="str">
        <x:v>RECOMMENDED_BEFORE</x:v>
      </x:c>
      <x:c r="E2091" s="9" t="str">
        <x:v>T22.05</x:v>
      </x:c>
      <x:c r="F2091" s="9" t="str">
        <x:v>Modern portfolio theory</x:v>
      </x:c>
      <x:c r="G2091" s="9" t="str">
        <x:v>Understand Diversification and correlation before exploring Modern portfolio theory.</x:v>
      </x:c>
      <x:c r="H2091" s="9" t="str">
        <x:v>Optional preparation, not a navigation restriction.</x:v>
      </x:c>
      <x:c r="I2091" s="9" t="str">
        <x:v>Curated curriculum relationship</x:v>
      </x:c>
    </x:row>
    <x:row r="2092" ht="58" customHeight="1">
      <x:c r="A2092" s="10" t="str">
        <x:v>E2087</x:v>
      </x:c>
      <x:c r="B2092" s="10" t="str">
        <x:v>T22.05</x:v>
      </x:c>
      <x:c r="C2092" s="10" t="str">
        <x:v>Modern portfolio theory</x:v>
      </x:c>
      <x:c r="D2092" s="14" t="str">
        <x:v>RECOMMENDED_BEFORE</x:v>
      </x:c>
      <x:c r="E2092" s="10" t="str">
        <x:v>T22.06</x:v>
      </x:c>
      <x:c r="F2092" s="10" t="str">
        <x:v>Efficient frontier and minimum-variance portfolios</x:v>
      </x:c>
      <x:c r="G2092" s="10" t="str">
        <x:v>Understand Modern portfolio theory before exploring Efficient frontier and minimum-variance portfolios.</x:v>
      </x:c>
      <x:c r="H2092" s="10" t="str">
        <x:v>Optional preparation, not a navigation restriction.</x:v>
      </x:c>
      <x:c r="I2092" s="10" t="str">
        <x:v>Curated curriculum relationship</x:v>
      </x:c>
    </x:row>
    <x:row r="2093" ht="58" customHeight="1">
      <x:c r="A2093" s="9" t="str">
        <x:v>E2088</x:v>
      </x:c>
      <x:c r="B2093" s="9" t="str">
        <x:v>T22.06</x:v>
      </x:c>
      <x:c r="C2093" s="9" t="str">
        <x:v>Efficient frontier and minimum-variance portfolios</x:v>
      </x:c>
      <x:c r="D2093" s="15" t="str">
        <x:v>RECOMMENDED_BEFORE</x:v>
      </x:c>
      <x:c r="E2093" s="9" t="str">
        <x:v>T22.07</x:v>
      </x:c>
      <x:c r="F2093" s="9" t="str">
        <x:v>Capital allocation line and capital market line</x:v>
      </x:c>
      <x:c r="G2093" s="9" t="str">
        <x:v>Understand Efficient frontier and minimum-variance portfolios before exploring Capital allocation line and capital market line.</x:v>
      </x:c>
      <x:c r="H2093" s="9" t="str">
        <x:v>Optional preparation, not a navigation restriction.</x:v>
      </x:c>
      <x:c r="I2093" s="9" t="str">
        <x:v>Curated curriculum relationship</x:v>
      </x:c>
    </x:row>
    <x:row r="2094" ht="58" customHeight="1">
      <x:c r="A2094" s="10" t="str">
        <x:v>E2089</x:v>
      </x:c>
      <x:c r="B2094" s="10" t="str">
        <x:v>T02.08</x:v>
      </x:c>
      <x:c r="C2094" s="10" t="str">
        <x:v>Expected value, variance, standard deviation, and covariance</x:v>
      </x:c>
      <x:c r="D2094" s="14" t="str">
        <x:v>RECOMMENDED_BEFORE</x:v>
      </x:c>
      <x:c r="E2094" s="10" t="str">
        <x:v>T22.15</x:v>
      </x:c>
      <x:c r="F2094" s="10" t="str">
        <x:v>Sharpe, Sortino, Treynor, and information ratios</x:v>
      </x:c>
      <x:c r="G2094" s="10" t="str">
        <x:v>Understand Expected value, variance, standard deviation, and covariance before exploring Sharpe, Sortino, Treynor, and information ratios.</x:v>
      </x:c>
      <x:c r="H2094" s="10" t="str">
        <x:v>Optional preparation, not a navigation restriction.</x:v>
      </x:c>
      <x:c r="I2094" s="10" t="str">
        <x:v>Curated curriculum relationship</x:v>
      </x:c>
    </x:row>
    <x:row r="2095" ht="58" customHeight="1">
      <x:c r="A2095" s="9" t="str">
        <x:v>E2090</x:v>
      </x:c>
      <x:c r="B2095" s="9" t="str">
        <x:v>T03.13</x:v>
      </x:c>
      <x:c r="C2095" s="9" t="str">
        <x:v>Internal rate of return and modified IRR</x:v>
      </x:c>
      <x:c r="D2095" s="15" t="str">
        <x:v>RECOMMENDED_BEFORE</x:v>
      </x:c>
      <x:c r="E2095" s="9" t="str">
        <x:v>T23.18</x:v>
      </x:c>
      <x:c r="F2095" s="9" t="str">
        <x:v>IRR, MOIC, DPI, RVPI, and TVPI</x:v>
      </x:c>
      <x:c r="G2095" s="9" t="str">
        <x:v>Understand Internal rate of return and modified IRR before exploring IRR, MOIC, DPI, RVPI, and TVPI.</x:v>
      </x:c>
      <x:c r="H2095" s="9" t="str">
        <x:v>Optional preparation, not a navigation restriction.</x:v>
      </x:c>
      <x:c r="I2095" s="9" t="str">
        <x:v>Curated curriculum relationship</x:v>
      </x:c>
    </x:row>
    <x:row r="2096" ht="58" customHeight="1">
      <x:c r="A2096" s="10" t="str">
        <x:v>E2091</x:v>
      </x:c>
      <x:c r="B2096" s="10" t="str">
        <x:v>T02.07</x:v>
      </x:c>
      <x:c r="C2096" s="10" t="str">
        <x:v>Probability, conditional probability, and Bayes' theorem</x:v>
      </x:c>
      <x:c r="D2096" s="14" t="str">
        <x:v>RECOMMENDED_BEFORE</x:v>
      </x:c>
      <x:c r="E2096" s="10" t="str">
        <x:v>T24.12</x:v>
      </x:c>
      <x:c r="F2096" s="10" t="str">
        <x:v>Probability of default, loss given default, and exposure at default</x:v>
      </x:c>
      <x:c r="G2096" s="10" t="str">
        <x:v>Understand Probability, conditional probability, and Bayes' theorem before exploring Probability of default, loss given default, and exposure at default.</x:v>
      </x:c>
      <x:c r="H2096" s="10" t="str">
        <x:v>Optional preparation, not a navigation restriction.</x:v>
      </x:c>
      <x:c r="I2096" s="10" t="str">
        <x:v>Curated curriculum relationship</x:v>
      </x:c>
    </x:row>
    <x:row r="2097" ht="58" customHeight="1">
      <x:c r="A2097" s="9" t="str">
        <x:v>E2092</x:v>
      </x:c>
      <x:c r="B2097" s="9" t="str">
        <x:v>T24.12</x:v>
      </x:c>
      <x:c r="C2097" s="9" t="str">
        <x:v>Probability of default, loss given default, and exposure at default</x:v>
      </x:c>
      <x:c r="D2097" s="15" t="str">
        <x:v>RECOMMENDED_BEFORE</x:v>
      </x:c>
      <x:c r="E2097" s="9" t="str">
        <x:v>T24.16</x:v>
      </x:c>
      <x:c r="F2097" s="9" t="str">
        <x:v>Expected credit losses</x:v>
      </x:c>
      <x:c r="G2097" s="9" t="str">
        <x:v>Understand Probability of default, loss given default, and exposure at default before exploring Expected credit losses.</x:v>
      </x:c>
      <x:c r="H2097" s="9" t="str">
        <x:v>Optional preparation, not a navigation restriction.</x:v>
      </x:c>
      <x:c r="I2097" s="9" t="str">
        <x:v>Curated curriculum relationship</x:v>
      </x:c>
    </x:row>
    <x:row r="2098" ht="58" customHeight="1">
      <x:c r="A2098" s="10" t="str">
        <x:v>E2093</x:v>
      </x:c>
      <x:c r="B2098" s="10" t="str">
        <x:v>T02.10</x:v>
      </x:c>
      <x:c r="C2098" s="10" t="str">
        <x:v>Probability distributions, skewness, kurtosis, and tail risk</x:v>
      </x:c>
      <x:c r="D2098" s="14" t="str">
        <x:v>RECOMMENDED_BEFORE</x:v>
      </x:c>
      <x:c r="E2098" s="10" t="str">
        <x:v>T25.05</x:v>
      </x:c>
      <x:c r="F2098" s="10" t="str">
        <x:v>Value at Risk and expected shortfall</x:v>
      </x:c>
      <x:c r="G2098" s="10" t="str">
        <x:v>Understand Probability distributions, skewness, kurtosis, and tail risk before exploring Value at Risk and expected shortfall.</x:v>
      </x:c>
      <x:c r="H2098" s="10" t="str">
        <x:v>Optional preparation, not a navigation restriction.</x:v>
      </x:c>
      <x:c r="I2098" s="10" t="str">
        <x:v>Curated curriculum relationship</x:v>
      </x:c>
    </x:row>
    <x:row r="2099" ht="58" customHeight="1">
      <x:c r="A2099" s="9" t="str">
        <x:v>E2094</x:v>
      </x:c>
      <x:c r="B2099" s="9" t="str">
        <x:v>T02.15</x:v>
      </x:c>
      <x:c r="C2099" s="9" t="str">
        <x:v>Simulation, sensitivity analysis, and scenario analysis</x:v>
      </x:c>
      <x:c r="D2099" s="15" t="str">
        <x:v>RECOMMENDED_BEFORE</x:v>
      </x:c>
      <x:c r="E2099" s="9" t="str">
        <x:v>T25.06</x:v>
      </x:c>
      <x:c r="F2099" s="9" t="str">
        <x:v>Historical, parametric, and Monte Carlo methods</x:v>
      </x:c>
      <x:c r="G2099" s="9" t="str">
        <x:v>Understand Simulation, sensitivity analysis, and scenario analysis before exploring Historical, parametric, and Monte Carlo methods.</x:v>
      </x:c>
      <x:c r="H2099" s="9" t="str">
        <x:v>Optional preparation, not a navigation restriction.</x:v>
      </x:c>
      <x:c r="I2099" s="9" t="str">
        <x:v>Curated curriculum relationship</x:v>
      </x:c>
    </x:row>
    <x:row r="2100" ht="58" customHeight="1">
      <x:c r="A2100" s="10" t="str">
        <x:v>E2095</x:v>
      </x:c>
      <x:c r="B2100" s="10" t="str">
        <x:v>T05.18</x:v>
      </x:c>
      <x:c r="C2100" s="10" t="str">
        <x:v>Basic and diluted earnings per share</x:v>
      </x:c>
      <x:c r="D2100" s="14" t="str">
        <x:v>RECOMMENDED_BEFORE</x:v>
      </x:c>
      <x:c r="E2100" s="10" t="str">
        <x:v>T26.10</x:v>
      </x:c>
      <x:c r="F2100" s="10" t="str">
        <x:v>Accretion and dilution</x:v>
      </x:c>
      <x:c r="G2100" s="10" t="str">
        <x:v>Understand Basic and diluted earnings per share before exploring Accretion and dilution.</x:v>
      </x:c>
      <x:c r="H2100" s="10" t="str">
        <x:v>Optional preparation, not a navigation restriction.</x:v>
      </x:c>
      <x:c r="I2100" s="10" t="str">
        <x:v>Curated curriculum relationship</x:v>
      </x:c>
    </x:row>
    <x:row r="2101" ht="58" customHeight="1">
      <x:c r="A2101" s="9" t="str">
        <x:v>E2096</x:v>
      </x:c>
      <x:c r="B2101" s="9" t="str">
        <x:v>T16.03</x:v>
      </x:c>
      <x:c r="C2101" s="9" t="str">
        <x:v>Three-statement models</x:v>
      </x:c>
      <x:c r="D2101" s="15" t="str">
        <x:v>RECOMMENDED_BEFORE</x:v>
      </x:c>
      <x:c r="E2101" s="9" t="str">
        <x:v>T26.11</x:v>
      </x:c>
      <x:c r="F2101" s="9" t="str">
        <x:v>Merger models</x:v>
      </x:c>
      <x:c r="G2101" s="9" t="str">
        <x:v>Understand Three-statement models before exploring Merger models.</x:v>
      </x:c>
      <x:c r="H2101" s="9" t="str">
        <x:v>Optional preparation, not a navigation restriction.</x:v>
      </x:c>
      <x:c r="I2101" s="9" t="str">
        <x:v>Curated curriculum relationship</x:v>
      </x:c>
    </x:row>
    <x:row r="2102" ht="58" customHeight="1">
      <x:c r="A2102" s="10" t="str">
        <x:v>E2097</x:v>
      </x:c>
      <x:c r="B2102" s="10" t="str">
        <x:v>T27.06</x:v>
      </x:c>
      <x:c r="C2102" s="10" t="str">
        <x:v>Cap tables and dilution</x:v>
      </x:c>
      <x:c r="D2102" s="14" t="str">
        <x:v>RECOMMENDED_BEFORE</x:v>
      </x:c>
      <x:c r="E2102" s="10" t="str">
        <x:v>T27.07</x:v>
      </x:c>
      <x:c r="F2102" s="10" t="str">
        <x:v>Pre-money and post-money valuation</x:v>
      </x:c>
      <x:c r="G2102" s="10" t="str">
        <x:v>Understand Cap tables and dilution before exploring Pre-money and post-money valuation.</x:v>
      </x:c>
      <x:c r="H2102" s="10" t="str">
        <x:v>Optional preparation, not a navigation restriction.</x:v>
      </x:c>
      <x:c r="I2102" s="10" t="str">
        <x:v>Curated curriculum relationship</x:v>
      </x:c>
    </x:row>
    <x:row r="2103" ht="58" customHeight="1">
      <x:c r="A2103" s="9" t="str">
        <x:v>E2098</x:v>
      </x:c>
      <x:c r="B2103" s="9" t="str">
        <x:v>T27.09</x:v>
      </x:c>
      <x:c r="C2103" s="9" t="str">
        <x:v>Term sheets</x:v>
      </x:c>
      <x:c r="D2103" s="15" t="str">
        <x:v>RECOMMENDED_BEFORE</x:v>
      </x:c>
      <x:c r="E2103" s="9" t="str">
        <x:v>T27.10</x:v>
      </x:c>
      <x:c r="F2103" s="9" t="str">
        <x:v>Liquidation preferences and participation rights</x:v>
      </x:c>
      <x:c r="G2103" s="9" t="str">
        <x:v>Understand Term sheets before exploring Liquidation preferences and participation rights.</x:v>
      </x:c>
      <x:c r="H2103" s="9" t="str">
        <x:v>Optional preparation, not a navigation restriction.</x:v>
      </x:c>
      <x:c r="I2103" s="9" t="str">
        <x:v>Curated curriculum relationship</x:v>
      </x:c>
    </x:row>
    <x:row r="2104" ht="58" customHeight="1">
      <x:c r="A2104" s="10" t="str">
        <x:v>E2099</x:v>
      </x:c>
      <x:c r="B2104" s="10" t="str">
        <x:v>T27.06</x:v>
      </x:c>
      <x:c r="C2104" s="10" t="str">
        <x:v>Cap tables and dilution</x:v>
      </x:c>
      <x:c r="D2104" s="14" t="str">
        <x:v>RECOMMENDED_BEFORE</x:v>
      </x:c>
      <x:c r="E2104" s="10" t="str">
        <x:v>T27.11</x:v>
      </x:c>
      <x:c r="F2104" s="10" t="str">
        <x:v>Anti-dilution provisions</x:v>
      </x:c>
      <x:c r="G2104" s="10" t="str">
        <x:v>Understand Cap tables and dilution before exploring Anti-dilution provisions.</x:v>
      </x:c>
      <x:c r="H2104" s="10" t="str">
        <x:v>Optional preparation, not a navigation restriction.</x:v>
      </x:c>
      <x:c r="I2104" s="10" t="str">
        <x:v>Curated curriculum relationship</x:v>
      </x:c>
    </x:row>
    <x:row r="2105" ht="58" customHeight="1">
      <x:c r="A2105" s="9" t="str">
        <x:v>E2100</x:v>
      </x:c>
      <x:c r="B2105" s="9" t="str">
        <x:v>T28.02</x:v>
      </x:c>
      <x:c r="C2105" s="9" t="str">
        <x:v>Rental income, vacancy, and operating expenses</x:v>
      </x:c>
      <x:c r="D2105" s="15" t="str">
        <x:v>RECOMMENDED_BEFORE</x:v>
      </x:c>
      <x:c r="E2105" s="9" t="str">
        <x:v>T28.03</x:v>
      </x:c>
      <x:c r="F2105" s="9" t="str">
        <x:v>Net operating income and capitalisation rates</x:v>
      </x:c>
      <x:c r="G2105" s="9" t="str">
        <x:v>Understand Rental income, vacancy, and operating expenses before exploring Net operating income and capitalisation rates.</x:v>
      </x:c>
      <x:c r="H2105" s="9" t="str">
        <x:v>Optional preparation, not a navigation restriction.</x:v>
      </x:c>
      <x:c r="I2105" s="9" t="str">
        <x:v>Curated curriculum relationship</x:v>
      </x:c>
    </x:row>
    <x:row r="2106" ht="58" customHeight="1">
      <x:c r="A2106" s="10" t="str">
        <x:v>E2101</x:v>
      </x:c>
      <x:c r="B2106" s="10" t="str">
        <x:v>T28.03</x:v>
      </x:c>
      <x:c r="C2106" s="10" t="str">
        <x:v>Net operating income and capitalisation rates</x:v>
      </x:c>
      <x:c r="D2106" s="14" t="str">
        <x:v>RECOMMENDED_BEFORE</x:v>
      </x:c>
      <x:c r="E2106" s="10" t="str">
        <x:v>T28.04</x:v>
      </x:c>
      <x:c r="F2106" s="10" t="str">
        <x:v>Property valuation</x:v>
      </x:c>
      <x:c r="G2106" s="10" t="str">
        <x:v>Understand Net operating income and capitalisation rates before exploring Property valuation.</x:v>
      </x:c>
      <x:c r="H2106" s="10" t="str">
        <x:v>Optional preparation, not a navigation restriction.</x:v>
      </x:c>
      <x:c r="I2106" s="10" t="str">
        <x:v>Curated curriculum relationship</x:v>
      </x:c>
    </x:row>
    <x:row r="2107" ht="58" customHeight="1">
      <x:c r="A2107" s="9" t="str">
        <x:v>E2102</x:v>
      </x:c>
      <x:c r="B2107" s="9" t="str">
        <x:v>T28.15</x:v>
      </x:c>
      <x:c r="C2107" s="9" t="str">
        <x:v>DSCR, LLCR, and PLCR</x:v>
      </x:c>
      <x:c r="D2107" s="15" t="str">
        <x:v>RECOMMENDED_BEFORE</x:v>
      </x:c>
      <x:c r="E2107" s="9" t="str">
        <x:v>T28.14</x:v>
      </x:c>
      <x:c r="F2107" s="9" t="str">
        <x:v>Debt sizing and debt sculpting</x:v>
      </x:c>
      <x:c r="G2107" s="9" t="str">
        <x:v>Understand DSCR, LLCR, and PLCR before exploring Debt sizing and debt sculpting.</x:v>
      </x:c>
      <x:c r="H2107" s="9" t="str">
        <x:v>Optional preparation, not a navigation restriction.</x:v>
      </x:c>
      <x:c r="I2107" s="9" t="str">
        <x:v>Curated curriculum relationship</x:v>
      </x:c>
    </x:row>
    <x:row r="2108" ht="58" customHeight="1">
      <x:c r="A2108" s="10" t="str">
        <x:v>E2103</x:v>
      </x:c>
      <x:c r="B2108" s="10" t="str">
        <x:v>T03.01</x:v>
      </x:c>
      <x:c r="C2108" s="10" t="str">
        <x:v>Present value and future value</x:v>
      </x:c>
      <x:c r="D2108" s="14" t="str">
        <x:v>RECOMMENDED_BEFORE</x:v>
      </x:c>
      <x:c r="E2108" s="10" t="str">
        <x:v>T29.09</x:v>
      </x:c>
      <x:c r="F2108" s="10" t="str">
        <x:v>Present value of insurance liabilities</x:v>
      </x:c>
      <x:c r="G2108" s="10" t="str">
        <x:v>Understand Present value and future value before exploring Present value of insurance liabilities.</x:v>
      </x:c>
      <x:c r="H2108" s="10" t="str">
        <x:v>Optional preparation, not a navigation restriction.</x:v>
      </x:c>
      <x:c r="I2108" s="10" t="str">
        <x:v>Curated curriculum relationship</x:v>
      </x:c>
    </x:row>
    <x:row r="2109" ht="58" customHeight="1">
      <x:c r="A2109" s="9" t="str">
        <x:v>E2104</x:v>
      </x:c>
      <x:c r="B2109" s="9" t="str">
        <x:v>T31.02</x:v>
      </x:c>
      <x:c r="C2109" s="9" t="str">
        <x:v>Taxable income versus accounting income</x:v>
      </x:c>
      <x:c r="D2109" s="15" t="str">
        <x:v>RECOMMENDED_BEFORE</x:v>
      </x:c>
      <x:c r="E2109" s="9" t="str">
        <x:v>T31.09</x:v>
      </x:c>
      <x:c r="F2109" s="9" t="str">
        <x:v>Deferred tax</x:v>
      </x:c>
      <x:c r="G2109" s="9" t="str">
        <x:v>Understand Taxable income versus accounting income before exploring Deferred tax.</x:v>
      </x:c>
      <x:c r="H2109" s="9" t="str">
        <x:v>Optional preparation, not a navigation restriction.</x:v>
      </x:c>
      <x:c r="I2109" s="9" t="str">
        <x:v>Curated curriculum relationship</x:v>
      </x:c>
    </x:row>
    <x:row r="2110" ht="58" customHeight="1">
      <x:c r="A2110" s="10" t="str">
        <x:v>E2105</x:v>
      </x:c>
      <x:c r="B2110" s="10" t="str">
        <x:v>T33.02</x:v>
      </x:c>
      <x:c r="C2110" s="10" t="str">
        <x:v>Spot and forward foreign-exchange markets</x:v>
      </x:c>
      <x:c r="D2110" s="14" t="str">
        <x:v>RECOMMENDED_BEFORE</x:v>
      </x:c>
      <x:c r="E2110" s="10" t="str">
        <x:v>T33.04</x:v>
      </x:c>
      <x:c r="F2110" s="10" t="str">
        <x:v>Covered and uncovered interest-rate parity</x:v>
      </x:c>
      <x:c r="G2110" s="10" t="str">
        <x:v>Understand Spot and forward foreign-exchange markets before exploring Covered and uncovered interest-rate parity.</x:v>
      </x:c>
      <x:c r="H2110" s="10" t="str">
        <x:v>Optional preparation, not a navigation restriction.</x:v>
      </x:c>
      <x:c r="I2110" s="10" t="str">
        <x:v>Curated curriculum relationship</x:v>
      </x:c>
    </x:row>
    <x:row r="2111" ht="58" customHeight="1">
      <x:c r="A2111" s="9" t="str">
        <x:v>E2106</x:v>
      </x:c>
      <x:c r="B2111" s="9" t="str">
        <x:v>T38.04</x:v>
      </x:c>
      <x:c r="C2111" s="9" t="str">
        <x:v>Point-in-time data and survivorship bias</x:v>
      </x:c>
      <x:c r="D2111" s="15" t="str">
        <x:v>RECOMMENDED_BEFORE</x:v>
      </x:c>
      <x:c r="E2111" s="9" t="str">
        <x:v>T38.09</x:v>
      </x:c>
      <x:c r="F2111" s="9" t="str">
        <x:v>Factor research and backtesting</x:v>
      </x:c>
      <x:c r="G2111" s="9" t="str">
        <x:v>Understand Point-in-time data and survivorship bias before exploring Factor research and backtesting.</x:v>
      </x:c>
      <x:c r="H2111" s="9" t="str">
        <x:v>Optional preparation, not a navigation restriction.</x:v>
      </x:c>
      <x:c r="I2111" s="9" t="str">
        <x:v>Curated curriculum relationship</x:v>
      </x:c>
    </x:row>
    <x:row r="2112" ht="58" customHeight="1">
      <x:c r="A2112" s="10" t="str">
        <x:v>E2107</x:v>
      </x:c>
      <x:c r="B2112" s="10" t="str">
        <x:v>T02.07</x:v>
      </x:c>
      <x:c r="C2112" s="10" t="str">
        <x:v>Probability, conditional probability, and Bayes' theorem</x:v>
      </x:c>
      <x:c r="D2112" s="14" t="str">
        <x:v>RECOMMENDED_BEFORE</x:v>
      </x:c>
      <x:c r="E2112" s="10" t="str">
        <x:v>T38.12</x:v>
      </x:c>
      <x:c r="F2112" s="10" t="str">
        <x:v>Monte Carlo simulation</x:v>
      </x:c>
      <x:c r="G2112" s="10" t="str">
        <x:v>Understand Probability, conditional probability, and Bayes' theorem before exploring Monte Carlo simulation.</x:v>
      </x:c>
      <x:c r="H2112" s="10" t="str">
        <x:v>Optional preparation, not a navigation restriction.</x:v>
      </x:c>
      <x:c r="I2112" s="10" t="str">
        <x:v>Curated curriculum relationship</x:v>
      </x:c>
    </x:row>
    <x:row r="2113" ht="58" customHeight="1">
      <x:c r="A2113" s="9" t="str">
        <x:v>E2108</x:v>
      </x:c>
      <x:c r="B2113" s="9" t="str">
        <x:v>A01</x:v>
      </x:c>
      <x:c r="C2113" s="9" t="str">
        <x:v>Revenue recognition</x:v>
      </x:c>
      <x:c r="D2113" s="15" t="str">
        <x:v>DEEPENS</x:v>
      </x:c>
      <x:c r="E2113" s="9" t="str">
        <x:v>T04.06</x:v>
      </x:c>
      <x:c r="F2113" s="9" t="str">
        <x:v>Revenue recognition and expense recognition</x:v>
      </x:c>
      <x:c r="G2113" s="9" t="str">
        <x:v>Atomic concept within this original grouped topic.</x:v>
      </x:c>
      <x:c r="H2113" s="9" t="str">
        <x:v>Preserves the original inventory while enabling more precise navigation.</x:v>
      </x:c>
      <x:c r="I2113" s="9" t="str">
        <x:v>Curated curriculum relationship</x:v>
      </x:c>
    </x:row>
    <x:row r="2114" ht="58" customHeight="1">
      <x:c r="A2114" s="10" t="str">
        <x:v>E2109</x:v>
      </x:c>
      <x:c r="B2114" s="10" t="str">
        <x:v>A02</x:v>
      </x:c>
      <x:c r="C2114" s="10" t="str">
        <x:v>Trade receivables</x:v>
      </x:c>
      <x:c r="D2114" s="14" t="str">
        <x:v>DEEPENS</x:v>
      </x:c>
      <x:c r="E2114" s="10" t="str">
        <x:v>T06.04</x:v>
      </x:c>
      <x:c r="F2114" s="10" t="str">
        <x:v>Trade receivables and expected credit losses</x:v>
      </x:c>
      <x:c r="G2114" s="10" t="str">
        <x:v>Atomic concept within this original grouped topic.</x:v>
      </x:c>
      <x:c r="H2114" s="10" t="str">
        <x:v>Preserves the original inventory while enabling more precise navigation.</x:v>
      </x:c>
      <x:c r="I2114" s="10" t="str">
        <x:v>Curated curriculum relationship</x:v>
      </x:c>
    </x:row>
    <x:row r="2115" ht="58" customHeight="1">
      <x:c r="A2115" s="9" t="str">
        <x:v>E2110</x:v>
      </x:c>
      <x:c r="B2115" s="9" t="str">
        <x:v>A03</x:v>
      </x:c>
      <x:c r="C2115" s="9" t="str">
        <x:v>Inventory</x:v>
      </x:c>
      <x:c r="D2115" s="15" t="str">
        <x:v>DEEPENS</x:v>
      </x:c>
      <x:c r="E2115" s="9" t="str">
        <x:v>T06.05</x:v>
      </x:c>
      <x:c r="F2115" s="9" t="str">
        <x:v>Inventory: raw materials, work in progress, and finished goods</x:v>
      </x:c>
      <x:c r="G2115" s="9" t="str">
        <x:v>Atomic concept within this original grouped topic.</x:v>
      </x:c>
      <x:c r="H2115" s="9" t="str">
        <x:v>Preserves the original inventory while enabling more precise navigation.</x:v>
      </x:c>
      <x:c r="I2115" s="9" t="str">
        <x:v>Curated curriculum relationship</x:v>
      </x:c>
    </x:row>
    <x:row r="2116" ht="58" customHeight="1">
      <x:c r="A2116" s="10" t="str">
        <x:v>E2111</x:v>
      </x:c>
      <x:c r="B2116" s="10" t="str">
        <x:v>A04</x:v>
      </x:c>
      <x:c r="C2116" s="10" t="str">
        <x:v>Trade payables</x:v>
      </x:c>
      <x:c r="D2116" s="14" t="str">
        <x:v>DEEPENS</x:v>
      </x:c>
      <x:c r="E2116" s="10" t="str">
        <x:v>T06.13</x:v>
      </x:c>
      <x:c r="F2116" s="10" t="str">
        <x:v>Trade payables and accrued expenses</x:v>
      </x:c>
      <x:c r="G2116" s="10" t="str">
        <x:v>Atomic concept within this original grouped topic.</x:v>
      </x:c>
      <x:c r="H2116" s="10" t="str">
        <x:v>Preserves the original inventory while enabling more precise navigation.</x:v>
      </x:c>
      <x:c r="I2116" s="10" t="str">
        <x:v>Curated curriculum relationship</x:v>
      </x:c>
    </x:row>
    <x:row r="2117" ht="58" customHeight="1">
      <x:c r="A2117" s="9" t="str">
        <x:v>E2112</x:v>
      </x:c>
      <x:c r="B2117" s="9" t="str">
        <x:v>A05</x:v>
      </x:c>
      <x:c r="C2117" s="9" t="str">
        <x:v>Operating working capital</x:v>
      </x:c>
      <x:c r="D2117" s="15" t="str">
        <x:v>DEEPENS</x:v>
      </x:c>
      <x:c r="E2117" s="9" t="str">
        <x:v>T14.01</x:v>
      </x:c>
      <x:c r="F2117" s="9" t="str">
        <x:v>Operating working capital versus total working capital</x:v>
      </x:c>
      <x:c r="G2117" s="9" t="str">
        <x:v>Atomic concept within this original grouped topic.</x:v>
      </x:c>
      <x:c r="H2117" s="9" t="str">
        <x:v>Preserves the original inventory while enabling more precise navigation.</x:v>
      </x:c>
      <x:c r="I2117" s="9" t="str">
        <x:v>Curated curriculum relationship</x:v>
      </x:c>
    </x:row>
    <x:row r="2118" ht="58" customHeight="1">
      <x:c r="A2118" s="10" t="str">
        <x:v>E2113</x:v>
      </x:c>
      <x:c r="B2118" s="10" t="str">
        <x:v>A06</x:v>
      </x:c>
      <x:c r="C2118" s="10" t="str">
        <x:v>Operating cash flow</x:v>
      </x:c>
      <x:c r="D2118" s="14" t="str">
        <x:v>DEEPENS</x:v>
      </x:c>
      <x:c r="E2118" s="10" t="str">
        <x:v>T07.01</x:v>
      </x:c>
      <x:c r="F2118" s="10" t="str">
        <x:v>Cash flow from operations, investing, and financing</x:v>
      </x:c>
      <x:c r="G2118" s="10" t="str">
        <x:v>Atomic concept within this original grouped topic.</x:v>
      </x:c>
      <x:c r="H2118" s="10" t="str">
        <x:v>Preserves the original inventory while enabling more precise navigation.</x:v>
      </x:c>
      <x:c r="I2118" s="10" t="str">
        <x:v>Curated curriculum relationship</x:v>
      </x:c>
    </x:row>
    <x:row r="2119" ht="58" customHeight="1">
      <x:c r="A2119" s="9" t="str">
        <x:v>E2114</x:v>
      </x:c>
      <x:c r="B2119" s="9" t="str">
        <x:v>A07</x:v>
      </x:c>
      <x:c r="C2119" s="9" t="str">
        <x:v>Capital expenditure</x:v>
      </x:c>
      <x:c r="D2119" s="15" t="str">
        <x:v>DEEPENS</x:v>
      </x:c>
      <x:c r="E2119" s="9" t="str">
        <x:v>T07.06</x:v>
      </x:c>
      <x:c r="F2119" s="9" t="str">
        <x:v>Capital expenditure and asset disposal proceeds</x:v>
      </x:c>
      <x:c r="G2119" s="9" t="str">
        <x:v>Atomic concept within this original grouped topic.</x:v>
      </x:c>
      <x:c r="H2119" s="9" t="str">
        <x:v>Preserves the original inventory while enabling more precise navigation.</x:v>
      </x:c>
      <x:c r="I2119" s="9" t="str">
        <x:v>Curated curriculum relationship</x:v>
      </x:c>
    </x:row>
    <x:row r="2120" ht="58" customHeight="1">
      <x:c r="A2120" s="10" t="str">
        <x:v>E2115</x:v>
      </x:c>
      <x:c r="B2120" s="10" t="str">
        <x:v>A08</x:v>
      </x:c>
      <x:c r="C2120" s="10" t="str">
        <x:v>Depreciation</x:v>
      </x:c>
      <x:c r="D2120" s="14" t="str">
        <x:v>DEEPENS</x:v>
      </x:c>
      <x:c r="E2120" s="10" t="str">
        <x:v>T05.10</x:v>
      </x:c>
      <x:c r="F2120" s="10" t="str">
        <x:v>Depreciation, amortisation, and impairment</x:v>
      </x:c>
      <x:c r="G2120" s="10" t="str">
        <x:v>Atomic concept within this original grouped topic.</x:v>
      </x:c>
      <x:c r="H2120" s="10" t="str">
        <x:v>Preserves the original inventory while enabling more precise navigation.</x:v>
      </x:c>
      <x:c r="I2120" s="10" t="str">
        <x:v>Curated curriculum relationship</x:v>
      </x:c>
    </x:row>
    <x:row r="2121" ht="58" customHeight="1">
      <x:c r="A2121" s="9" t="str">
        <x:v>E2116</x:v>
      </x:c>
      <x:c r="B2121" s="9" t="str">
        <x:v>A09</x:v>
      </x:c>
      <x:c r="C2121" s="9" t="str">
        <x:v>EBIT</x:v>
      </x:c>
      <x:c r="D2121" s="15" t="str">
        <x:v>DEEPENS</x:v>
      </x:c>
      <x:c r="E2121" s="9" t="str">
        <x:v>T05.11</x:v>
      </x:c>
      <x:c r="F2121" s="9" t="str">
        <x:v>EBITDA, EBIT, and operating profit</x:v>
      </x:c>
      <x:c r="G2121" s="9" t="str">
        <x:v>Atomic concept within this original grouped topic.</x:v>
      </x:c>
      <x:c r="H2121" s="9" t="str">
        <x:v>Preserves the original inventory while enabling more precise navigation.</x:v>
      </x:c>
      <x:c r="I2121" s="9" t="str">
        <x:v>Curated curriculum relationship</x:v>
      </x:c>
    </x:row>
    <x:row r="2122" ht="58" customHeight="1">
      <x:c r="A2122" s="10" t="str">
        <x:v>E2117</x:v>
      </x:c>
      <x:c r="B2122" s="10" t="str">
        <x:v>A10</x:v>
      </x:c>
      <x:c r="C2122" s="10" t="str">
        <x:v>NOPAT</x:v>
      </x:c>
      <x:c r="D2122" s="14" t="str">
        <x:v>DEEPENS</x:v>
      </x:c>
      <x:c r="E2122" s="10" t="str">
        <x:v>T17.05</x:v>
      </x:c>
      <x:c r="F2122" s="10" t="str">
        <x:v>FCFF and FCFE</x:v>
      </x:c>
      <x:c r="G2122" s="10" t="str">
        <x:v>Atomic concept within this original grouped topic.</x:v>
      </x:c>
      <x:c r="H2122" s="10" t="str">
        <x:v>Preserves the original inventory while enabling more precise navigation.</x:v>
      </x:c>
      <x:c r="I2122" s="10" t="str">
        <x:v>Curated curriculum relationship</x:v>
      </x:c>
    </x:row>
    <x:row r="2123" ht="58" customHeight="1">
      <x:c r="A2123" s="9" t="str">
        <x:v>E2118</x:v>
      </x:c>
      <x:c r="B2123" s="9" t="str">
        <x:v>A11</x:v>
      </x:c>
      <x:c r="C2123" s="9" t="str">
        <x:v>Free cash flow to the firm (FCFF)</x:v>
      </x:c>
      <x:c r="D2123" s="15" t="str">
        <x:v>DEEPENS</x:v>
      </x:c>
      <x:c r="E2123" s="9" t="str">
        <x:v>T17.05</x:v>
      </x:c>
      <x:c r="F2123" s="9" t="str">
        <x:v>FCFF and FCFE</x:v>
      </x:c>
      <x:c r="G2123" s="9" t="str">
        <x:v>Atomic concept within this original grouped topic.</x:v>
      </x:c>
      <x:c r="H2123" s="9" t="str">
        <x:v>Preserves the original inventory while enabling more precise navigation.</x:v>
      </x:c>
      <x:c r="I2123" s="9" t="str">
        <x:v>Curated curriculum relationship</x:v>
      </x:c>
    </x:row>
    <x:row r="2124" ht="58" customHeight="1">
      <x:c r="A2124" s="10" t="str">
        <x:v>E2119</x:v>
      </x:c>
      <x:c r="B2124" s="10" t="str">
        <x:v>A12</x:v>
      </x:c>
      <x:c r="C2124" s="10" t="str">
        <x:v>Free cash flow to equity (FCFE)</x:v>
      </x:c>
      <x:c r="D2124" s="14" t="str">
        <x:v>DEEPENS</x:v>
      </x:c>
      <x:c r="E2124" s="10" t="str">
        <x:v>T17.05</x:v>
      </x:c>
      <x:c r="F2124" s="10" t="str">
        <x:v>FCFF and FCFE</x:v>
      </x:c>
      <x:c r="G2124" s="10" t="str">
        <x:v>Atomic concept within this original grouped topic.</x:v>
      </x:c>
      <x:c r="H2124" s="10" t="str">
        <x:v>Preserves the original inventory while enabling more precise navigation.</x:v>
      </x:c>
      <x:c r="I2124" s="10" t="str">
        <x:v>Curated curriculum relationship</x:v>
      </x:c>
    </x:row>
    <x:row r="2125" ht="58" customHeight="1">
      <x:c r="A2125" s="9" t="str">
        <x:v>E2120</x:v>
      </x:c>
      <x:c r="B2125" s="9" t="str">
        <x:v>A13</x:v>
      </x:c>
      <x:c r="C2125" s="9" t="str">
        <x:v>Weighted average cost of capital (WACC)</x:v>
      </x:c>
      <x:c r="D2125" s="15" t="str">
        <x:v>DEEPENS</x:v>
      </x:c>
      <x:c r="E2125" s="9" t="str">
        <x:v>T13.10</x:v>
      </x:c>
      <x:c r="F2125" s="9" t="str">
        <x:v>Weighted average cost of capital</x:v>
      </x:c>
      <x:c r="G2125" s="9" t="str">
        <x:v>Atomic concept within this original grouped topic.</x:v>
      </x:c>
      <x:c r="H2125" s="9" t="str">
        <x:v>Preserves the original inventory while enabling more precise navigation.</x:v>
      </x:c>
      <x:c r="I2125" s="9" t="str">
        <x:v>Curated curriculum relationship</x:v>
      </x:c>
    </x:row>
    <x:row r="2126" ht="58" customHeight="1">
      <x:c r="A2126" s="10" t="str">
        <x:v>E2121</x:v>
      </x:c>
      <x:c r="B2126" s="10" t="str">
        <x:v>A14</x:v>
      </x:c>
      <x:c r="C2126" s="10" t="str">
        <x:v>Cost of equity</x:v>
      </x:c>
      <x:c r="D2126" s="14" t="str">
        <x:v>DEEPENS</x:v>
      </x:c>
      <x:c r="E2126" s="10" t="str">
        <x:v>T13.01</x:v>
      </x:c>
      <x:c r="F2126" s="10" t="str">
        <x:v>Cost of equity</x:v>
      </x:c>
      <x:c r="G2126" s="10" t="str">
        <x:v>Atomic concept within this original grouped topic.</x:v>
      </x:c>
      <x:c r="H2126" s="10" t="str">
        <x:v>Preserves the original inventory while enabling more precise navigation.</x:v>
      </x:c>
      <x:c r="I2126" s="10" t="str">
        <x:v>Curated curriculum relationship</x:v>
      </x:c>
    </x:row>
    <x:row r="2127" ht="58" customHeight="1">
      <x:c r="A2127" s="9" t="str">
        <x:v>E2122</x:v>
      </x:c>
      <x:c r="B2127" s="9" t="str">
        <x:v>A15</x:v>
      </x:c>
      <x:c r="C2127" s="9" t="str">
        <x:v>Enterprise value</x:v>
      </x:c>
      <x:c r="D2127" s="15" t="str">
        <x:v>DEEPENS</x:v>
      </x:c>
      <x:c r="E2127" s="9" t="str">
        <x:v>T17.03</x:v>
      </x:c>
      <x:c r="F2127" s="9" t="str">
        <x:v>Enterprise value versus equity value</x:v>
      </x:c>
      <x:c r="G2127" s="9" t="str">
        <x:v>Atomic concept within this original grouped topic.</x:v>
      </x:c>
      <x:c r="H2127" s="9" t="str">
        <x:v>Preserves the original inventory while enabling more precise navigation.</x:v>
      </x:c>
      <x:c r="I2127" s="9" t="str">
        <x:v>Curated curriculum relationship</x:v>
      </x:c>
    </x:row>
    <x:row r="2128" ht="58" customHeight="1">
      <x:c r="A2128" s="10" t="str">
        <x:v>E2123</x:v>
      </x:c>
      <x:c r="B2128" s="10" t="str">
        <x:v>A16</x:v>
      </x:c>
      <x:c r="C2128" s="10" t="str">
        <x:v>Equity value</x:v>
      </x:c>
      <x:c r="D2128" s="14" t="str">
        <x:v>DEEPENS</x:v>
      </x:c>
      <x:c r="E2128" s="10" t="str">
        <x:v>T17.03</x:v>
      </x:c>
      <x:c r="F2128" s="10" t="str">
        <x:v>Enterprise value versus equity value</x:v>
      </x:c>
      <x:c r="G2128" s="10" t="str">
        <x:v>Atomic concept within this original grouped topic.</x:v>
      </x:c>
      <x:c r="H2128" s="10" t="str">
        <x:v>Preserves the original inventory while enabling more precise navigation.</x:v>
      </x:c>
      <x:c r="I2128" s="10" t="str">
        <x:v>Curated curriculum relationship</x:v>
      </x:c>
    </x:row>
    <x:row r="2129" ht="58" customHeight="1">
      <x:c r="A2129" s="9" t="str">
        <x:v>E2124</x:v>
      </x:c>
      <x:c r="B2129" s="9" t="str">
        <x:v>A17</x:v>
      </x:c>
      <x:c r="C2129" s="9" t="str">
        <x:v>Expected credit losses</x:v>
      </x:c>
      <x:c r="D2129" s="15" t="str">
        <x:v>DEEPENS</x:v>
      </x:c>
      <x:c r="E2129" s="9" t="str">
        <x:v>T24.16</x:v>
      </x:c>
      <x:c r="F2129" s="9" t="str">
        <x:v>Expected credit losses</x:v>
      </x:c>
      <x:c r="G2129" s="9" t="str">
        <x:v>Atomic concept within this original grouped topic.</x:v>
      </x:c>
      <x:c r="H2129" s="9" t="str">
        <x:v>Preserves the original inventory while enabling more precise navigation.</x:v>
      </x:c>
      <x:c r="I2129" s="9" t="str">
        <x:v>Curated curriculum relationship</x:v>
      </x:c>
    </x:row>
    <x:row r="2130" ht="58" customHeight="1">
      <x:c r="A2130" s="10" t="str">
        <x:v>E2125</x:v>
      </x:c>
      <x:c r="B2130" s="10" t="str">
        <x:v>A18</x:v>
      </x:c>
      <x:c r="C2130" s="10" t="str">
        <x:v>Net borrowing</x:v>
      </x:c>
      <x:c r="D2130" s="14" t="str">
        <x:v>DEEPENS</x:v>
      </x:c>
      <x:c r="E2130" s="10" t="str">
        <x:v>T07.08</x:v>
      </x:c>
      <x:c r="F2130" s="10" t="str">
        <x:v>Debt issuance and repayment</x:v>
      </x:c>
      <x:c r="G2130" s="10" t="str">
        <x:v>Atomic concept within this original grouped topic.</x:v>
      </x:c>
      <x:c r="H2130" s="10" t="str">
        <x:v>Preserves the original inventory while enabling more precise navigation.</x:v>
      </x:c>
      <x:c r="I2130" s="10" t="str">
        <x:v>Curated curriculum relationship</x:v>
      </x:c>
    </x:row>
    <x:row r="2131" ht="58" customHeight="1">
      <x:c r="A2131" s="9" t="str">
        <x:v>E2126</x:v>
      </x:c>
      <x:c r="B2131" s="9" t="str">
        <x:v>A19</x:v>
      </x:c>
      <x:c r="C2131" s="9" t="str">
        <x:v>Discounted cash flow (DCF)</x:v>
      </x:c>
      <x:c r="D2131" s="15" t="str">
        <x:v>DEEPENS</x:v>
      </x:c>
      <x:c r="E2131" s="9" t="str">
        <x:v>T17.07</x:v>
      </x:c>
      <x:c r="F2131" s="9" t="str">
        <x:v>Discounted cash-flow valuation</x:v>
      </x:c>
      <x:c r="G2131" s="9" t="str">
        <x:v>Atomic concept within this original grouped topic.</x:v>
      </x:c>
      <x:c r="H2131" s="9" t="str">
        <x:v>Preserves the original inventory while enabling more precise navigation.</x:v>
      </x:c>
      <x:c r="I2131" s="9" t="str">
        <x:v>Curated curriculum relationship</x:v>
      </x:c>
    </x:row>
    <x:row r="2132" ht="58" customHeight="1">
      <x:c r="A2132" s="10" t="str">
        <x:v>E2127</x:v>
      </x:c>
      <x:c r="B2132" s="10" t="str">
        <x:v>A20</x:v>
      </x:c>
      <x:c r="C2132" s="10" t="str">
        <x:v>Return on invested capital (ROIC)</x:v>
      </x:c>
      <x:c r="D2132" s="14" t="str">
        <x:v>DEEPENS</x:v>
      </x:c>
      <x:c r="E2132" s="10" t="str">
        <x:v>T09.08</x:v>
      </x:c>
      <x:c r="F2132" s="10" t="str">
        <x:v>ROA, ROE, ROCE, and ROIC</x:v>
      </x:c>
      <x:c r="G2132" s="10" t="str">
        <x:v>Atomic concept within this original grouped topic.</x:v>
      </x:c>
      <x:c r="H2132" s="10" t="str">
        <x:v>Preserves the original inventory while enabling more precise navigation.</x:v>
      </x:c>
      <x:c r="I2132" s="10" t="str">
        <x:v>Curated curriculum relationship</x:v>
      </x:c>
    </x:row>
    <x:row r="2133" ht="58" customHeight="1">
      <x:c r="A2133" s="9" t="str">
        <x:v>E2128</x:v>
      </x:c>
      <x:c r="B2133" s="9" t="str">
        <x:v>T17.16</x:v>
      </x:c>
      <x:c r="C2133" s="9" t="str">
        <x:v>Debt, leases, pension deficits, and minority interests</x:v>
      </x:c>
      <x:c r="D2133" s="15" t="str">
        <x:v>CALCULATION_INPUT</x:v>
      </x:c>
      <x:c r="E2133" s="9" t="str">
        <x:v>T17.04</x:v>
      </x:c>
      <x:c r="F2133" s="9" t="str">
        <x:v>The enterprise-to-equity value bridge</x:v>
      </x:c>
      <x:c r="G2133" s="9" t="str">
        <x:v>Non-equity claims provide deductions in a consistent enterprise-to-equity bridge.</x:v>
      </x:c>
      <x:c r="H2133" s="9" t="str">
        <x:v>Match debt, leases, pensions and minority claims to the cash-flow perimeter.</x:v>
      </x:c>
      <x:c r="I2133" s="9" t="str">
        <x:v>Finance mechanism / application; authored mapping</x:v>
      </x:c>
    </x:row>
    <x:row r="2134" ht="58" customHeight="1">
      <x:c r="A2134" s="10" t="str">
        <x:v>E2129</x:v>
      </x:c>
      <x:c r="B2134" s="10" t="str">
        <x:v>T17.15</x:v>
      </x:c>
      <x:c r="C2134" s="10" t="str">
        <x:v>Excess cash and non-operating assets</x:v>
      </x:c>
      <x:c r="D2134" s="14" t="str">
        <x:v>CALCULATION_INPUT</x:v>
      </x:c>
      <x:c r="E2134" s="10" t="str">
        <x:v>T17.04</x:v>
      </x:c>
      <x:c r="F2134" s="10" t="str">
        <x:v>The enterprise-to-equity value bridge</x:v>
      </x:c>
      <x:c r="G2134" s="10" t="str">
        <x:v>Relevant excess cash and non-operating assets provide additions in the enterprise-to-equity bridge.</x:v>
      </x:c>
      <x:c r="H2134" s="10" t="str">
        <x:v>Only add assets excluded from the operating valuation and available to the relevant claim.</x:v>
      </x:c>
      <x:c r="I2134" s="10" t="str">
        <x:v>Finance mechanism / application; authored mapping</x:v>
      </x:c>
    </x:row>
    <x:row r="2135" ht="58" customHeight="1">
      <x:c r="A2135" s="9" t="str">
        <x:v>E2130</x:v>
      </x:c>
      <x:c r="B2135" s="9" t="str">
        <x:v>T30.06</x:v>
      </x:c>
      <x:c r="C2135" s="9" t="str">
        <x:v>Financial goals and savings plans</x:v>
      </x:c>
      <x:c r="D2135" s="15" t="str">
        <x:v>INFORMS</x:v>
      </x:c>
      <x:c r="E2135" s="9" t="str">
        <x:v>T30.08</x:v>
      </x:c>
      <x:c r="F2135" s="9" t="str">
        <x:v>Investment selection and asset allocation</x:v>
      </x:c>
      <x:c r="G2135" s="9" t="str">
        <x:v>Financial goals and their timing inform personal investment selection and asset allocation.</x:v>
      </x:c>
      <x:c r="H2135" s="9" t="str">
        <x:v>Also consider liquidity, risk capacity and protection needs.</x:v>
      </x:c>
      <x:c r="I2135" s="9" t="str">
        <x:v>Finance mechanism / application; authored mapping</x:v>
      </x:c>
    </x:row>
    <x:row r="2136" ht="58" customHeight="1">
      <x:c r="A2136" s="10" t="str">
        <x:v>E2131</x:v>
      </x:c>
      <x:c r="B2136" s="10" t="str">
        <x:v>T22.09</x:v>
      </x:c>
      <x:c r="C2136" s="10" t="str">
        <x:v>Strategic and tactical asset allocation</x:v>
      </x:c>
      <x:c r="D2136" s="14" t="str">
        <x:v>GUIDES</x:v>
      </x:c>
      <x:c r="E2136" s="10" t="str">
        <x:v>T22.12</x:v>
      </x:c>
      <x:c r="F2136" s="10" t="str">
        <x:v>Portfolio construction and position sizing</x:v>
      </x:c>
      <x:c r="G2136" s="10" t="str">
        <x:v>Asset allocation provides target exposures and constraints for portfolio construction.</x:v>
      </x:c>
      <x:c r="H2136" s="10" t="str"/>
      <x:c r="I2136" s="10" t="str">
        <x:v>Finance mechanism / application; authored mapping</x:v>
      </x:c>
    </x:row>
    <x:row r="2137" ht="58" customHeight="1">
      <x:c r="A2137" s="9" t="str">
        <x:v>E2132</x:v>
      </x:c>
      <x:c r="B2137" s="9" t="str">
        <x:v>T23.04</x:v>
      </x:c>
      <x:c r="C2137" s="9" t="str">
        <x:v>Fund NAV, expense ratios, and tracking differences</x:v>
      </x:c>
      <x:c r="D2137" s="15" t="str">
        <x:v>MEASURES</x:v>
      </x:c>
      <x:c r="E2137" s="9" t="str">
        <x:v>T23.01</x:v>
      </x:c>
      <x:c r="F2137" s="9" t="str">
        <x:v>Mutual funds and exchange-traded funds</x:v>
      </x:c>
      <x:c r="G2137" s="9" t="str">
        <x:v>NAV, expense ratios and tracking differences help assess fund implementation and investor outcomes.</x:v>
      </x:c>
      <x:c r="H2137" s="9" t="str">
        <x:v>Use the appropriate fund structure and benchmark.</x:v>
      </x:c>
      <x:c r="I2137" s="9" t="str">
        <x:v>Finance mechanism / application; authored mapping</x:v>
      </x:c>
    </x:row>
    <x:row r="2138" ht="58" customHeight="1">
      <x:c r="A2138" s="10" t="str">
        <x:v>E2133</x:v>
      </x:c>
      <x:c r="B2138" s="10" t="str">
        <x:v>T04.01</x:v>
      </x:c>
      <x:c r="C2138" s="10" t="str">
        <x:v>The accounting equation</x:v>
      </x:c>
      <x:c r="D2138" s="14" t="str">
        <x:v>EXPLAINS</x:v>
      </x:c>
      <x:c r="E2138" s="10" t="str">
        <x:v>T06.18</x:v>
      </x:c>
      <x:c r="F2138" s="10" t="str">
        <x:v>Share capital, securities premium, and retained earnings</x:v>
      </x:c>
      <x:c r="G2138" s="10" t="str">
        <x:v>The accounting equation makes funding claims reconcile with the asset side.</x:v>
      </x:c>
      <x:c r="H2138" s="10" t="str">
        <x:v>Use total liabilities and equity, not share capital alone.</x:v>
      </x:c>
      <x:c r="I2138" s="10" t="str">
        <x:v>Finance mechanism / application; authored mapping</x:v>
      </x:c>
    </x:row>
    <x:row r="2139" ht="58" customHeight="1">
      <x:c r="A2139" s="9" t="str">
        <x:v>E2134</x:v>
      </x:c>
      <x:c r="B2139" s="9" t="str">
        <x:v>T04.02</x:v>
      </x:c>
      <x:c r="C2139" s="9" t="str">
        <x:v>Double-entry bookkeeping</x:v>
      </x:c>
      <x:c r="D2139" s="15" t="str">
        <x:v>ENABLES</x:v>
      </x:c>
      <x:c r="E2139" s="9" t="str">
        <x:v>T07.14</x:v>
      </x:c>
      <x:c r="F2139" s="9" t="str">
        <x:v>How transactions move through all three statements</x:v>
      </x:c>
      <x:c r="G2139" s="9" t="str">
        <x:v>Double entry lets one transaction be traced through accounts and statements.</x:v>
      </x:c>
      <x:c r="H2139" s="9" t="str"/>
      <x:c r="I2139" s="9" t="str">
        <x:v>Finance mechanism / application; authored mapping</x:v>
      </x:c>
    </x:row>
    <x:row r="2140" ht="58" customHeight="1">
      <x:c r="A2140" s="10" t="str">
        <x:v>E2135</x:v>
      </x:c>
      <x:c r="B2140" s="10" t="str">
        <x:v>T04.05</x:v>
      </x:c>
      <x:c r="C2140" s="10" t="str">
        <x:v>Cash accounting versus accrual accounting</x:v>
      </x:c>
      <x:c r="D2140" s="14" t="str">
        <x:v>EXPLAINS</x:v>
      </x:c>
      <x:c r="E2140" s="10" t="str">
        <x:v>A02</x:v>
      </x:c>
      <x:c r="F2140" s="10" t="str">
        <x:v>Trade receivables</x:v>
      </x:c>
      <x:c r="G2140" s="10" t="str">
        <x:v>Accrual accounting permits revenue and customer receivables before collection.</x:v>
      </x:c>
      <x:c r="H2140" s="10" t="str">
        <x:v>Recognition criteria must first be met.</x:v>
      </x:c>
      <x:c r="I2140" s="10" t="str">
        <x:v>Finance mechanism / application; authored mapping</x:v>
      </x:c>
    </x:row>
    <x:row r="2141" ht="58" customHeight="1">
      <x:c r="A2141" s="9" t="str">
        <x:v>E2136</x:v>
      </x:c>
      <x:c r="B2141" s="9" t="str">
        <x:v>A01</x:v>
      </x:c>
      <x:c r="C2141" s="9" t="str">
        <x:v>Revenue recognition</x:v>
      </x:c>
      <x:c r="D2141" s="15" t="str">
        <x:v>CREATES</x:v>
      </x:c>
      <x:c r="E2141" s="9" t="str">
        <x:v>A02</x:v>
      </x:c>
      <x:c r="F2141" s="9" t="str">
        <x:v>Trade receivables</x:v>
      </x:c>
      <x:c r="G2141" s="9" t="str">
        <x:v>A qualifying sale on credit records revenue and a customer receivable.</x:v>
      </x:c>
      <x:c r="H2141" s="9" t="str">
        <x:v>A cash sale does not create an outstanding receivable.</x:v>
      </x:c>
      <x:c r="I2141" s="9" t="str">
        <x:v>Finance mechanism / application; authored mapping</x:v>
      </x:c>
    </x:row>
    <x:row r="2142" ht="58" customHeight="1">
      <x:c r="A2142" s="10" t="str">
        <x:v>E2137</x:v>
      </x:c>
      <x:c r="B2142" s="10" t="str">
        <x:v>A02</x:v>
      </x:c>
      <x:c r="C2142" s="10" t="str">
        <x:v>Trade receivables</x:v>
      </x:c>
      <x:c r="D2142" s="14" t="str">
        <x:v>COMPONENT_OF</x:v>
      </x:c>
      <x:c r="E2142" s="10" t="str">
        <x:v>A05</x:v>
      </x:c>
      <x:c r="F2142" s="10" t="str">
        <x:v>Operating working capital</x:v>
      </x:c>
      <x:c r="G2142" s="10" t="str">
        <x:v>Operating receivables are one component of operating working capital.</x:v>
      </x:c>
      <x:c r="H2142" s="10" t="str">
        <x:v>Exclude non-operating receivables when defining the operating perimeter.</x:v>
      </x:c>
      <x:c r="I2142" s="10" t="str">
        <x:v>Finance mechanism / application; authored mapping</x:v>
      </x:c>
    </x:row>
    <x:row r="2143" ht="58" customHeight="1">
      <x:c r="A2143" s="9" t="str">
        <x:v>E2138</x:v>
      </x:c>
      <x:c r="B2143" s="9" t="str">
        <x:v>A03</x:v>
      </x:c>
      <x:c r="C2143" s="9" t="str">
        <x:v>Inventory</x:v>
      </x:c>
      <x:c r="D2143" s="15" t="str">
        <x:v>COMPONENT_OF</x:v>
      </x:c>
      <x:c r="E2143" s="9" t="str">
        <x:v>A05</x:v>
      </x:c>
      <x:c r="F2143" s="9" t="str">
        <x:v>Operating working capital</x:v>
      </x:c>
      <x:c r="G2143" s="9" t="str">
        <x:v>Operating inventory is included in operating working capital.</x:v>
      </x:c>
      <x:c r="H2143" s="9" t="str"/>
      <x:c r="I2143" s="9" t="str">
        <x:v>Finance mechanism / application; authored mapping</x:v>
      </x:c>
    </x:row>
    <x:row r="2144" ht="58" customHeight="1">
      <x:c r="A2144" s="10" t="str">
        <x:v>E2139</x:v>
      </x:c>
      <x:c r="B2144" s="10" t="str">
        <x:v>A04</x:v>
      </x:c>
      <x:c r="C2144" s="10" t="str">
        <x:v>Trade payables</x:v>
      </x:c>
      <x:c r="D2144" s="14" t="str">
        <x:v>SUBTRACTED_IN</x:v>
      </x:c>
      <x:c r="E2144" s="10" t="str">
        <x:v>A05</x:v>
      </x:c>
      <x:c r="F2144" s="10" t="str">
        <x:v>Operating working capital</x:v>
      </x:c>
      <x:c r="G2144" s="10" t="str">
        <x:v>Operating supplier payables reduce operating working capital.</x:v>
      </x:c>
      <x:c r="H2144" s="10" t="str"/>
      <x:c r="I2144" s="10" t="str">
        <x:v>Finance mechanism / application; authored mapping</x:v>
      </x:c>
    </x:row>
    <x:row r="2145" ht="58" customHeight="1">
      <x:c r="A2145" s="9" t="str">
        <x:v>E2140</x:v>
      </x:c>
      <x:c r="B2145" s="9" t="str">
        <x:v>A05</x:v>
      </x:c>
      <x:c r="C2145" s="9" t="str">
        <x:v>Operating working capital</x:v>
      </x:c>
      <x:c r="D2145" s="15" t="str">
        <x:v>AFFECTS</x:v>
      </x:c>
      <x:c r="E2145" s="9" t="str">
        <x:v>A06</x:v>
      </x:c>
      <x:c r="F2145" s="9" t="str">
        <x:v>Operating cash flow</x:v>
      </x:c>
      <x:c r="G2145" s="9" t="str">
        <x:v>Increases in operating working capital generally reduce operating cash flow in the indirect reconciliation.</x:v>
      </x:c>
      <x:c r="H2145" s="9" t="str">
        <x:v>Hold other cash-flow components fixed and apply the reporting framework.</x:v>
      </x:c>
      <x:c r="I2145" s="9" t="str">
        <x:v>Finance mechanism / application; authored mapping</x:v>
      </x:c>
    </x:row>
    <x:row r="2146" ht="58" customHeight="1">
      <x:c r="A2146" s="10" t="str">
        <x:v>E2141</x:v>
      </x:c>
      <x:c r="B2146" s="10" t="str">
        <x:v>A02</x:v>
      </x:c>
      <x:c r="C2146" s="10" t="str">
        <x:v>Trade receivables</x:v>
      </x:c>
      <x:c r="D2146" s="14" t="str">
        <x:v>MEASURED_BY</x:v>
      </x:c>
      <x:c r="E2146" s="10" t="str">
        <x:v>T14.03</x:v>
      </x:c>
      <x:c r="F2146" s="10" t="str">
        <x:v>Inventory days, receivable days, and payable days</x:v>
      </x:c>
      <x:c r="G2146" s="10" t="str">
        <x:v>Receivable days relate customer balances to a consistent credit-sales denominator.</x:v>
      </x:c>
      <x:c r="H2146" s="10" t="str">
        <x:v>Use average balances and matched periods when available.</x:v>
      </x:c>
      <x:c r="I2146" s="10" t="str">
        <x:v>Finance mechanism / application; authored mapping</x:v>
      </x:c>
    </x:row>
    <x:row r="2147" ht="58" customHeight="1">
      <x:c r="A2147" s="9" t="str">
        <x:v>E2142</x:v>
      </x:c>
      <x:c r="B2147" s="9" t="str">
        <x:v>A03</x:v>
      </x:c>
      <x:c r="C2147" s="9" t="str">
        <x:v>Inventory</x:v>
      </x:c>
      <x:c r="D2147" s="15" t="str">
        <x:v>MEASURED_BY</x:v>
      </x:c>
      <x:c r="E2147" s="9" t="str">
        <x:v>T14.03</x:v>
      </x:c>
      <x:c r="F2147" s="9" t="str">
        <x:v>Inventory days, receivable days, and payable days</x:v>
      </x:c>
      <x:c r="G2147" s="9" t="str">
        <x:v>Inventory days relate inventory balances to the appropriate cost-of-sales denominator.</x:v>
      </x:c>
      <x:c r="H2147" s="9" t="str">
        <x:v>Match inventory valuation and reporting periods.</x:v>
      </x:c>
      <x:c r="I2147" s="9" t="str">
        <x:v>Finance mechanism / application; authored mapping</x:v>
      </x:c>
    </x:row>
    <x:row r="2148" ht="58" customHeight="1">
      <x:c r="A2148" s="10" t="str">
        <x:v>E2143</x:v>
      </x:c>
      <x:c r="B2148" s="10" t="str">
        <x:v>A04</x:v>
      </x:c>
      <x:c r="C2148" s="10" t="str">
        <x:v>Trade payables</x:v>
      </x:c>
      <x:c r="D2148" s="14" t="str">
        <x:v>MEASURED_BY</x:v>
      </x:c>
      <x:c r="E2148" s="10" t="str">
        <x:v>T14.03</x:v>
      </x:c>
      <x:c r="F2148" s="10" t="str">
        <x:v>Inventory days, receivable days, and payable days</x:v>
      </x:c>
      <x:c r="G2148" s="10" t="str">
        <x:v>Payable days relate supplier balances to relevant purchases or a documented cost proxy.</x:v>
      </x:c>
      <x:c r="H2148" s="10" t="str">
        <x:v>Credit purchases are preferred where available.</x:v>
      </x:c>
      <x:c r="I2148" s="10" t="str">
        <x:v>Finance mechanism / application; authored mapping</x:v>
      </x:c>
    </x:row>
    <x:row r="2149" ht="58" customHeight="1">
      <x:c r="A2149" s="9" t="str">
        <x:v>E2144</x:v>
      </x:c>
      <x:c r="B2149" s="9" t="str">
        <x:v>T14.03</x:v>
      </x:c>
      <x:c r="C2149" s="9" t="str">
        <x:v>Inventory days, receivable days, and payable days</x:v>
      </x:c>
      <x:c r="D2149" s="15" t="str">
        <x:v>CALCULATION_INPUT</x:v>
      </x:c>
      <x:c r="E2149" s="9" t="str">
        <x:v>T14.02</x:v>
      </x:c>
      <x:c r="F2149" s="9" t="str">
        <x:v>Cash conversion cycle</x:v>
      </x:c>
      <x:c r="G2149" s="9" t="str">
        <x:v>Inventory days plus receivable days less payable days gives the cash conversion cycle.</x:v>
      </x:c>
      <x:c r="H2149" s="9" t="str">
        <x:v>Keep day-count and denominator conventions consistent.</x:v>
      </x:c>
      <x:c r="I2149" s="9" t="str">
        <x:v>Finance mechanism / application; authored mapping</x:v>
      </x:c>
    </x:row>
    <x:row r="2150" ht="58" customHeight="1">
      <x:c r="A2150" s="10" t="str">
        <x:v>E2145</x:v>
      </x:c>
      <x:c r="B2150" s="10" t="str">
        <x:v>T14.05</x:v>
      </x:c>
      <x:c r="C2150" s="10" t="str">
        <x:v>Customer credit policy and collections</x:v>
      </x:c>
      <x:c r="D2150" s="14" t="str">
        <x:v>MANAGES</x:v>
      </x:c>
      <x:c r="E2150" s="10" t="str">
        <x:v>A02</x:v>
      </x:c>
      <x:c r="F2150" s="10" t="str">
        <x:v>Trade receivables</x:v>
      </x:c>
      <x:c r="G2150" s="10" t="str">
        <x:v>Credit terms and collections influence the amount and timing of customer receivables.</x:v>
      </x:c>
      <x:c r="H2150" s="10" t="str"/>
      <x:c r="I2150" s="10" t="str">
        <x:v>Finance mechanism / application; authored mapping</x:v>
      </x:c>
    </x:row>
    <x:row r="2151" ht="58" customHeight="1">
      <x:c r="A2151" s="9" t="str">
        <x:v>E2146</x:v>
      </x:c>
      <x:c r="B2151" s="9" t="str">
        <x:v>T14.07</x:v>
      </x:c>
      <x:c r="C2151" s="9" t="str">
        <x:v>Supplier terms and payment management</x:v>
      </x:c>
      <x:c r="D2151" s="15" t="str">
        <x:v>MANAGES</x:v>
      </x:c>
      <x:c r="E2151" s="9" t="str">
        <x:v>A04</x:v>
      </x:c>
      <x:c r="F2151" s="9" t="str">
        <x:v>Trade payables</x:v>
      </x:c>
      <x:c r="G2151" s="9" t="str">
        <x:v>Supplier payment terms influence payable balances and payment timing.</x:v>
      </x:c>
      <x:c r="H2151" s="9" t="str"/>
      <x:c r="I2151" s="9" t="str">
        <x:v>Finance mechanism / application; authored mapping</x:v>
      </x:c>
    </x:row>
    <x:row r="2152" ht="58" customHeight="1">
      <x:c r="A2152" s="10" t="str">
        <x:v>E2147</x:v>
      </x:c>
      <x:c r="B2152" s="10" t="str">
        <x:v>T14.08</x:v>
      </x:c>
      <x:c r="C2152" s="10" t="str">
        <x:v>Factoring and invoice discounting</x:v>
      </x:c>
      <x:c r="D2152" s="14" t="str">
        <x:v>FINANCES</x:v>
      </x:c>
      <x:c r="E2152" s="10" t="str">
        <x:v>A02</x:v>
      </x:c>
      <x:c r="F2152" s="10" t="str">
        <x:v>Trade receivables</x:v>
      </x:c>
      <x:c r="G2152" s="10" t="str">
        <x:v>Factoring and invoice discounting can provide funding against receivables.</x:v>
      </x:c>
      <x:c r="H2152" s="10" t="str">
        <x:v>Derecognition, recourse and classification depend on the arrangement.</x:v>
      </x:c>
      <x:c r="I2152" s="10" t="str">
        <x:v>Finance mechanism / application; authored mapping</x:v>
      </x:c>
    </x:row>
    <x:row r="2153" ht="58" customHeight="1">
      <x:c r="A2153" s="9" t="str">
        <x:v>E2148</x:v>
      </x:c>
      <x:c r="B2153" s="9" t="str">
        <x:v>T14.09</x:v>
      </x:c>
      <x:c r="C2153" s="9" t="str">
        <x:v>Reverse factoring and supply-chain finance</x:v>
      </x:c>
      <x:c r="D2153" s="15" t="str">
        <x:v>FINANCES</x:v>
      </x:c>
      <x:c r="E2153" s="9" t="str">
        <x:v>A04</x:v>
      </x:c>
      <x:c r="F2153" s="9" t="str">
        <x:v>Trade payables</x:v>
      </x:c>
      <x:c r="G2153" s="9" t="str">
        <x:v>Supply-chain finance changes supplier payment and buyer funding arrangements.</x:v>
      </x:c>
      <x:c r="H2153" s="9" t="str">
        <x:v>Assess substance, balance-sheet classification and required disclosures.</x:v>
      </x:c>
      <x:c r="I2153" s="9" t="str">
        <x:v>Finance mechanism / application; authored mapping</x:v>
      </x:c>
    </x:row>
    <x:row r="2154" ht="58" customHeight="1">
      <x:c r="A2154" s="10" t="str">
        <x:v>E2149</x:v>
      </x:c>
      <x:c r="B2154" s="10" t="str">
        <x:v>A02</x:v>
      </x:c>
      <x:c r="C2154" s="10" t="str">
        <x:v>Trade receivables</x:v>
      </x:c>
      <x:c r="D2154" s="14" t="str">
        <x:v>ASSESSED_FOR</x:v>
      </x:c>
      <x:c r="E2154" s="10" t="str">
        <x:v>A17</x:v>
      </x:c>
      <x:c r="F2154" s="10" t="str">
        <x:v>Expected credit losses</x:v>
      </x:c>
      <x:c r="G2154" s="10" t="str">
        <x:v>Uncollected customer balances may require an expected credit-loss allowance.</x:v>
      </x:c>
      <x:c r="H2154" s="10" t="str">
        <x:v>Framework and estimation inputs determine the recognised allowance.</x:v>
      </x:c>
      <x:c r="I2154" s="10" t="str">
        <x:v>Finance mechanism / application; authored mapping</x:v>
      </x:c>
    </x:row>
    <x:row r="2155" ht="58" customHeight="1">
      <x:c r="A2155" s="9" t="str">
        <x:v>E2150</x:v>
      </x:c>
      <x:c r="B2155" s="9" t="str">
        <x:v>A17</x:v>
      </x:c>
      <x:c r="C2155" s="9" t="str">
        <x:v>Expected credit losses</x:v>
      </x:c>
      <x:c r="D2155" s="15" t="str">
        <x:v>AFFECTS</x:v>
      </x:c>
      <x:c r="E2155" s="9" t="str">
        <x:v>T05.17</x:v>
      </x:c>
      <x:c r="F2155" s="9" t="str">
        <x:v>Net profit and profit attributable to shareholders</x:v>
      </x:c>
      <x:c r="G2155" s="9" t="str">
        <x:v>Credit-loss expense can reduce reported profit without a contemporaneous cash payment.</x:v>
      </x:c>
      <x:c r="H2155" s="9" t="str"/>
      <x:c r="I2155" s="9" t="str">
        <x:v>Finance mechanism / application; authored mapping</x:v>
      </x:c>
    </x:row>
    <x:row r="2156" ht="58" customHeight="1">
      <x:c r="A2156" s="10" t="str">
        <x:v>E2151</x:v>
      </x:c>
      <x:c r="B2156" s="10" t="str">
        <x:v>A08</x:v>
      </x:c>
      <x:c r="C2156" s="10" t="str">
        <x:v>Depreciation</x:v>
      </x:c>
      <x:c r="D2156" s="14" t="str">
        <x:v>DEDUCTED_IN</x:v>
      </x:c>
      <x:c r="E2156" s="10" t="str">
        <x:v>A09</x:v>
      </x:c>
      <x:c r="F2156" s="10" t="str">
        <x:v>EBIT</x:v>
      </x:c>
      <x:c r="G2156" s="10" t="str">
        <x:v>Depreciation reduces EBIT for depreciating operating assets.</x:v>
      </x:c>
      <x:c r="H2156" s="10" t="str"/>
      <x:c r="I2156" s="10" t="str">
        <x:v>Finance mechanism / application; authored mapping</x:v>
      </x:c>
    </x:row>
    <x:row r="2157" ht="58" customHeight="1">
      <x:c r="A2157" s="9" t="str">
        <x:v>E2152</x:v>
      </x:c>
      <x:c r="B2157" s="9" t="str">
        <x:v>A08</x:v>
      </x:c>
      <x:c r="C2157" s="9" t="str">
        <x:v>Depreciation</x:v>
      </x:c>
      <x:c r="D2157" s="15" t="str">
        <x:v>ADDED_BACK_IN</x:v>
      </x:c>
      <x:c r="E2157" s="9" t="str">
        <x:v>A11</x:v>
      </x:c>
      <x:c r="F2157" s="9" t="str">
        <x:v>Free cash flow to the firm (FCFF)</x:v>
      </x:c>
      <x:c r="G2157" s="9" t="str">
        <x:v>Non-cash depreciation deducted in operating profit is added back in the standard FCFF build.</x:v>
      </x:c>
      <x:c r="H2157" s="9" t="str">
        <x:v>Avoid adding it twice; account for associated reinvestment separately.</x:v>
      </x:c>
      <x:c r="I2157" s="9" t="str">
        <x:v>Finance mechanism / application; authored mapping</x:v>
      </x:c>
    </x:row>
    <x:row r="2158" ht="58" customHeight="1">
      <x:c r="A2158" s="10" t="str">
        <x:v>E2153</x:v>
      </x:c>
      <x:c r="B2158" s="10" t="str">
        <x:v>A07</x:v>
      </x:c>
      <x:c r="C2158" s="10" t="str">
        <x:v>Capital expenditure</x:v>
      </x:c>
      <x:c r="D2158" s="14" t="str">
        <x:v>DEDUCTED_IN</x:v>
      </x:c>
      <x:c r="E2158" s="10" t="str">
        <x:v>A11</x:v>
      </x:c>
      <x:c r="F2158" s="10" t="str">
        <x:v>Free cash flow to the firm (FCFF)</x:v>
      </x:c>
      <x:c r="G2158" s="10" t="str">
        <x:v>Cash operating capital expenditure is deducted when calculating standard FCFF.</x:v>
      </x:c>
      <x:c r="H2158" s="10" t="str">
        <x:v>Keep acquisitions and non-operating investments explicitly classified.</x:v>
      </x:c>
      <x:c r="I2158" s="10" t="str">
        <x:v>Finance mechanism / application; authored mapping</x:v>
      </x:c>
    </x:row>
    <x:row r="2159" ht="58" customHeight="1">
      <x:c r="A2159" s="9" t="str">
        <x:v>E2154</x:v>
      </x:c>
      <x:c r="B2159" s="9" t="str">
        <x:v>A05</x:v>
      </x:c>
      <x:c r="C2159" s="9" t="str">
        <x:v>Operating working capital</x:v>
      </x:c>
      <x:c r="D2159" s="15" t="str">
        <x:v>DEDUCTED_IN</x:v>
      </x:c>
      <x:c r="E2159" s="9" t="str">
        <x:v>A11</x:v>
      </x:c>
      <x:c r="F2159" s="9" t="str">
        <x:v>Free cash flow to the firm (FCFF)</x:v>
      </x:c>
      <x:c r="G2159" s="9" t="str">
        <x:v>An increase in operating working capital is deducted in the standard FCFF build.</x:v>
      </x:c>
      <x:c r="H2159" s="9" t="str">
        <x:v>Use change in the balance, not the full closing balance.</x:v>
      </x:c>
      <x:c r="I2159" s="9" t="str">
        <x:v>Finance mechanism / application; authored mapping</x:v>
      </x:c>
    </x:row>
    <x:row r="2160" ht="58" customHeight="1">
      <x:c r="A2160" s="10" t="str">
        <x:v>E2155</x:v>
      </x:c>
      <x:c r="B2160" s="10" t="str">
        <x:v>A09</x:v>
      </x:c>
      <x:c r="C2160" s="10" t="str">
        <x:v>EBIT</x:v>
      </x:c>
      <x:c r="D2160" s="14" t="str">
        <x:v>CALCULATION_INPUT</x:v>
      </x:c>
      <x:c r="E2160" s="10" t="str">
        <x:v>A10</x:v>
      </x:c>
      <x:c r="F2160" s="10" t="str">
        <x:v>NOPAT</x:v>
      </x:c>
      <x:c r="G2160" s="10" t="str">
        <x:v>Operating earnings provide the profit base for after-tax operating profit.</x:v>
      </x:c>
      <x:c r="H2160" s="10" t="str">
        <x:v>A simple EBIT times one-minus-tax-rate model is an assumption, not a universal tax rule.</x:v>
      </x:c>
      <x:c r="I2160" s="10" t="str">
        <x:v>Finance mechanism / application; authored mapping</x:v>
      </x:c>
    </x:row>
    <x:row r="2161" ht="58" customHeight="1">
      <x:c r="A2161" s="9" t="str">
        <x:v>E2156</x:v>
      </x:c>
      <x:c r="B2161" s="9" t="str">
        <x:v>A10</x:v>
      </x:c>
      <x:c r="C2161" s="9" t="str">
        <x:v>NOPAT</x:v>
      </x:c>
      <x:c r="D2161" s="15" t="str">
        <x:v>CALCULATION_INPUT</x:v>
      </x:c>
      <x:c r="E2161" s="9" t="str">
        <x:v>A11</x:v>
      </x:c>
      <x:c r="F2161" s="9" t="str">
        <x:v>Free cash flow to the firm (FCFF)</x:v>
      </x:c>
      <x:c r="G2161" s="9" t="str">
        <x:v>NOPAT is a starting point for FCFF before non-cash adjustments and reinvestment.</x:v>
      </x:c>
      <x:c r="H2161" s="9" t="str"/>
      <x:c r="I2161" s="9" t="str">
        <x:v>Finance mechanism / application; authored mapping</x:v>
      </x:c>
    </x:row>
    <x:row r="2162" ht="58" customHeight="1">
      <x:c r="A2162" s="10" t="str">
        <x:v>E2157</x:v>
      </x:c>
      <x:c r="B2162" s="10" t="str">
        <x:v>A11</x:v>
      </x:c>
      <x:c r="C2162" s="10" t="str">
        <x:v>Free cash flow to the firm (FCFF)</x:v>
      </x:c>
      <x:c r="D2162" s="14" t="str">
        <x:v>DISCOUNTED_AT</x:v>
      </x:c>
      <x:c r="E2162" s="10" t="str">
        <x:v>A13</x:v>
      </x:c>
      <x:c r="F2162" s="10" t="str">
        <x:v>Weighted average cost of capital (WACC)</x:v>
      </x:c>
      <x:c r="G2162" s="10" t="str">
        <x:v>FCFF is discounted at a matching WACC in a standard enterprise DCF.</x:v>
      </x:c>
      <x:c r="H2162" s="10" t="str">
        <x:v>Risk, currency, nominal/real basis and tax treatment must align.</x:v>
      </x:c>
      <x:c r="I2162" s="10" t="str">
        <x:v>Finance mechanism / application; authored mapping</x:v>
      </x:c>
    </x:row>
    <x:row r="2163" ht="58" customHeight="1">
      <x:c r="A2163" s="9" t="str">
        <x:v>E2158</x:v>
      </x:c>
      <x:c r="B2163" s="9" t="str">
        <x:v>A12</x:v>
      </x:c>
      <x:c r="C2163" s="9" t="str">
        <x:v>Free cash flow to equity (FCFE)</x:v>
      </x:c>
      <x:c r="D2163" s="15" t="str">
        <x:v>DISCOUNTED_AT</x:v>
      </x:c>
      <x:c r="E2163" s="9" t="str">
        <x:v>A14</x:v>
      </x:c>
      <x:c r="F2163" s="9" t="str">
        <x:v>Cost of equity</x:v>
      </x:c>
      <x:c r="G2163" s="9" t="str">
        <x:v>FCFE is discounted at a matching cost of equity.</x:v>
      </x:c>
      <x:c r="H2163" s="9" t="str">
        <x:v>Do not discount equity cash flows at WACC.</x:v>
      </x:c>
      <x:c r="I2163" s="9" t="str">
        <x:v>Finance mechanism / application; authored mapping</x:v>
      </x:c>
    </x:row>
    <x:row r="2164" ht="58" customHeight="1">
      <x:c r="A2164" s="10" t="str">
        <x:v>E2159</x:v>
      </x:c>
      <x:c r="B2164" s="10" t="str">
        <x:v>A18</x:v>
      </x:c>
      <x:c r="C2164" s="10" t="str">
        <x:v>Net borrowing</x:v>
      </x:c>
      <x:c r="D2164" s="14" t="str">
        <x:v>CALCULATION_INPUT</x:v>
      </x:c>
      <x:c r="E2164" s="10" t="str">
        <x:v>A12</x:v>
      </x:c>
      <x:c r="F2164" s="10" t="str">
        <x:v>Free cash flow to equity (FCFE)</x:v>
      </x:c>
      <x:c r="G2164" s="10" t="str">
        <x:v>Net borrowing is included in a conventional FCFE reconciliation.</x:v>
      </x:c>
      <x:c r="H2164" s="10" t="str">
        <x:v>Other financing claims and lease treatment must be consistent.</x:v>
      </x:c>
      <x:c r="I2164" s="10" t="str">
        <x:v>Finance mechanism / application; authored mapping</x:v>
      </x:c>
    </x:row>
    <x:row r="2165" ht="58" customHeight="1">
      <x:c r="A2165" s="9" t="str">
        <x:v>E2160</x:v>
      </x:c>
      <x:c r="B2165" s="9" t="str">
        <x:v>A18</x:v>
      </x:c>
      <x:c r="C2165" s="9" t="str">
        <x:v>Net borrowing</x:v>
      </x:c>
      <x:c r="D2165" s="15" t="str">
        <x:v>EXCLUDED_FROM</x:v>
      </x:c>
      <x:c r="E2165" s="9" t="str">
        <x:v>A11</x:v>
      </x:c>
      <x:c r="F2165" s="9" t="str">
        <x:v>Free cash flow to the firm (FCFF)</x:v>
      </x:c>
      <x:c r="G2165" s="9" t="str">
        <x:v>Financing debt proceeds and principal repayments do not form operating FCFF.</x:v>
      </x:c>
      <x:c r="H2165" s="9" t="str">
        <x:v>Debt can change risk, tax shields and value through financing channels.</x:v>
      </x:c>
      <x:c r="I2165" s="9" t="str">
        <x:v>Finance mechanism / application; authored mapping</x:v>
      </x:c>
    </x:row>
    <x:row r="2166" ht="58" customHeight="1">
      <x:c r="A2166" s="10" t="str">
        <x:v>E2161</x:v>
      </x:c>
      <x:c r="B2166" s="10" t="str">
        <x:v>A11</x:v>
      </x:c>
      <x:c r="C2166" s="10" t="str">
        <x:v>Free cash flow to the firm (FCFF)</x:v>
      </x:c>
      <x:c r="D2166" s="14" t="str">
        <x:v>VALUED_USING</x:v>
      </x:c>
      <x:c r="E2166" s="10" t="str">
        <x:v>A19</x:v>
      </x:c>
      <x:c r="F2166" s="10" t="str">
        <x:v>Discounted cash flow (DCF)</x:v>
      </x:c>
      <x:c r="G2166" s="10" t="str">
        <x:v>An enterprise DCF discounts future FCFF and a consistent terminal value.</x:v>
      </x:c>
      <x:c r="H2166" s="10" t="str"/>
      <x:c r="I2166" s="10" t="str">
        <x:v>Finance mechanism / application; authored mapping</x:v>
      </x:c>
    </x:row>
    <x:row r="2167" ht="58" customHeight="1">
      <x:c r="A2167" s="9" t="str">
        <x:v>E2162</x:v>
      </x:c>
      <x:c r="B2167" s="9" t="str">
        <x:v>A12</x:v>
      </x:c>
      <x:c r="C2167" s="9" t="str">
        <x:v>Free cash flow to equity (FCFE)</x:v>
      </x:c>
      <x:c r="D2167" s="15" t="str">
        <x:v>VALUED_USING</x:v>
      </x:c>
      <x:c r="E2167" s="9" t="str">
        <x:v>A19</x:v>
      </x:c>
      <x:c r="F2167" s="9" t="str">
        <x:v>Discounted cash flow (DCF)</x:v>
      </x:c>
      <x:c r="G2167" s="9" t="str">
        <x:v>An equity DCF discounts future FCFE and an equity-consistent terminal value.</x:v>
      </x:c>
      <x:c r="H2167" s="9" t="str"/>
      <x:c r="I2167" s="9" t="str">
        <x:v>Finance mechanism / application; authored mapping</x:v>
      </x:c>
    </x:row>
    <x:row r="2168" ht="58" customHeight="1">
      <x:c r="A2168" s="10" t="str">
        <x:v>E2163</x:v>
      </x:c>
      <x:c r="B2168" s="10" t="str">
        <x:v>A19</x:v>
      </x:c>
      <x:c r="C2168" s="10" t="str">
        <x:v>Discounted cash flow (DCF)</x:v>
      </x:c>
      <x:c r="D2168" s="14" t="str">
        <x:v>ESTIMATES</x:v>
      </x:c>
      <x:c r="E2168" s="10" t="str">
        <x:v>A15</x:v>
      </x:c>
      <x:c r="F2168" s="10" t="str">
        <x:v>Enterprise value</x:v>
      </x:c>
      <x:c r="G2168" s="10" t="str">
        <x:v>Discounted operating FCFF estimates the specified operating enterprise value.</x:v>
      </x:c>
      <x:c r="H2168" s="10" t="str">
        <x:v>Adjust separately for excluded non-operating assets and claims.</x:v>
      </x:c>
      <x:c r="I2168" s="10" t="str">
        <x:v>Finance mechanism / application; authored mapping</x:v>
      </x:c>
    </x:row>
    <x:row r="2169" ht="58" customHeight="1">
      <x:c r="A2169" s="9" t="str">
        <x:v>E2164</x:v>
      </x:c>
      <x:c r="B2169" s="9" t="str">
        <x:v>A15</x:v>
      </x:c>
      <x:c r="C2169" s="9" t="str">
        <x:v>Enterprise value</x:v>
      </x:c>
      <x:c r="D2169" s="15" t="str">
        <x:v>RECONCILED_IN</x:v>
      </x:c>
      <x:c r="E2169" s="9" t="str">
        <x:v>T17.04</x:v>
      </x:c>
      <x:c r="F2169" s="9" t="str">
        <x:v>The enterprise-to-equity value bridge</x:v>
      </x:c>
      <x:c r="G2169" s="9" t="str">
        <x:v>The enterprise-to-equity bridge reconciles operating value to shareholder value.</x:v>
      </x:c>
      <x:c r="H2169" s="9" t="str"/>
      <x:c r="I2169" s="9" t="str">
        <x:v>Finance mechanism / application; authored mapping</x:v>
      </x:c>
    </x:row>
    <x:row r="2170" ht="58" customHeight="1">
      <x:c r="A2170" s="10" t="str">
        <x:v>E2165</x:v>
      </x:c>
      <x:c r="B2170" s="10" t="str">
        <x:v>T17.04</x:v>
      </x:c>
      <x:c r="C2170" s="10" t="str">
        <x:v>The enterprise-to-equity value bridge</x:v>
      </x:c>
      <x:c r="D2170" s="14" t="str">
        <x:v>ESTIMATES</x:v>
      </x:c>
      <x:c r="E2170" s="10" t="str">
        <x:v>A16</x:v>
      </x:c>
      <x:c r="F2170" s="10" t="str">
        <x:v>Equity value</x:v>
      </x:c>
      <x:c r="G2170" s="10" t="str">
        <x:v>The bridge adds relevant non-operating assets and removes non-equity claims.</x:v>
      </x:c>
      <x:c r="H2170" s="10" t="str">
        <x:v>Use a consistent definition; avoid double counting cash, leases and minorities.</x:v>
      </x:c>
      <x:c r="I2170" s="10" t="str">
        <x:v>Finance mechanism / application; authored mapping</x:v>
      </x:c>
    </x:row>
    <x:row r="2171" ht="58" customHeight="1">
      <x:c r="A2171" s="9" t="str">
        <x:v>E2166</x:v>
      </x:c>
      <x:c r="B2171" s="9" t="str">
        <x:v>T06.02</x:v>
      </x:c>
      <x:c r="C2171" s="9" t="str">
        <x:v>Cash and cash equivalents</x:v>
      </x:c>
      <x:c r="D2171" s="15" t="str">
        <x:v>ASSESSED_IN</x:v>
      </x:c>
      <x:c r="E2171" s="9" t="str">
        <x:v>T17.15</x:v>
      </x:c>
      <x:c r="F2171" s="9" t="str">
        <x:v>Excess cash and non-operating assets</x:v>
      </x:c>
      <x:c r="G2171" s="9" t="str">
        <x:v>Cash is assessed for operating need before it is treated as excess cash.</x:v>
      </x:c>
      <x:c r="H2171" s="9" t="str">
        <x:v>Not all balance-sheet cash is freely distributable.</x:v>
      </x:c>
      <x:c r="I2171" s="9" t="str">
        <x:v>Finance mechanism / application; authored mapping</x:v>
      </x:c>
    </x:row>
    <x:row r="2172" ht="58" customHeight="1">
      <x:c r="A2172" s="10" t="str">
        <x:v>E2167</x:v>
      </x:c>
      <x:c r="B2172" s="10" t="str">
        <x:v>T06.03</x:v>
      </x:c>
      <x:c r="C2172" s="10" t="str">
        <x:v>Restricted cash and liquid investments</x:v>
      </x:c>
      <x:c r="D2172" s="14" t="str">
        <x:v>QUALIFIES</x:v>
      </x:c>
      <x:c r="E2172" s="10" t="str">
        <x:v>T17.15</x:v>
      </x:c>
      <x:c r="F2172" s="10" t="str">
        <x:v>Excess cash and non-operating assets</x:v>
      </x:c>
      <x:c r="G2172" s="10" t="str">
        <x:v>Restricted cash affects whether balances can be added as available excess cash.</x:v>
      </x:c>
      <x:c r="H2172" s="10" t="str"/>
      <x:c r="I2172" s="10" t="str">
        <x:v>Finance mechanism / application; authored mapping</x:v>
      </x:c>
    </x:row>
    <x:row r="2173" ht="58" customHeight="1">
      <x:c r="A2173" s="9" t="str">
        <x:v>E2168</x:v>
      </x:c>
      <x:c r="B2173" s="9" t="str">
        <x:v>T06.15</x:v>
      </x:c>
      <x:c r="C2173" s="9" t="str">
        <x:v>Short-term and long-term borrowings</x:v>
      </x:c>
      <x:c r="D2173" s="15" t="str">
        <x:v>NON_EQUITY_CLAIM</x:v>
      </x:c>
      <x:c r="E2173" s="9" t="str">
        <x:v>T17.16</x:v>
      </x:c>
      <x:c r="F2173" s="9" t="str">
        <x:v>Debt, leases, pension deficits, and minority interests</x:v>
      </x:c>
      <x:c r="G2173" s="9" t="str">
        <x:v>Debt may be deducted in the enterprise-to-equity bridge.</x:v>
      </x:c>
      <x:c r="H2173" s="9" t="str">
        <x:v>Use the valuation perimeter and market value where appropriate.</x:v>
      </x:c>
      <x:c r="I2173" s="9" t="str">
        <x:v>Finance mechanism / application; authored mapping</x:v>
      </x:c>
    </x:row>
    <x:row r="2174" ht="58" customHeight="1">
      <x:c r="A2174" s="10" t="str">
        <x:v>E2169</x:v>
      </x:c>
      <x:c r="B2174" s="10" t="str">
        <x:v>T06.16</x:v>
      </x:c>
      <x:c r="C2174" s="10" t="str">
        <x:v>Lease liabilities</x:v>
      </x:c>
      <x:c r="D2174" s="14" t="str">
        <x:v>NON_EQUITY_CLAIM</x:v>
      </x:c>
      <x:c r="E2174" s="10" t="str">
        <x:v>T17.16</x:v>
      </x:c>
      <x:c r="F2174" s="10" t="str">
        <x:v>Debt, leases, pension deficits, and minority interests</x:v>
      </x:c>
      <x:c r="G2174" s="10" t="str">
        <x:v>Lease liabilities may be treated as debt-like claims in valuation.</x:v>
      </x:c>
      <x:c r="H2174" s="10" t="str">
        <x:v>Cash-flow and EBITDA treatment must match that decision.</x:v>
      </x:c>
      <x:c r="I2174" s="10" t="str">
        <x:v>Finance mechanism / application; authored mapping</x:v>
      </x:c>
    </x:row>
    <x:row r="2175" ht="58" customHeight="1">
      <x:c r="A2175" s="9" t="str">
        <x:v>E2170</x:v>
      </x:c>
      <x:c r="B2175" s="9" t="str">
        <x:v>T06.19</x:v>
      </x:c>
      <x:c r="C2175" s="9" t="str">
        <x:v>Reserves, treasury shares, and non-controlling interests</x:v>
      </x:c>
      <x:c r="D2175" s="15" t="str">
        <x:v>NON_EQUITY_CLAIM</x:v>
      </x:c>
      <x:c r="E2175" s="9" t="str">
        <x:v>T17.16</x:v>
      </x:c>
      <x:c r="F2175" s="9" t="str">
        <x:v>Debt, leases, pension deficits, and minority interests</x:v>
      </x:c>
      <x:c r="G2175" s="9" t="str">
        <x:v>Non-controlling interests reconcile consolidated operating value to parent equity.</x:v>
      </x:c>
      <x:c r="H2175" s="9" t="str">
        <x:v>Match the consolidated cash-flow perimeter.</x:v>
      </x:c>
      <x:c r="I2175" s="9" t="str">
        <x:v>Finance mechanism / application; authored mapping</x:v>
      </x:c>
    </x:row>
    <x:row r="2176" ht="58" customHeight="1">
      <x:c r="A2176" s="10" t="str">
        <x:v>E2171</x:v>
      </x:c>
      <x:c r="B2176" s="10" t="str">
        <x:v>T06.17</x:v>
      </x:c>
      <x:c r="C2176" s="10" t="str">
        <x:v>Provisions, pension obligations, and employee benefits</x:v>
      </x:c>
      <x:c r="D2176" s="14" t="str">
        <x:v>NON_EQUITY_CLAIM</x:v>
      </x:c>
      <x:c r="E2176" s="10" t="str">
        <x:v>T17.16</x:v>
      </x:c>
      <x:c r="F2176" s="10" t="str">
        <x:v>Debt, leases, pension deficits, and minority interests</x:v>
      </x:c>
      <x:c r="G2176" s="10" t="str">
        <x:v>Pension deficits can represent claims on enterprise value.</x:v>
      </x:c>
      <x:c r="H2176" s="10" t="str">
        <x:v>Apply tax and perimeter conventions consistently.</x:v>
      </x:c>
      <x:c r="I2176" s="10" t="str">
        <x:v>Finance mechanism / application; authored mapping</x:v>
      </x:c>
    </x:row>
    <x:row r="2177" ht="58" customHeight="1">
      <x:c r="A2177" s="9" t="str">
        <x:v>E2172</x:v>
      </x:c>
      <x:c r="B2177" s="9" t="str">
        <x:v>T17.11</x:v>
      </x:c>
      <x:c r="C2177" s="9" t="str">
        <x:v>Reinvestment, growth, and return on capital</x:v>
      </x:c>
      <x:c r="D2177" s="15" t="str">
        <x:v>USES</x:v>
      </x:c>
      <x:c r="E2177" s="9" t="str">
        <x:v>A20</x:v>
      </x:c>
      <x:c r="F2177" s="9" t="str">
        <x:v>Return on invested capital (ROIC)</x:v>
      </x:c>
      <x:c r="G2177" s="9" t="str">
        <x:v>Reinvestment and incremental operating returns connect growth to value creation.</x:v>
      </x:c>
      <x:c r="H2177" s="9" t="str"/>
      <x:c r="I2177" s="9" t="str">
        <x:v>Finance mechanism / application; authored mapping</x:v>
      </x:c>
    </x:row>
    <x:row r="2178" ht="58" customHeight="1">
      <x:c r="A2178" s="10" t="str">
        <x:v>E2173</x:v>
      </x:c>
      <x:c r="B2178" s="10" t="str">
        <x:v>A20</x:v>
      </x:c>
      <x:c r="C2178" s="10" t="str">
        <x:v>Return on invested capital (ROIC)</x:v>
      </x:c>
      <x:c r="D2178" s="14" t="str">
        <x:v>COMPARES_WITH</x:v>
      </x:c>
      <x:c r="E2178" s="10" t="str">
        <x:v>A13</x:v>
      </x:c>
      <x:c r="F2178" s="10" t="str">
        <x:v>Weighted average cost of capital (WACC)</x:v>
      </x:c>
      <x:c r="G2178" s="10" t="str">
        <x:v>ROIC above a comparable cost of capital is a value-creation diagnostic.</x:v>
      </x:c>
      <x:c r="H2178" s="10" t="str">
        <x:v>Use forward economics and matching capital/risk definitions; one historical spread is not proof.</x:v>
      </x:c>
      <x:c r="I2178" s="10" t="str">
        <x:v>Finance mechanism / application; authored mapping</x:v>
      </x:c>
    </x:row>
    <x:row r="2179" ht="58" customHeight="1">
      <x:c r="A2179" s="9" t="str">
        <x:v>E2174</x:v>
      </x:c>
      <x:c r="B2179" s="9" t="str">
        <x:v>T17.11</x:v>
      </x:c>
      <x:c r="C2179" s="9" t="str">
        <x:v>Reinvestment, growth, and return on capital</x:v>
      </x:c>
      <x:c r="D2179" s="15" t="str">
        <x:v>CONSTRAINS</x:v>
      </x:c>
      <x:c r="E2179" s="9" t="str">
        <x:v>T17.12</x:v>
      </x:c>
      <x:c r="F2179" s="9" t="str">
        <x:v>Terminal growth and terminal value</x:v>
      </x:c>
      <x:c r="G2179" s="9" t="str">
        <x:v>Terminal growth must be supported by reinvestment and sustainable returns.</x:v>
      </x:c>
      <x:c r="H2179" s="9" t="str"/>
      <x:c r="I2179" s="9" t="str">
        <x:v>Finance mechanism / application; authored mapping</x:v>
      </x:c>
    </x:row>
    <x:row r="2180" ht="58" customHeight="1">
      <x:c r="A2180" s="10" t="str">
        <x:v>E2175</x:v>
      </x:c>
      <x:c r="B2180" s="10" t="str">
        <x:v>T03.06</x:v>
      </x:c>
      <x:c r="C2180" s="10" t="str">
        <x:v>Perpetuities and growing perpetuities</x:v>
      </x:c>
      <x:c r="D2180" s="14" t="str">
        <x:v>EXPLAINS</x:v>
      </x:c>
      <x:c r="E2180" s="10" t="str">
        <x:v>T17.12</x:v>
      </x:c>
      <x:c r="F2180" s="10" t="str">
        <x:v>Terminal growth and terminal value</x:v>
      </x:c>
      <x:c r="G2180" s="10" t="str">
        <x:v>A growing perpetuity provides a common terminal-value formula.</x:v>
      </x:c>
      <x:c r="H2180" s="10" t="str">
        <x:v>Requires a discount rate above growth and a credible stable-growth state.</x:v>
      </x:c>
      <x:c r="I2180" s="10" t="str">
        <x:v>Finance mechanism / application; authored mapping</x:v>
      </x:c>
    </x:row>
    <x:row r="2181" ht="58" customHeight="1">
      <x:c r="A2181" s="9" t="str">
        <x:v>E2176</x:v>
      </x:c>
      <x:c r="B2181" s="9" t="str">
        <x:v>T17.12</x:v>
      </x:c>
      <x:c r="C2181" s="9" t="str">
        <x:v>Terminal growth and terminal value</x:v>
      </x:c>
      <x:c r="D2181" s="15" t="str">
        <x:v>CALCULATION_INPUT</x:v>
      </x:c>
      <x:c r="E2181" s="9" t="str">
        <x:v>T17.07</x:v>
      </x:c>
      <x:c r="F2181" s="9" t="str">
        <x:v>Discounted cash-flow valuation</x:v>
      </x:c>
      <x:c r="G2181" s="9" t="str">
        <x:v>Discount the terminal value along with explicit forecast cash flows.</x:v>
      </x:c>
      <x:c r="H2181" s="9" t="str"/>
      <x:c r="I2181" s="9" t="str">
        <x:v>Finance mechanism / application; authored mapping</x:v>
      </x:c>
    </x:row>
    <x:row r="2182" ht="58" customHeight="1">
      <x:c r="A2182" s="10" t="str">
        <x:v>E2177</x:v>
      </x:c>
      <x:c r="B2182" s="10" t="str">
        <x:v>T17.14</x:v>
      </x:c>
      <x:c r="C2182" s="10" t="str">
        <x:v>Mid-year discounting and stub periods</x:v>
      </x:c>
      <x:c r="D2182" s="14" t="str">
        <x:v>REFINES</x:v>
      </x:c>
      <x:c r="E2182" s="10" t="str">
        <x:v>T17.07</x:v>
      </x:c>
      <x:c r="F2182" s="10" t="str">
        <x:v>Discounted cash-flow valuation</x:v>
      </x:c>
      <x:c r="G2182" s="10" t="str">
        <x:v>Mid-year and stub-period conventions reflect cash-flow timing.</x:v>
      </x:c>
      <x:c r="H2182" s="10" t="str">
        <x:v>State whether timing conventions apply to the terminal value as well.</x:v>
      </x:c>
      <x:c r="I2182" s="10" t="str">
        <x:v>Finance mechanism / application; authored mapping</x:v>
      </x:c>
    </x:row>
    <x:row r="2183" ht="58" customHeight="1">
      <x:c r="A2183" s="9" t="str">
        <x:v>E2178</x:v>
      </x:c>
      <x:c r="B2183" s="9" t="str">
        <x:v>T17.18</x:v>
      </x:c>
      <x:c r="C2183" s="9" t="str">
        <x:v>Sensitivity analysis, scenarios, and reverse DCF</x:v>
      </x:c>
      <x:c r="D2183" s="15" t="str">
        <x:v>EXPLORES</x:v>
      </x:c>
      <x:c r="E2183" s="9" t="str">
        <x:v>T17.19</x:v>
      </x:c>
      <x:c r="F2183" s="9" t="str">
        <x:v>Valuation ranges and uncertainty</x:v>
      </x:c>
      <x:c r="G2183" s="9" t="str">
        <x:v>Sensitivity, scenario and reverse-DCF analysis expose valuation uncertainty.</x:v>
      </x:c>
      <x:c r="H2183" s="9" t="str"/>
      <x:c r="I2183" s="9" t="str">
        <x:v>Finance mechanism / application; authored mapping</x:v>
      </x:c>
    </x:row>
    <x:row r="2184" ht="58" customHeight="1">
      <x:c r="A2184" s="10" t="str">
        <x:v>E2179</x:v>
      </x:c>
      <x:c r="B2184" s="10" t="str">
        <x:v>T17.01</x:v>
      </x:c>
      <x:c r="C2184" s="10" t="str">
        <x:v>Price versus value</x:v>
      </x:c>
      <x:c r="D2184" s="14" t="str">
        <x:v>INFORMS</x:v>
      </x:c>
      <x:c r="E2184" s="10" t="str">
        <x:v>T19.12</x:v>
      </x:c>
      <x:c r="F2184" s="10" t="str">
        <x:v>Investment theses, catalysts, and risk factors</x:v>
      </x:c>
      <x:c r="G2184" s="10" t="str">
        <x:v>Comparing market price and estimated value shapes an investment thesis.</x:v>
      </x:c>
      <x:c r="H2184" s="10" t="str"/>
      <x:c r="I2184" s="10" t="str">
        <x:v>Finance mechanism / application; authored mapping</x:v>
      </x:c>
    </x:row>
    <x:row r="2185" ht="58" customHeight="1">
      <x:c r="A2185" s="9" t="str">
        <x:v>E2180</x:v>
      </x:c>
      <x:c r="B2185" s="9" t="str">
        <x:v>T18.01</x:v>
      </x:c>
      <x:c r="C2185" s="9" t="str">
        <x:v>Comparable-company selection</x:v>
      </x:c>
      <x:c r="D2185" s="15" t="str">
        <x:v>REQUIRES_COMPARABILITY</x:v>
      </x:c>
      <x:c r="E2185" s="9" t="str">
        <x:v>T18.07</x:v>
      </x:c>
      <x:c r="F2185" s="9" t="str">
        <x:v>Normalising earnings and accounting differences</x:v>
      </x:c>
      <x:c r="G2185" s="9" t="str">
        <x:v>Peer selection requires accounting and economic comparability.</x:v>
      </x:c>
      <x:c r="H2185" s="9" t="str"/>
      <x:c r="I2185" s="9" t="str">
        <x:v>Finance mechanism / application; authored mapping</x:v>
      </x:c>
    </x:row>
    <x:row r="2186" ht="58" customHeight="1">
      <x:c r="A2186" s="10" t="str">
        <x:v>E2181</x:v>
      </x:c>
      <x:c r="B2186" s="10" t="str">
        <x:v>T05.18</x:v>
      </x:c>
      <x:c r="C2186" s="10" t="str">
        <x:v>Basic and diluted earnings per share</x:v>
      </x:c>
      <x:c r="D2186" s="14" t="str">
        <x:v>DENOMINATOR_FOR</x:v>
      </x:c>
      <x:c r="E2186" s="10" t="str">
        <x:v>T18.04</x:v>
      </x:c>
      <x:c r="F2186" s="10" t="str">
        <x:v>P/E, PEG, P/B, and P/S</x:v>
      </x:c>
      <x:c r="G2186" s="10" t="str">
        <x:v>Earnings per share is the denominator of a share-price P/E ratio.</x:v>
      </x:c>
      <x:c r="H2186" s="10" t="str">
        <x:v>Use matched trailing or forward periods and attributable diluted earnings.</x:v>
      </x:c>
      <x:c r="I2186" s="10" t="str">
        <x:v>Finance mechanism / application; authored mapping</x:v>
      </x:c>
    </x:row>
    <x:row r="2187" ht="58" customHeight="1">
      <x:c r="A2187" s="9" t="str">
        <x:v>E2182</x:v>
      </x:c>
      <x:c r="B2187" s="9" t="str">
        <x:v>T06.18</x:v>
      </x:c>
      <x:c r="C2187" s="9" t="str">
        <x:v>Share capital, securities premium, and retained earnings</x:v>
      </x:c>
      <x:c r="D2187" s="15" t="str">
        <x:v>DENOMINATOR_FOR</x:v>
      </x:c>
      <x:c r="E2187" s="9" t="str">
        <x:v>T18.04</x:v>
      </x:c>
      <x:c r="F2187" s="9" t="str">
        <x:v>P/E, PEG, P/B, and P/S</x:v>
      </x:c>
      <x:c r="G2187" s="9" t="str">
        <x:v>Equity book value contributes to price-to-book comparisons.</x:v>
      </x:c>
      <x:c r="H2187" s="9" t="str">
        <x:v>Use common equity and a consistent per-share or aggregate basis.</x:v>
      </x:c>
      <x:c r="I2187" s="9" t="str">
        <x:v>Finance mechanism / application; authored mapping</x:v>
      </x:c>
    </x:row>
    <x:row r="2188" ht="58" customHeight="1">
      <x:c r="A2188" s="10" t="str">
        <x:v>E2183</x:v>
      </x:c>
      <x:c r="B2188" s="10" t="str">
        <x:v>T05.01</x:v>
      </x:c>
      <x:c r="C2188" s="10" t="str">
        <x:v>Revenue, sales, and other operating income</x:v>
      </x:c>
      <x:c r="D2188" s="14" t="str">
        <x:v>DENOMINATOR_FOR</x:v>
      </x:c>
      <x:c r="E2188" s="10" t="str">
        <x:v>T18.05</x:v>
      </x:c>
      <x:c r="F2188" s="10" t="str">
        <x:v>EV/revenue, EV/EBITDA, and EV/EBIT</x:v>
      </x:c>
      <x:c r="G2188" s="10" t="str">
        <x:v>Revenue provides the denominator for EV/revenue.</x:v>
      </x:c>
      <x:c r="H2188" s="10" t="str"/>
      <x:c r="I2188" s="10" t="str">
        <x:v>Finance mechanism / application; authored mapping</x:v>
      </x:c>
    </x:row>
    <x:row r="2189" ht="58" customHeight="1">
      <x:c r="A2189" s="9" t="str">
        <x:v>E2184</x:v>
      </x:c>
      <x:c r="B2189" s="9" t="str">
        <x:v>T05.11</x:v>
      </x:c>
      <x:c r="C2189" s="9" t="str">
        <x:v>EBITDA, EBIT, and operating profit</x:v>
      </x:c>
      <x:c r="D2189" s="15" t="str">
        <x:v>DENOMINATOR_FOR</x:v>
      </x:c>
      <x:c r="E2189" s="9" t="str">
        <x:v>T18.05</x:v>
      </x:c>
      <x:c r="F2189" s="9" t="str">
        <x:v>EV/revenue, EV/EBITDA, and EV/EBIT</x:v>
      </x:c>
      <x:c r="G2189" s="9" t="str">
        <x:v>EBITDA and EBIT provide operating earnings denominators for enterprise multiples.</x:v>
      </x:c>
      <x:c r="H2189" s="9" t="str">
        <x:v>Normalise leases and non-recurring items consistently.</x:v>
      </x:c>
      <x:c r="I2189" s="9" t="str">
        <x:v>Finance mechanism / application; authored mapping</x:v>
      </x:c>
    </x:row>
    <x:row r="2190" ht="58" customHeight="1">
      <x:c r="A2190" s="10" t="str">
        <x:v>E2185</x:v>
      </x:c>
      <x:c r="B2190" s="10" t="str">
        <x:v>T17.03</x:v>
      </x:c>
      <x:c r="C2190" s="10" t="str">
        <x:v>Enterprise value versus equity value</x:v>
      </x:c>
      <x:c r="D2190" s="14" t="str">
        <x:v>NUMERATOR_FOR</x:v>
      </x:c>
      <x:c r="E2190" s="10" t="str">
        <x:v>T18.05</x:v>
      </x:c>
      <x:c r="F2190" s="10" t="str">
        <x:v>EV/revenue, EV/EBITDA, and EV/EBIT</x:v>
      </x:c>
      <x:c r="G2190" s="10" t="str">
        <x:v>Enterprise multiples use enterprise value rather than common equity value.</x:v>
      </x:c>
      <x:c r="H2190" s="10" t="str"/>
      <x:c r="I2190" s="10" t="str">
        <x:v>Finance mechanism / application; authored mapping</x:v>
      </x:c>
    </x:row>
    <x:row r="2191" ht="58" customHeight="1">
      <x:c r="A2191" s="9" t="str">
        <x:v>E2186</x:v>
      </x:c>
      <x:c r="B2191" s="9" t="str">
        <x:v>T17.03</x:v>
      </x:c>
      <x:c r="C2191" s="9" t="str">
        <x:v>Enterprise value versus equity value</x:v>
      </x:c>
      <x:c r="D2191" s="15" t="str">
        <x:v>CONTRASTS_WITH</x:v>
      </x:c>
      <x:c r="E2191" s="9" t="str">
        <x:v>T18.04</x:v>
      </x:c>
      <x:c r="F2191" s="9" t="str">
        <x:v>P/E, PEG, P/B, and P/S</x:v>
      </x:c>
      <x:c r="G2191" s="9" t="str">
        <x:v>Equity multiples value the equity claim; enterprise multiples value a broader claim.</x:v>
      </x:c>
      <x:c r="H2191" s="9" t="str"/>
      <x:c r="I2191" s="9" t="str">
        <x:v>Finance mechanism / application; authored mapping</x:v>
      </x:c>
    </x:row>
    <x:row r="2192" ht="58" customHeight="1">
      <x:c r="A2192" s="10" t="str">
        <x:v>E2187</x:v>
      </x:c>
      <x:c r="B2192" s="10" t="str">
        <x:v>T18.03</x:v>
      </x:c>
      <x:c r="C2192" s="10" t="str">
        <x:v>Trailing versus forward multiples</x:v>
      </x:c>
      <x:c r="D2192" s="14" t="str">
        <x:v>USES</x:v>
      </x:c>
      <x:c r="E2192" s="10" t="str">
        <x:v>T19.13</x:v>
      </x:c>
      <x:c r="F2192" s="10" t="str">
        <x:v>Earnings estimates and earnings surprises</x:v>
      </x:c>
      <x:c r="G2192" s="10" t="str">
        <x:v>Forward multiples use forward earnings or other forecast measures.</x:v>
      </x:c>
      <x:c r="H2192" s="10" t="str">
        <x:v>The price date and forecast period must be explicit.</x:v>
      </x:c>
      <x:c r="I2192" s="10" t="str">
        <x:v>Finance mechanism / application; authored mapping</x:v>
      </x:c>
    </x:row>
    <x:row r="2193" ht="58" customHeight="1">
      <x:c r="A2193" s="9" t="str">
        <x:v>E2188</x:v>
      </x:c>
      <x:c r="B2193" s="9" t="str">
        <x:v>T18.08</x:v>
      </x:c>
      <x:c r="C2193" s="9" t="str">
        <x:v>Growth, risk, margins, and returns as multiple drivers</x:v>
      </x:c>
      <x:c r="D2193" s="15" t="str">
        <x:v>INFORMS</x:v>
      </x:c>
      <x:c r="E2193" s="9" t="str">
        <x:v>T18.01</x:v>
      </x:c>
      <x:c r="F2193" s="9" t="str">
        <x:v>Comparable-company selection</x:v>
      </x:c>
      <x:c r="G2193" s="9" t="str">
        <x:v>Growth, risk and returns help explain differences in comparable multiples.</x:v>
      </x:c>
      <x:c r="H2193" s="9" t="str"/>
      <x:c r="I2193" s="9" t="str">
        <x:v>Finance mechanism / application; authored mapping</x:v>
      </x:c>
    </x:row>
    <x:row r="2194" ht="58" customHeight="1">
      <x:c r="A2194" s="10" t="str">
        <x:v>E2189</x:v>
      </x:c>
      <x:c r="B2194" s="10" t="str">
        <x:v>T18.09</x:v>
      </x:c>
      <x:c r="C2194" s="10" t="str">
        <x:v>Sum-of-the-parts valuation</x:v>
      </x:c>
      <x:c r="D2194" s="14" t="str">
        <x:v>USES</x:v>
      </x:c>
      <x:c r="E2194" s="10" t="str">
        <x:v>T05.20</x:v>
      </x:c>
      <x:c r="F2194" s="10" t="str">
        <x:v>Segment revenue and segment profitability</x:v>
      </x:c>
      <x:c r="G2194" s="10" t="str">
        <x:v>Sum-of-the-parts valuation uses segment economics and appropriate segment methods.</x:v>
      </x:c>
      <x:c r="H2194" s="10" t="str"/>
      <x:c r="I2194" s="10" t="str">
        <x:v>Finance mechanism / application; authored mapping</x:v>
      </x:c>
    </x:row>
    <x:row r="2195" ht="58" customHeight="1">
      <x:c r="A2195" s="9" t="str">
        <x:v>E2190</x:v>
      </x:c>
      <x:c r="B2195" s="9" t="str">
        <x:v>T18.02</x:v>
      </x:c>
      <x:c r="C2195" s="9" t="str">
        <x:v>Comparable transaction analysis</x:v>
      </x:c>
      <x:c r="D2195" s="15" t="str">
        <x:v>INFORMS</x:v>
      </x:c>
      <x:c r="E2195" s="9" t="str">
        <x:v>T26.06</x:v>
      </x:c>
      <x:c r="F2195" s="9" t="str">
        <x:v>Transaction valuation</x:v>
      </x:c>
      <x:c r="G2195" s="9" t="str">
        <x:v>Comparable deals provide evidence for transaction valuation.</x:v>
      </x:c>
      <x:c r="H2195" s="9" t="str">
        <x:v>Deal premiums and synergies need separate interpretation.</x:v>
      </x:c>
      <x:c r="I2195" s="9" t="str">
        <x:v>Finance mechanism / application; authored mapping</x:v>
      </x:c>
    </x:row>
    <x:row r="2196" ht="58" customHeight="1">
      <x:c r="A2196" s="10" t="str">
        <x:v>E2191</x:v>
      </x:c>
      <x:c r="B2196" s="10" t="str">
        <x:v>T18.17</x:v>
      </x:c>
      <x:c r="C2196" s="10" t="str">
        <x:v>Control premiums and marketability considerations</x:v>
      </x:c>
      <x:c r="D2196" s="14" t="str">
        <x:v>INFORMS</x:v>
      </x:c>
      <x:c r="E2196" s="10" t="str">
        <x:v>T26.08</x:v>
      </x:c>
      <x:c r="F2196" s="10" t="str">
        <x:v>Cash, stock, and mixed consideration</x:v>
      </x:c>
      <x:c r="G2196" s="10" t="str">
        <x:v>Control and liquidity characteristics affect negotiation and transaction pricing.</x:v>
      </x:c>
      <x:c r="H2196" s="10" t="str">
        <x:v>Do not automatically add a control premium to value already including control improvements.</x:v>
      </x:c>
      <x:c r="I2196" s="10" t="str">
        <x:v>Finance mechanism / application; authored mapping</x:v>
      </x:c>
    </x:row>
    <x:row r="2197" ht="58" customHeight="1">
      <x:c r="A2197" s="9" t="str">
        <x:v>E2192</x:v>
      </x:c>
      <x:c r="B2197" s="9" t="str">
        <x:v>T04.08</x:v>
      </x:c>
      <x:c r="C2197" s="9" t="str">
        <x:v>Capital expenditure versus operating expenditure</x:v>
      </x:c>
      <x:c r="D2197" s="15" t="str">
        <x:v>EXPLAINS</x:v>
      </x:c>
      <x:c r="E2197" s="9" t="str">
        <x:v>A07</x:v>
      </x:c>
      <x:c r="F2197" s="9" t="str">
        <x:v>Capital expenditure</x:v>
      </x:c>
      <x:c r="G2197" s="9" t="str">
        <x:v>Capital expenditure is distinguished from current operating expense.</x:v>
      </x:c>
      <x:c r="H2197" s="9" t="str"/>
      <x:c r="I2197" s="9" t="str">
        <x:v>Finance mechanism / application; authored mapping</x:v>
      </x:c>
    </x:row>
    <x:row r="2198" ht="58" customHeight="1">
      <x:c r="A2198" s="10" t="str">
        <x:v>E2193</x:v>
      </x:c>
      <x:c r="B2198" s="10" t="str">
        <x:v>T04.09</x:v>
      </x:c>
      <x:c r="C2198" s="10" t="str">
        <x:v>Capitalisation versus immediate expensing</x:v>
      </x:c>
      <x:c r="D2198" s="14" t="str">
        <x:v>AFFECTS</x:v>
      </x:c>
      <x:c r="E2198" s="10" t="str">
        <x:v>T05.10</x:v>
      </x:c>
      <x:c r="F2198" s="10" t="str">
        <x:v>Depreciation, amortisation, and impairment</x:v>
      </x:c>
      <x:c r="G2198" s="10" t="str">
        <x:v>Capitalising expenditure can replace an immediate expense with later depreciation or amortisation.</x:v>
      </x:c>
      <x:c r="H2198" s="10" t="str">
        <x:v>Capitalisation must meet the reporting rules.</x:v>
      </x:c>
      <x:c r="I2198" s="10" t="str">
        <x:v>Finance mechanism / application; authored mapping</x:v>
      </x:c>
    </x:row>
    <x:row r="2199" ht="58" customHeight="1">
      <x:c r="A2199" s="9" t="str">
        <x:v>E2194</x:v>
      </x:c>
      <x:c r="B2199" s="9" t="str">
        <x:v>T06.07</x:v>
      </x:c>
      <x:c r="C2199" s="9" t="str">
        <x:v>Property, plant, and equipment</x:v>
      </x:c>
      <x:c r="D2199" s="15" t="str">
        <x:v>SUBJECT_TO</x:v>
      </x:c>
      <x:c r="E2199" s="9" t="str">
        <x:v>A08</x:v>
      </x:c>
      <x:c r="F2199" s="9" t="str">
        <x:v>Depreciation</x:v>
      </x:c>
      <x:c r="G2199" s="9" t="str">
        <x:v>Depreciable PPE is allocated to expense over useful lives.</x:v>
      </x:c>
      <x:c r="H2199" s="9" t="str">
        <x:v>Land and some other asset components require separate treatment.</x:v>
      </x:c>
      <x:c r="I2199" s="9" t="str">
        <x:v>Finance mechanism / application; authored mapping</x:v>
      </x:c>
    </x:row>
    <x:row r="2200" ht="58" customHeight="1">
      <x:c r="A2200" s="10" t="str">
        <x:v>E2195</x:v>
      </x:c>
      <x:c r="B2200" s="10" t="str">
        <x:v>T06.08</x:v>
      </x:c>
      <x:c r="C2200" s="10" t="str">
        <x:v>Capital work in progress</x:v>
      </x:c>
      <x:c r="D2200" s="14" t="str">
        <x:v>TRANSFERS_TO</x:v>
      </x:c>
      <x:c r="E2200" s="10" t="str">
        <x:v>T06.07</x:v>
      </x:c>
      <x:c r="F2200" s="10" t="str">
        <x:v>Property, plant, and equipment</x:v>
      </x:c>
      <x:c r="G2200" s="10" t="str">
        <x:v>Completed qualifying construction can transfer from capital work in progress to PPE.</x:v>
      </x:c>
      <x:c r="H2200" s="10" t="str">
        <x:v>Depreciation generally begins when ready for intended use.</x:v>
      </x:c>
      <x:c r="I2200" s="10" t="str">
        <x:v>Finance mechanism / application; authored mapping</x:v>
      </x:c>
    </x:row>
    <x:row r="2201" ht="58" customHeight="1">
      <x:c r="A2201" s="9" t="str">
        <x:v>E2196</x:v>
      </x:c>
      <x:c r="B2201" s="9" t="str">
        <x:v>T06.09</x:v>
      </x:c>
      <x:c r="C2201" s="9" t="str">
        <x:v>Right-of-use assets</x:v>
      </x:c>
      <x:c r="D2201" s="15" t="str">
        <x:v>REPORTED_UNDER</x:v>
      </x:c>
      <x:c r="E2201" s="9" t="str">
        <x:v>T08.06</x:v>
      </x:c>
      <x:c r="F2201" s="9" t="str">
        <x:v>Lease accounting</x:v>
      </x:c>
      <x:c r="G2201" s="9" t="str">
        <x:v>Right-of-use assets arise from applicable lease accounting.</x:v>
      </x:c>
      <x:c r="H2201" s="9" t="str"/>
      <x:c r="I2201" s="9" t="str">
        <x:v>Finance mechanism / application; authored mapping</x:v>
      </x:c>
    </x:row>
    <x:row r="2202" ht="58" customHeight="1">
      <x:c r="A2202" s="10" t="str">
        <x:v>E2197</x:v>
      </x:c>
      <x:c r="B2202" s="10" t="str">
        <x:v>T06.16</x:v>
      </x:c>
      <x:c r="C2202" s="10" t="str">
        <x:v>Lease liabilities</x:v>
      </x:c>
      <x:c r="D2202" s="14" t="str">
        <x:v>REPORTED_UNDER</x:v>
      </x:c>
      <x:c r="E2202" s="10" t="str">
        <x:v>T08.06</x:v>
      </x:c>
      <x:c r="F2202" s="10" t="str">
        <x:v>Lease accounting</x:v>
      </x:c>
      <x:c r="G2202" s="10" t="str">
        <x:v>Lease liabilities represent recognised lease-payment obligations.</x:v>
      </x:c>
      <x:c r="H2202" s="10" t="str"/>
      <x:c r="I2202" s="10" t="str">
        <x:v>Finance mechanism / application; authored mapping</x:v>
      </x:c>
    </x:row>
    <x:row r="2203" ht="58" customHeight="1">
      <x:c r="A2203" s="9" t="str">
        <x:v>E2198</x:v>
      </x:c>
      <x:c r="B2203" s="9" t="str">
        <x:v>T06.10</x:v>
      </x:c>
      <x:c r="C2203" s="9" t="str">
        <x:v>Intangible assets and goodwill</x:v>
      </x:c>
      <x:c r="D2203" s="15" t="str">
        <x:v>SUBJECT_TO</x:v>
      </x:c>
      <x:c r="E2203" s="9" t="str">
        <x:v>T08.02</x:v>
      </x:c>
      <x:c r="F2203" s="9" t="str">
        <x:v>Goodwill recognition and impairment testing</x:v>
      </x:c>
      <x:c r="G2203" s="9" t="str">
        <x:v>Goodwill and other intangibles require applicable impairment assessment.</x:v>
      </x:c>
      <x:c r="H2203" s="9" t="str">
        <x:v>Amortisation and testing differ by asset and framework.</x:v>
      </x:c>
      <x:c r="I2203" s="9" t="str">
        <x:v>Finance mechanism / application; authored mapping</x:v>
      </x:c>
    </x:row>
    <x:row r="2204" ht="58" customHeight="1">
      <x:c r="A2204" s="10" t="str">
        <x:v>E2199</x:v>
      </x:c>
      <x:c r="B2204" s="10" t="str">
        <x:v>T08.01</x:v>
      </x:c>
      <x:c r="C2204" s="10" t="str">
        <x:v>Business combinations and purchase-price allocation</x:v>
      </x:c>
      <x:c r="D2204" s="14" t="str">
        <x:v>CREATES_OR_REMEASURES</x:v>
      </x:c>
      <x:c r="E2204" s="10" t="str">
        <x:v>T06.10</x:v>
      </x:c>
      <x:c r="F2204" s="10" t="str">
        <x:v>Intangible assets and goodwill</x:v>
      </x:c>
      <x:c r="G2204" s="10" t="str">
        <x:v>Purchase-price allocation recognises acquired assets, liabilities and possible goodwill.</x:v>
      </x:c>
      <x:c r="H2204" s="10" t="str"/>
      <x:c r="I2204" s="10" t="str">
        <x:v>Finance mechanism / application; authored mapping</x:v>
      </x:c>
    </x:row>
    <x:row r="2205" ht="58" customHeight="1">
      <x:c r="A2205" s="9" t="str">
        <x:v>E2200</x:v>
      </x:c>
      <x:c r="B2205" s="9" t="str">
        <x:v>T08.01</x:v>
      </x:c>
      <x:c r="C2205" s="9" t="str">
        <x:v>Business combinations and purchase-price allocation</x:v>
      </x:c>
      <x:c r="D2205" s="15" t="str">
        <x:v>APPLIED_IN</x:v>
      </x:c>
      <x:c r="E2205" s="9" t="str">
        <x:v>T26.11</x:v>
      </x:c>
      <x:c r="F2205" s="9" t="str">
        <x:v>Merger models</x:v>
      </x:c>
      <x:c r="G2205" s="9" t="str">
        <x:v>Acquisition accounting feeds the pro-forma merger model.</x:v>
      </x:c>
      <x:c r="H2205" s="9" t="str"/>
      <x:c r="I2205" s="9" t="str">
        <x:v>Finance mechanism / application; authored mapping</x:v>
      </x:c>
    </x:row>
    <x:row r="2206" ht="58" customHeight="1">
      <x:c r="A2206" s="10" t="str">
        <x:v>E2201</x:v>
      </x:c>
      <x:c r="B2206" s="10" t="str">
        <x:v>T08.04</x:v>
      </x:c>
      <x:c r="C2206" s="10" t="str">
        <x:v>Consolidation and intercompany eliminations</x:v>
      </x:c>
      <x:c r="D2206" s="14" t="str">
        <x:v>EXPLAINS</x:v>
      </x:c>
      <x:c r="E2206" s="10" t="str">
        <x:v>T04.14</x:v>
      </x:c>
      <x:c r="F2206" s="10" t="str">
        <x:v>Standalone versus consolidated accounts</x:v>
      </x:c>
      <x:c r="G2206" s="10" t="str">
        <x:v>Consolidation combines controlled entities and eliminates intercompany amounts.</x:v>
      </x:c>
      <x:c r="H2206" s="10" t="str"/>
      <x:c r="I2206" s="10" t="str">
        <x:v>Finance mechanism / application; authored mapping</x:v>
      </x:c>
    </x:row>
    <x:row r="2207" ht="58" customHeight="1">
      <x:c r="A2207" s="9" t="str">
        <x:v>E2202</x:v>
      </x:c>
      <x:c r="B2207" s="9" t="str">
        <x:v>T08.05</x:v>
      </x:c>
      <x:c r="C2207" s="9" t="str">
        <x:v>Equity-method accounting</x:v>
      </x:c>
      <x:c r="D2207" s="15" t="str">
        <x:v>AFFECTS</x:v>
      </x:c>
      <x:c r="E2207" s="9" t="str">
        <x:v>T05.13</x:v>
      </x:c>
      <x:c r="F2207" s="9" t="str">
        <x:v>Other income and investment gains</x:v>
      </x:c>
      <x:c r="G2207" s="9" t="str">
        <x:v>The equity method can record the investor share of associate or joint-venture results.</x:v>
      </x:c>
      <x:c r="H2207" s="9" t="str">
        <x:v>Presentation and eligibility depend on the reporting framework.</x:v>
      </x:c>
      <x:c r="I2207" s="9" t="str">
        <x:v>Finance mechanism / application; authored mapping</x:v>
      </x:c>
    </x:row>
    <x:row r="2208" ht="58" customHeight="1">
      <x:c r="A2208" s="10" t="str">
        <x:v>E2203</x:v>
      </x:c>
      <x:c r="B2208" s="10" t="str">
        <x:v>T08.10</x:v>
      </x:c>
      <x:c r="C2208" s="10" t="str">
        <x:v>Share-based compensation</x:v>
      </x:c>
      <x:c r="D2208" s="14" t="str">
        <x:v>AFFECTS</x:v>
      </x:c>
      <x:c r="E2208" s="10" t="str">
        <x:v>T17.17</x:v>
      </x:c>
      <x:c r="F2208" s="10" t="str">
        <x:v>Share dilution, options, and restricted stock</x:v>
      </x:c>
      <x:c r="G2208" s="10" t="str">
        <x:v>Share-based compensation creates expense and potential equity dilution.</x:v>
      </x:c>
      <x:c r="H2208" s="10" t="str"/>
      <x:c r="I2208" s="10" t="str">
        <x:v>Finance mechanism / application; authored mapping</x:v>
      </x:c>
    </x:row>
    <x:row r="2209" ht="58" customHeight="1">
      <x:c r="A2209" s="9" t="str">
        <x:v>E2204</x:v>
      </x:c>
      <x:c r="B2209" s="9" t="str">
        <x:v>T08.12</x:v>
      </x:c>
      <x:c r="C2209" s="9" t="str">
        <x:v>Deferred tax and tax-loss carryforwards</x:v>
      </x:c>
      <x:c r="D2209" s="15" t="str">
        <x:v>REPORTED_IN</x:v>
      </x:c>
      <x:c r="E2209" s="9" t="str">
        <x:v>T06.12</x:v>
      </x:c>
      <x:c r="F2209" s="9" t="str">
        <x:v>Deferred tax assets and liabilities</x:v>
      </x:c>
      <x:c r="G2209" s="9" t="str">
        <x:v>Temporary differences and eligible tax losses can create deferred tax balances.</x:v>
      </x:c>
      <x:c r="H2209" s="9" t="str">
        <x:v>Recognition and recoverability require applicable criteria.</x:v>
      </x:c>
      <x:c r="I2209" s="9" t="str">
        <x:v>Finance mechanism / application; authored mapping</x:v>
      </x:c>
    </x:row>
    <x:row r="2210" ht="58" customHeight="1">
      <x:c r="A2210" s="10" t="str">
        <x:v>E2205</x:v>
      </x:c>
      <x:c r="B2210" s="10" t="str">
        <x:v>T31.02</x:v>
      </x:c>
      <x:c r="C2210" s="10" t="str">
        <x:v>Taxable income versus accounting income</x:v>
      </x:c>
      <x:c r="D2210" s="14" t="str">
        <x:v>EXPLAINS</x:v>
      </x:c>
      <x:c r="E2210" s="10" t="str">
        <x:v>T31.09</x:v>
      </x:c>
      <x:c r="F2210" s="10" t="str">
        <x:v>Deferred tax</x:v>
      </x:c>
      <x:c r="G2210" s="10" t="str">
        <x:v>Differences between tax and book recognition produce some deferred tax effects.</x:v>
      </x:c>
      <x:c r="H2210" s="10" t="str"/>
      <x:c r="I2210" s="10" t="str">
        <x:v>Finance mechanism / application; authored mapping</x:v>
      </x:c>
    </x:row>
    <x:row r="2211" ht="58" customHeight="1">
      <x:c r="A2211" s="9" t="str">
        <x:v>E2206</x:v>
      </x:c>
      <x:c r="B2211" s="9" t="str">
        <x:v>T31.07</x:v>
      </x:c>
      <x:c r="C2211" s="9" t="str">
        <x:v>Tax depreciation and capital allowances</x:v>
      </x:c>
      <x:c r="D2211" s="15" t="str">
        <x:v>AFFECTS</x:v>
      </x:c>
      <x:c r="E2211" s="9" t="str">
        <x:v>A10</x:v>
      </x:c>
      <x:c r="F2211" s="9" t="str">
        <x:v>NOPAT</x:v>
      </x:c>
      <x:c r="G2211" s="9" t="str">
        <x:v>Tax depreciation affects operating cash taxes separately from book depreciation.</x:v>
      </x:c>
      <x:c r="H2211" s="9" t="str"/>
      <x:c r="I2211" s="9" t="str">
        <x:v>Finance mechanism / application; authored mapping</x:v>
      </x:c>
    </x:row>
    <x:row r="2212" ht="58" customHeight="1">
      <x:c r="A2212" s="10" t="str">
        <x:v>E2207</x:v>
      </x:c>
      <x:c r="B2212" s="10" t="str">
        <x:v>T31.08</x:v>
      </x:c>
      <x:c r="C2212" s="10" t="str">
        <x:v>Loss set-offs and carryforwards</x:v>
      </x:c>
      <x:c r="D2212" s="14" t="str">
        <x:v>AFFECTS</x:v>
      </x:c>
      <x:c r="E2212" s="10" t="str">
        <x:v>T17.05</x:v>
      </x:c>
      <x:c r="F2212" s="10" t="str">
        <x:v>FCFF and FCFE</x:v>
      </x:c>
      <x:c r="G2212" s="10" t="str">
        <x:v>Usable tax losses can change forecast cash taxes.</x:v>
      </x:c>
      <x:c r="H2212" s="10" t="str">
        <x:v>Availability and utilisation limits are jurisdiction-specific.</x:v>
      </x:c>
      <x:c r="I2212" s="10" t="str">
        <x:v>Finance mechanism / application; authored mapping</x:v>
      </x:c>
    </x:row>
    <x:row r="2213" ht="58" customHeight="1">
      <x:c r="A2213" s="9" t="str">
        <x:v>E2208</x:v>
      </x:c>
      <x:c r="B2213" s="9" t="str">
        <x:v>T31.03</x:v>
      </x:c>
      <x:c r="C2213" s="9" t="str">
        <x:v>Marginal versus effective tax rates</x:v>
      </x:c>
      <x:c r="D2213" s="15" t="str">
        <x:v>QUALIFIES</x:v>
      </x:c>
      <x:c r="E2213" s="9" t="str">
        <x:v>T13.14</x:v>
      </x:c>
      <x:c r="F2213" s="9" t="str">
        <x:v>Interest tax shields</x:v>
      </x:c>
      <x:c r="G2213" s="9" t="str">
        <x:v>The tax benefit of interest depends on tax capacity and deduction rules.</x:v>
      </x:c>
      <x:c r="H2213" s="9" t="str">
        <x:v>A stated tax rate alone does not prove a usable tax shield.</x:v>
      </x:c>
      <x:c r="I2213" s="9" t="str">
        <x:v>Finance mechanism / application; authored mapping</x:v>
      </x:c>
    </x:row>
    <x:row r="2214" ht="58" customHeight="1">
      <x:c r="A2214" s="10" t="str">
        <x:v>E2209</x:v>
      </x:c>
      <x:c r="B2214" s="10" t="str">
        <x:v>T13.14</x:v>
      </x:c>
      <x:c r="C2214" s="10" t="str">
        <x:v>Interest tax shields</x:v>
      </x:c>
      <x:c r="D2214" s="14" t="str">
        <x:v>VALUED_IN</x:v>
      </x:c>
      <x:c r="E2214" s="10" t="str">
        <x:v>T13.17</x:v>
      </x:c>
      <x:c r="F2214" s="10" t="str">
        <x:v>Adjusted present value</x:v>
      </x:c>
      <x:c r="G2214" s="10" t="str">
        <x:v>APV can separate operating value from the value of financing side effects.</x:v>
      </x:c>
      <x:c r="H2214" s="10" t="str"/>
      <x:c r="I2214" s="10" t="str">
        <x:v>Finance mechanism / application; authored mapping</x:v>
      </x:c>
    </x:row>
    <x:row r="2215" ht="58" customHeight="1">
      <x:c r="A2215" s="9" t="str">
        <x:v>E2210</x:v>
      </x:c>
      <x:c r="B2215" s="9" t="str">
        <x:v>T13.14</x:v>
      </x:c>
      <x:c r="C2215" s="9" t="str">
        <x:v>Interest tax shields</x:v>
      </x:c>
      <x:c r="D2215" s="15" t="str">
        <x:v>AFFECTS</x:v>
      </x:c>
      <x:c r="E2215" s="9" t="str">
        <x:v>A13</x:v>
      </x:c>
      <x:c r="F2215" s="9" t="str">
        <x:v>Weighted average cost of capital (WACC)</x:v>
      </x:c>
      <x:c r="G2215" s="9" t="str">
        <x:v>Usable debt interest deductions affect conventional after-tax WACC.</x:v>
      </x:c>
      <x:c r="H2215" s="9" t="str"/>
      <x:c r="I2215" s="9" t="str">
        <x:v>Finance mechanism / application; authored mapping</x:v>
      </x:c>
    </x:row>
    <x:row r="2216" ht="58" customHeight="1">
      <x:c r="A2216" s="10" t="str">
        <x:v>E2211</x:v>
      </x:c>
      <x:c r="B2216" s="10" t="str">
        <x:v>T13.01</x:v>
      </x:c>
      <x:c r="C2216" s="10" t="str">
        <x:v>Cost of equity</x:v>
      </x:c>
      <x:c r="D2216" s="14" t="str">
        <x:v>ESTIMATED_WITH</x:v>
      </x:c>
      <x:c r="E2216" s="10" t="str">
        <x:v>T13.02</x:v>
      </x:c>
      <x:c r="F2216" s="10" t="str">
        <x:v>Capital Asset Pricing Model</x:v>
      </x:c>
      <x:c r="G2216" s="10" t="str">
        <x:v>CAPM is one model used to estimate the cost of equity.</x:v>
      </x:c>
      <x:c r="H2216" s="10" t="str"/>
      <x:c r="I2216" s="10" t="str">
        <x:v>Finance mechanism / application; authored mapping</x:v>
      </x:c>
    </x:row>
    <x:row r="2217" ht="58" customHeight="1">
      <x:c r="A2217" s="9" t="str">
        <x:v>E2212</x:v>
      </x:c>
      <x:c r="B2217" s="9" t="str">
        <x:v>T13.03</x:v>
      </x:c>
      <x:c r="C2217" s="9" t="str">
        <x:v>Risk-free rate and equity risk premium</x:v>
      </x:c>
      <x:c r="D2217" s="15" t="str">
        <x:v>CALCULATION_INPUT</x:v>
      </x:c>
      <x:c r="E2217" s="9" t="str">
        <x:v>T13.02</x:v>
      </x:c>
      <x:c r="F2217" s="9" t="str">
        <x:v>Capital Asset Pricing Model</x:v>
      </x:c>
      <x:c r="G2217" s="9" t="str">
        <x:v>Risk-free rate and equity risk premium are CAPM inputs.</x:v>
      </x:c>
      <x:c r="H2217" s="9" t="str"/>
      <x:c r="I2217" s="9" t="str">
        <x:v>Finance mechanism / application; authored mapping</x:v>
      </x:c>
    </x:row>
    <x:row r="2218" ht="58" customHeight="1">
      <x:c r="A2218" s="10" t="str">
        <x:v>E2213</x:v>
      </x:c>
      <x:c r="B2218" s="10" t="str">
        <x:v>T13.04</x:v>
      </x:c>
      <x:c r="C2218" s="10" t="str">
        <x:v>Beta estimation</x:v>
      </x:c>
      <x:c r="D2218" s="14" t="str">
        <x:v>CALCULATION_INPUT</x:v>
      </x:c>
      <x:c r="E2218" s="10" t="str">
        <x:v>T13.02</x:v>
      </x:c>
      <x:c r="F2218" s="10" t="str">
        <x:v>Capital Asset Pricing Model</x:v>
      </x:c>
      <x:c r="G2218" s="10" t="str">
        <x:v>Equity beta measures market-related exposure in CAPM.</x:v>
      </x:c>
      <x:c r="H2218" s="10" t="str">
        <x:v>Historical estimates have noise and specification limitations.</x:v>
      </x:c>
      <x:c r="I2218" s="10" t="str">
        <x:v>Finance mechanism / application; authored mapping</x:v>
      </x:c>
    </x:row>
    <x:row r="2219" ht="58" customHeight="1">
      <x:c r="A2219" s="9" t="str">
        <x:v>E2214</x:v>
      </x:c>
      <x:c r="B2219" s="9" t="str">
        <x:v>T13.05</x:v>
      </x:c>
      <x:c r="C2219" s="9" t="str">
        <x:v>Levered and unlevered beta</x:v>
      </x:c>
      <x:c r="D2219" s="15" t="str">
        <x:v>ADJUSTS</x:v>
      </x:c>
      <x:c r="E2219" s="9" t="str">
        <x:v>T13.04</x:v>
      </x:c>
      <x:c r="F2219" s="9" t="str">
        <x:v>Beta estimation</x:v>
      </x:c>
      <x:c r="G2219" s="9" t="str">
        <x:v>Unlevering and relevering translate beta across capital structures.</x:v>
      </x:c>
      <x:c r="H2219" s="9" t="str">
        <x:v>Debt risk and tax assumptions matter.</x:v>
      </x:c>
      <x:c r="I2219" s="9" t="str">
        <x:v>Finance mechanism / application; authored mapping</x:v>
      </x:c>
    </x:row>
    <x:row r="2220" ht="58" customHeight="1">
      <x:c r="A2220" s="10" t="str">
        <x:v>E2215</x:v>
      </x:c>
      <x:c r="B2220" s="10" t="str">
        <x:v>T13.06</x:v>
      </x:c>
      <x:c r="C2220" s="10" t="str">
        <x:v>Bottom-up beta</x:v>
      </x:c>
      <x:c r="D2220" s="14" t="str">
        <x:v>USES</x:v>
      </x:c>
      <x:c r="E2220" s="10" t="str">
        <x:v>T13.05</x:v>
      </x:c>
      <x:c r="F2220" s="10" t="str">
        <x:v>Levered and unlevered beta</x:v>
      </x:c>
      <x:c r="G2220" s="10" t="str">
        <x:v>Bottom-up beta combines comparable business risk with a target capital structure.</x:v>
      </x:c>
      <x:c r="H2220" s="10" t="str"/>
      <x:c r="I2220" s="10" t="str">
        <x:v>Finance mechanism / application; authored mapping</x:v>
      </x:c>
    </x:row>
    <x:row r="2221" ht="58" customHeight="1">
      <x:c r="A2221" s="9" t="str">
        <x:v>E2216</x:v>
      </x:c>
      <x:c r="B2221" s="9" t="str">
        <x:v>T13.08</x:v>
      </x:c>
      <x:c r="C2221" s="9" t="str">
        <x:v>Cost of debt and credit spreads</x:v>
      </x:c>
      <x:c r="D2221" s="15" t="str">
        <x:v>CALCULATION_INPUT</x:v>
      </x:c>
      <x:c r="E2221" s="9" t="str">
        <x:v>A13</x:v>
      </x:c>
      <x:c r="F2221" s="9" t="str">
        <x:v>Weighted average cost of capital (WACC)</x:v>
      </x:c>
      <x:c r="G2221" s="9" t="str">
        <x:v>Debt required return and applicable tax treatment enter WACC.</x:v>
      </x:c>
      <x:c r="H2221" s="9" t="str"/>
      <x:c r="I2221" s="9" t="str">
        <x:v>Finance mechanism / application; authored mapping</x:v>
      </x:c>
    </x:row>
    <x:row r="2222" ht="58" customHeight="1">
      <x:c r="A2222" s="10" t="str">
        <x:v>E2217</x:v>
      </x:c>
      <x:c r="B2222" s="10" t="str">
        <x:v>T13.11</x:v>
      </x:c>
      <x:c r="C2222" s="10" t="str">
        <x:v>Market-value versus book-value weights</x:v>
      </x:c>
      <x:c r="D2222" s="14" t="str">
        <x:v>CALCULATION_INPUT</x:v>
      </x:c>
      <x:c r="E2222" s="10" t="str">
        <x:v>A13</x:v>
      </x:c>
      <x:c r="F2222" s="10" t="str">
        <x:v>Weighted average cost of capital (WACC)</x:v>
      </x:c>
      <x:c r="G2222" s="10" t="str">
        <x:v>Market-value capital weights enter WACC.</x:v>
      </x:c>
      <x:c r="H2222" s="10" t="str"/>
      <x:c r="I2222" s="10" t="str">
        <x:v>Finance mechanism / application; authored mapping</x:v>
      </x:c>
    </x:row>
    <x:row r="2223" ht="58" customHeight="1">
      <x:c r="A2223" s="9" t="str">
        <x:v>E2218</x:v>
      </x:c>
      <x:c r="B2223" s="9" t="str">
        <x:v>T13.07</x:v>
      </x:c>
      <x:c r="C2223" s="9" t="str">
        <x:v>Country risk and currency consistency</x:v>
      </x:c>
      <x:c r="D2223" s="15" t="str">
        <x:v>INFORMS</x:v>
      </x:c>
      <x:c r="E2223" s="9" t="str">
        <x:v>T33.10</x:v>
      </x:c>
      <x:c r="F2223" s="9" t="str">
        <x:v>International cost of capital</x:v>
      </x:c>
      <x:c r="G2223" s="9" t="str">
        <x:v>Country risk and currency choice affect an international cost-of-capital estimate.</x:v>
      </x:c>
      <x:c r="H2223" s="9" t="str"/>
      <x:c r="I2223" s="9" t="str">
        <x:v>Finance mechanism / application; authored mapping</x:v>
      </x:c>
    </x:row>
    <x:row r="2224" ht="58" customHeight="1">
      <x:c r="A2224" s="10" t="str">
        <x:v>E2219</x:v>
      </x:c>
      <x:c r="B2224" s="10" t="str">
        <x:v>T13.16</x:v>
      </x:c>
      <x:c r="C2224" s="10" t="str">
        <x:v>Financial distress costs and optimal leverage</x:v>
      </x:c>
      <x:c r="D2224" s="14" t="str">
        <x:v>ASSESSED_WITH</x:v>
      </x:c>
      <x:c r="E2224" s="10" t="str">
        <x:v>T24.11</x:v>
      </x:c>
      <x:c r="F2224" s="10" t="str">
        <x:v>Credit ratings and credit scoring</x:v>
      </x:c>
      <x:c r="G2224" s="10" t="str">
        <x:v>Credit quality and leverage help assess distress risk and financing spreads.</x:v>
      </x:c>
      <x:c r="H2224" s="10" t="str"/>
      <x:c r="I2224" s="10" t="str">
        <x:v>Finance mechanism / application; authored mapping</x:v>
      </x:c>
    </x:row>
    <x:row r="2225" ht="58" customHeight="1">
      <x:c r="A2225" s="9" t="str">
        <x:v>E2220</x:v>
      </x:c>
      <x:c r="B2225" s="9" t="str">
        <x:v>T12.05</x:v>
      </x:c>
      <x:c r="C2225" s="9" t="str">
        <x:v>Incremental cash flows</x:v>
      </x:c>
      <x:c r="D2225" s="15" t="str">
        <x:v>CALCULATION_INPUT</x:v>
      </x:c>
      <x:c r="E2225" s="9" t="str">
        <x:v>T03.12</x:v>
      </x:c>
      <x:c r="F2225" s="9" t="str">
        <x:v>Net present value</x:v>
      </x:c>
      <x:c r="G2225" s="9" t="str">
        <x:v>Incremental project cash flows are discounted to calculate project NPV.</x:v>
      </x:c>
      <x:c r="H2225" s="9" t="str"/>
      <x:c r="I2225" s="9" t="str">
        <x:v>Finance mechanism / application; authored mapping</x:v>
      </x:c>
    </x:row>
    <x:row r="2226" ht="58" customHeight="1">
      <x:c r="A2226" s="10" t="str">
        <x:v>E2221</x:v>
      </x:c>
      <x:c r="B2226" s="10" t="str">
        <x:v>T12.06</x:v>
      </x:c>
      <x:c r="C2226" s="10" t="str">
        <x:v>Sunk costs, opportunity costs, and externalities</x:v>
      </x:c>
      <x:c r="D2226" s="14" t="str">
        <x:v>FILTERS</x:v>
      </x:c>
      <x:c r="E2226" s="10" t="str">
        <x:v>T12.05</x:v>
      </x:c>
      <x:c r="F2226" s="10" t="str">
        <x:v>Incremental cash flows</x:v>
      </x:c>
      <x:c r="G2226" s="10" t="str">
        <x:v>Relevant cash flows include opportunity costs but exclude sunk costs.</x:v>
      </x:c>
      <x:c r="H2226" s="10" t="str"/>
      <x:c r="I2226" s="10" t="str">
        <x:v>Finance mechanism / application; authored mapping</x:v>
      </x:c>
    </x:row>
    <x:row r="2227" ht="58" customHeight="1">
      <x:c r="A2227" s="9" t="str">
        <x:v>E2222</x:v>
      </x:c>
      <x:c r="B2227" s="9" t="str">
        <x:v>T12.07</x:v>
      </x:c>
      <x:c r="C2227" s="9" t="str">
        <x:v>Replacement, expansion, and mutually exclusive projects</x:v>
      </x:c>
      <x:c r="D2227" s="15" t="str">
        <x:v>COMPARES_WITH</x:v>
      </x:c>
      <x:c r="E2227" s="9" t="str">
        <x:v>T12.09</x:v>
      </x:c>
      <x:c r="F2227" s="9" t="str">
        <x:v>Equivalent annual cost</x:v>
      </x:c>
      <x:c r="G2227" s="9" t="str">
        <x:v>Equivalent annual cost can compare repeatable alternatives of different lives.</x:v>
      </x:c>
      <x:c r="H2227" s="9" t="str">
        <x:v>Only where replacement and risk assumptions support the comparison.</x:v>
      </x:c>
      <x:c r="I2227" s="9" t="str">
        <x:v>Finance mechanism / application; authored mapping</x:v>
      </x:c>
    </x:row>
    <x:row r="2228" ht="58" customHeight="1">
      <x:c r="A2228" s="10" t="str">
        <x:v>E2223</x:v>
      </x:c>
      <x:c r="B2228" s="10" t="str">
        <x:v>T12.08</x:v>
      </x:c>
      <x:c r="C2228" s="10" t="str">
        <x:v>NPV, IRR, MIRR, payback, and profitability index</x:v>
      </x:c>
      <x:c r="D2228" s="14" t="str">
        <x:v>COMPARES_WITH</x:v>
      </x:c>
      <x:c r="E2228" s="10" t="str">
        <x:v>T03.13</x:v>
      </x:c>
      <x:c r="F2228" s="10" t="str">
        <x:v>Internal rate of return and modified IRR</x:v>
      </x:c>
      <x:c r="G2228" s="10" t="str">
        <x:v>IRR and NPV can rank projects differently due to scale, timing and reinvestment assumptions.</x:v>
      </x:c>
      <x:c r="H2228" s="10" t="str"/>
      <x:c r="I2228" s="10" t="str">
        <x:v>Finance mechanism / application; authored mapping</x:v>
      </x:c>
    </x:row>
    <x:row r="2229" ht="58" customHeight="1">
      <x:c r="A2229" s="9" t="str">
        <x:v>E2224</x:v>
      </x:c>
      <x:c r="B2229" s="9" t="str">
        <x:v>T12.12</x:v>
      </x:c>
      <x:c r="C2229" s="9" t="str">
        <x:v>Real options: delay, expand, abandon, and switch</x:v>
      </x:c>
      <x:c r="D2229" s="15" t="str">
        <x:v>ANALOGOUS_TO</x:v>
      </x:c>
      <x:c r="E2229" s="9" t="str">
        <x:v>T21.02</x:v>
      </x:c>
      <x:c r="F2229" s="9" t="str">
        <x:v>Options: calls and puts</x:v>
      </x:c>
      <x:c r="G2229" s="9" t="str">
        <x:v>Managerial flexibility has option-like payoffs.</x:v>
      </x:c>
      <x:c r="H2229" s="9" t="str">
        <x:v>Real options are not identical to freely traded financial options.</x:v>
      </x:c>
      <x:c r="I2229" s="9" t="str">
        <x:v>Finance mechanism / application; authored mapping</x:v>
      </x:c>
    </x:row>
    <x:row r="2230" ht="58" customHeight="1">
      <x:c r="A2230" s="10" t="str">
        <x:v>E2225</x:v>
      </x:c>
      <x:c r="B2230" s="10" t="str">
        <x:v>T12.13</x:v>
      </x:c>
      <x:c r="C2230" s="10" t="str">
        <x:v>Dividends and share repurchases</x:v>
      </x:c>
      <x:c r="D2230" s="14" t="str">
        <x:v>IMPLEMENTED_THROUGH</x:v>
      </x:c>
      <x:c r="E2230" s="10" t="str">
        <x:v>T19.06</x:v>
      </x:c>
      <x:c r="F2230" s="10" t="str">
        <x:v>Dividends, splits, bonus issues, and buybacks</x:v>
      </x:c>
      <x:c r="G2230" s="10" t="str">
        <x:v>Payout decisions are implemented through dividends and share repurchases.</x:v>
      </x:c>
      <x:c r="H2230" s="10" t="str"/>
      <x:c r="I2230" s="10" t="str">
        <x:v>Finance mechanism / application; authored mapping</x:v>
      </x:c>
    </x:row>
    <x:row r="2231" ht="58" customHeight="1">
      <x:c r="A2231" s="9" t="str">
        <x:v>E2226</x:v>
      </x:c>
      <x:c r="B2231" s="9" t="str">
        <x:v>T12.14</x:v>
      </x:c>
      <x:c r="C2231" s="9" t="str">
        <x:v>Organic growth versus acquisitions</x:v>
      </x:c>
      <x:c r="D2231" s="15" t="str">
        <x:v>COMPARES_WITH</x:v>
      </x:c>
      <x:c r="E2231" s="9" t="str">
        <x:v>T26.01</x:v>
      </x:c>
      <x:c r="F2231" s="9" t="str">
        <x:v>Strategic rationale for acquisitions</x:v>
      </x:c>
      <x:c r="G2231" s="9" t="str">
        <x:v>Acquisitions and organic investment are alternative routes for deploying capital.</x:v>
      </x:c>
      <x:c r="H2231" s="9" t="str"/>
      <x:c r="I2231" s="9" t="str">
        <x:v>Finance mechanism / application; authored mapping</x:v>
      </x:c>
    </x:row>
    <x:row r="2232" ht="58" customHeight="1">
      <x:c r="A2232" s="10" t="str">
        <x:v>E2227</x:v>
      </x:c>
      <x:c r="B2232" s="10" t="str">
        <x:v>T12.15</x:v>
      </x:c>
      <x:c r="C2232" s="10" t="str">
        <x:v>Capital allocation performance and management incentives</x:v>
      </x:c>
      <x:c r="D2232" s="14" t="str">
        <x:v>ASSESSED_WITH</x:v>
      </x:c>
      <x:c r="E2232" s="10" t="str">
        <x:v>A20</x:v>
      </x:c>
      <x:c r="F2232" s="10" t="str">
        <x:v>Return on invested capital (ROIC)</x:v>
      </x:c>
      <x:c r="G2232" s="10" t="str">
        <x:v>Capital allocation can be assessed through operating returns and value created.</x:v>
      </x:c>
      <x:c r="H2232" s="10" t="str"/>
      <x:c r="I2232" s="10" t="str">
        <x:v>Finance mechanism / application; authored mapping</x:v>
      </x:c>
    </x:row>
    <x:row r="2233" ht="58" customHeight="1">
      <x:c r="A2233" s="9" t="str">
        <x:v>E2228</x:v>
      </x:c>
      <x:c r="B2233" s="9" t="str">
        <x:v>T11.02</x:v>
      </x:c>
      <x:c r="C2233" s="9" t="str">
        <x:v>Fixed, variable, and semi-variable costs</x:v>
      </x:c>
      <x:c r="D2233" s="15" t="str">
        <x:v>CALCULATION_INPUT</x:v>
      </x:c>
      <x:c r="E2233" s="9" t="str">
        <x:v>T11.03</x:v>
      </x:c>
      <x:c r="F2233" s="9" t="str">
        <x:v>Contribution margin and break-even analysis</x:v>
      </x:c>
      <x:c r="G2233" s="9" t="str">
        <x:v>Fixed and variable costs determine contribution and break-even volume.</x:v>
      </x:c>
      <x:c r="H2233" s="9" t="str"/>
      <x:c r="I2233" s="9" t="str">
        <x:v>Finance mechanism / application; authored mapping</x:v>
      </x:c>
    </x:row>
    <x:row r="2234" ht="58" customHeight="1">
      <x:c r="A2234" s="10" t="str">
        <x:v>E2229</x:v>
      </x:c>
      <x:c r="B2234" s="10" t="str">
        <x:v>T11.04</x:v>
      </x:c>
      <x:c r="C2234" s="10" t="str">
        <x:v>Price-volume-mix analysis</x:v>
      </x:c>
      <x:c r="D2234" s="14" t="str">
        <x:v>EXPLAINS</x:v>
      </x:c>
      <x:c r="E2234" s="10" t="str">
        <x:v>T05.01</x:v>
      </x:c>
      <x:c r="F2234" s="10" t="str">
        <x:v>Revenue, sales, and other operating income</x:v>
      </x:c>
      <x:c r="G2234" s="10" t="str">
        <x:v>Price, volume and mix explain changes in revenue.</x:v>
      </x:c>
      <x:c r="H2234" s="10" t="str"/>
      <x:c r="I2234" s="10" t="str">
        <x:v>Finance mechanism / application; authored mapping</x:v>
      </x:c>
    </x:row>
    <x:row r="2235" ht="58" customHeight="1">
      <x:c r="A2235" s="9" t="str">
        <x:v>E2230</x:v>
      </x:c>
      <x:c r="B2235" s="9" t="str">
        <x:v>T11.05</x:v>
      </x:c>
      <x:c r="C2235" s="9" t="str">
        <x:v>Capacity utilisation and operating leverage</x:v>
      </x:c>
      <x:c r="D2235" s="15" t="str">
        <x:v>EXPLAINS</x:v>
      </x:c>
      <x:c r="E2235" s="9" t="str">
        <x:v>T09.11</x:v>
      </x:c>
      <x:c r="F2235" s="9" t="str">
        <x:v>Operating leverage and financial leverage</x:v>
      </x:c>
      <x:c r="G2235" s="9" t="str">
        <x:v>Fixed operating costs and utilisation contribute to operating leverage.</x:v>
      </x:c>
      <x:c r="H2235" s="9" t="str"/>
      <x:c r="I2235" s="9" t="str">
        <x:v>Finance mechanism / application; authored mapping</x:v>
      </x:c>
    </x:row>
    <x:row r="2236" ht="58" customHeight="1">
      <x:c r="A2236" s="10" t="str">
        <x:v>E2231</x:v>
      </x:c>
      <x:c r="B2236" s="10" t="str">
        <x:v>T11.07</x:v>
      </x:c>
      <x:c r="C2236" s="10" t="str">
        <x:v>Customer acquisition cost</x:v>
      </x:c>
      <x:c r="D2236" s="14" t="str">
        <x:v>COMPARES_WITH</x:v>
      </x:c>
      <x:c r="E2236" s="10" t="str">
        <x:v>T11.08</x:v>
      </x:c>
      <x:c r="F2236" s="10" t="str">
        <x:v>Customer lifetime value</x:v>
      </x:c>
      <x:c r="G2236" s="10" t="str">
        <x:v>Lifetime customer contribution is compared with acquisition cost.</x:v>
      </x:c>
      <x:c r="H2236" s="10" t="str">
        <x:v>Match cohorts, contribution definitions and discounting conventions.</x:v>
      </x:c>
      <x:c r="I2236" s="10" t="str">
        <x:v>Finance mechanism / application; authored mapping</x:v>
      </x:c>
    </x:row>
    <x:row r="2237" ht="58" customHeight="1">
      <x:c r="A2237" s="9" t="str">
        <x:v>E2232</x:v>
      </x:c>
      <x:c r="B2237" s="9" t="str">
        <x:v>T11.09</x:v>
      </x:c>
      <x:c r="C2237" s="9" t="str">
        <x:v>Retention, churn, and cohort economics</x:v>
      </x:c>
      <x:c r="D2237" s="15" t="str">
        <x:v>CALCULATION_INPUT</x:v>
      </x:c>
      <x:c r="E2237" s="9" t="str">
        <x:v>T11.08</x:v>
      </x:c>
      <x:c r="F2237" s="9" t="str">
        <x:v>Customer lifetime value</x:v>
      </x:c>
      <x:c r="G2237" s="9" t="str">
        <x:v>Retention, churn and customer behaviour affect lifetime-value assumptions.</x:v>
      </x:c>
      <x:c r="H2237" s="9" t="str"/>
      <x:c r="I2237" s="9" t="str">
        <x:v>Finance mechanism / application; authored mapping</x:v>
      </x:c>
    </x:row>
    <x:row r="2238" ht="58" customHeight="1">
      <x:c r="A2238" s="10" t="str">
        <x:v>E2233</x:v>
      </x:c>
      <x:c r="B2238" s="10" t="str">
        <x:v>T11.12</x:v>
      </x:c>
      <x:c r="C2238" s="10" t="str">
        <x:v>Working-capital intensity and capital intensity</x:v>
      </x:c>
      <x:c r="D2238" s="14" t="str">
        <x:v>AFFECTS</x:v>
      </x:c>
      <x:c r="E2238" s="10" t="str">
        <x:v>T17.11</x:v>
      </x:c>
      <x:c r="F2238" s="10" t="str">
        <x:v>Reinvestment, growth, and return on capital</x:v>
      </x:c>
      <x:c r="G2238" s="10" t="str">
        <x:v>Working-capital and asset intensity influence the reinvestment needed for growth.</x:v>
      </x:c>
      <x:c r="H2238" s="10" t="str"/>
      <x:c r="I2238" s="10" t="str">
        <x:v>Finance mechanism / application; authored mapping</x:v>
      </x:c>
    </x:row>
    <x:row r="2239" ht="58" customHeight="1">
      <x:c r="A2239" s="9" t="str">
        <x:v>E2234</x:v>
      </x:c>
      <x:c r="B2239" s="9" t="str">
        <x:v>T11.15</x:v>
      </x:c>
      <x:c r="C2239" s="9" t="str">
        <x:v>Linking business drivers to financial results</x:v>
      </x:c>
      <x:c r="D2239" s="15" t="str">
        <x:v>INFORMS</x:v>
      </x:c>
      <x:c r="E2239" s="9" t="str">
        <x:v>T16.04</x:v>
      </x:c>
      <x:c r="F2239" s="9" t="str">
        <x:v>Revenue and operating-cost schedules</x:v>
      </x:c>
      <x:c r="G2239" s="9" t="str">
        <x:v>Operating drivers become revenue and cost schedules in a financial model.</x:v>
      </x:c>
      <x:c r="H2239" s="9" t="str"/>
      <x:c r="I2239" s="9" t="str">
        <x:v>Finance mechanism / application; authored mapping</x:v>
      </x:c>
    </x:row>
    <x:row r="2240" ht="58" customHeight="1">
      <x:c r="A2240" s="10" t="str">
        <x:v>E2235</x:v>
      </x:c>
      <x:c r="B2240" s="10" t="str">
        <x:v>T15.06</x:v>
      </x:c>
      <x:c r="C2240" s="10" t="str">
        <x:v>Revenue, cost, headcount, and capital expenditure forecasting</x:v>
      </x:c>
      <x:c r="D2240" s="14" t="str">
        <x:v>FEEDS_MODEL</x:v>
      </x:c>
      <x:c r="E2240" s="10" t="str">
        <x:v>T16.04</x:v>
      </x:c>
      <x:c r="F2240" s="10" t="str">
        <x:v>Revenue and operating-cost schedules</x:v>
      </x:c>
      <x:c r="G2240" s="10" t="str">
        <x:v>Operating forecasts supply model assumptions and schedules.</x:v>
      </x:c>
      <x:c r="H2240" s="10" t="str"/>
      <x:c r="I2240" s="10" t="str">
        <x:v>Finance mechanism / application; authored mapping</x:v>
      </x:c>
    </x:row>
    <x:row r="2241" ht="58" customHeight="1">
      <x:c r="A2241" s="9" t="str">
        <x:v>E2236</x:v>
      </x:c>
      <x:c r="B2241" s="9" t="str">
        <x:v>T15.07</x:v>
      </x:c>
      <x:c r="C2241" s="9" t="str">
        <x:v>Variance analysis</x:v>
      </x:c>
      <x:c r="D2241" s="15" t="str">
        <x:v>EVALUATES</x:v>
      </x:c>
      <x:c r="E2241" s="9" t="str">
        <x:v>T15.14</x:v>
      </x:c>
      <x:c r="F2241" s="9" t="str">
        <x:v>Forecast accuracy</x:v>
      </x:c>
      <x:c r="G2241" s="9" t="str">
        <x:v>Variance analysis diagnoses differences between forecasts and actual results.</x:v>
      </x:c>
      <x:c r="H2241" s="9" t="str"/>
      <x:c r="I2241" s="9" t="str">
        <x:v>Finance mechanism / application; authored mapping</x:v>
      </x:c>
    </x:row>
    <x:row r="2242" ht="58" customHeight="1">
      <x:c r="A2242" s="10" t="str">
        <x:v>E2237</x:v>
      </x:c>
      <x:c r="B2242" s="10" t="str">
        <x:v>T15.08</x:v>
      </x:c>
      <x:c r="C2242" s="10" t="str">
        <x:v>Standard costing and activity-based costing</x:v>
      </x:c>
      <x:c r="D2242" s="14" t="str">
        <x:v>INFORMS</x:v>
      </x:c>
      <x:c r="E2242" s="10" t="str">
        <x:v>T11.10</x:v>
      </x:c>
      <x:c r="F2242" s="10" t="str">
        <x:v>Customer and product profitability</x:v>
      </x:c>
      <x:c r="G2242" s="10" t="str">
        <x:v>Costing methods affect measured product and customer profitability.</x:v>
      </x:c>
      <x:c r="H2242" s="10" t="str"/>
      <x:c r="I2242" s="10" t="str">
        <x:v>Finance mechanism / application; authored mapping</x:v>
      </x:c>
    </x:row>
    <x:row r="2243" ht="58" customHeight="1">
      <x:c r="A2243" s="9" t="str">
        <x:v>E2238</x:v>
      </x:c>
      <x:c r="B2243" s="9" t="str">
        <x:v>T15.10</x:v>
      </x:c>
      <x:c r="C2243" s="9" t="str">
        <x:v>Relevant costing and make-or-buy decisions</x:v>
      </x:c>
      <x:c r="D2243" s="15" t="str">
        <x:v>USES</x:v>
      </x:c>
      <x:c r="E2243" s="9" t="str">
        <x:v>T11.03</x:v>
      </x:c>
      <x:c r="F2243" s="9" t="str">
        <x:v>Contribution margin and break-even analysis</x:v>
      </x:c>
      <x:c r="G2243" s="9" t="str">
        <x:v>Relevant costs and contribution support make-or-buy decisions.</x:v>
      </x:c>
      <x:c r="H2243" s="9" t="str">
        <x:v>Consider opportunity cost and avoid irrelevant allocated costs.</x:v>
      </x:c>
      <x:c r="I2243" s="9" t="str">
        <x:v>Finance mechanism / application; authored mapping</x:v>
      </x:c>
    </x:row>
    <x:row r="2244" ht="58" customHeight="1">
      <x:c r="A2244" s="10" t="str">
        <x:v>E2239</x:v>
      </x:c>
      <x:c r="B2244" s="10" t="str">
        <x:v>T15.12</x:v>
      </x:c>
      <x:c r="C2244" s="10" t="str">
        <x:v>Product-mix and capacity decisions</x:v>
      </x:c>
      <x:c r="D2244" s="14" t="str">
        <x:v>USES</x:v>
      </x:c>
      <x:c r="E2244" s="10" t="str">
        <x:v>T02.14</x:v>
      </x:c>
      <x:c r="F2244" s="10" t="str">
        <x:v>Optimisation, linear algebra, and calculus for finance</x:v>
      </x:c>
      <x:c r="G2244" s="10" t="str">
        <x:v>Capacity and product-mix decisions can use constrained optimisation.</x:v>
      </x:c>
      <x:c r="H2244" s="10" t="str"/>
      <x:c r="I2244" s="10" t="str">
        <x:v>Finance mechanism / application; authored mapping</x:v>
      </x:c>
    </x:row>
    <x:row r="2245" ht="58" customHeight="1">
      <x:c r="A2245" s="9" t="str">
        <x:v>E2240</x:v>
      </x:c>
      <x:c r="B2245" s="9" t="str">
        <x:v>T15.11</x:v>
      </x:c>
      <x:c r="C2245" s="9" t="str">
        <x:v>Transfer pricing for internal decisions</x:v>
      </x:c>
      <x:c r="D2245" s="15" t="str">
        <x:v>CONTRASTS_WITH</x:v>
      </x:c>
      <x:c r="E2245" s="9" t="str">
        <x:v>T31.13</x:v>
      </x:c>
      <x:c r="F2245" s="9" t="str">
        <x:v>Transfer pricing for tax purposes</x:v>
      </x:c>
      <x:c r="G2245" s="9" t="str">
        <x:v>Internal transfer-pricing decisions differ from tax compliance transfer pricing.</x:v>
      </x:c>
      <x:c r="H2245" s="9" t="str">
        <x:v>Both may use similar transaction data but have different objectives and constraints.</x:v>
      </x:c>
      <x:c r="I2245" s="9" t="str">
        <x:v>Finance mechanism / application; authored mapping</x:v>
      </x:c>
    </x:row>
    <x:row r="2246" ht="58" customHeight="1">
      <x:c r="A2246" s="10" t="str">
        <x:v>E2241</x:v>
      </x:c>
      <x:c r="B2246" s="10" t="str">
        <x:v>T16.03</x:v>
      </x:c>
      <x:c r="C2246" s="10" t="str">
        <x:v>Three-statement models</x:v>
      </x:c>
      <x:c r="D2246" s="14" t="str">
        <x:v>MODELS</x:v>
      </x:c>
      <x:c r="E2246" s="10" t="str">
        <x:v>T07.14</x:v>
      </x:c>
      <x:c r="F2246" s="10" t="str">
        <x:v>How transactions move through all three statements</x:v>
      </x:c>
      <x:c r="G2246" s="10" t="str">
        <x:v>A three-statement model connects transaction effects across the statements.</x:v>
      </x:c>
      <x:c r="H2246" s="10" t="str"/>
      <x:c r="I2246" s="10" t="str">
        <x:v>Finance mechanism / application; authored mapping</x:v>
      </x:c>
    </x:row>
    <x:row r="2247" ht="58" customHeight="1">
      <x:c r="A2247" s="9" t="str">
        <x:v>E2242</x:v>
      </x:c>
      <x:c r="B2247" s="9" t="str">
        <x:v>T16.05</x:v>
      </x:c>
      <x:c r="C2247" s="9" t="str">
        <x:v>Working-capital schedules</x:v>
      </x:c>
      <x:c r="D2247" s="15" t="str">
        <x:v>FORECASTS</x:v>
      </x:c>
      <x:c r="E2247" s="9" t="str">
        <x:v>A05</x:v>
      </x:c>
      <x:c r="F2247" s="9" t="str">
        <x:v>Operating working capital</x:v>
      </x:c>
      <x:c r="G2247" s="9" t="str">
        <x:v>Working-capital schedules forecast operating balances and their cash-flow changes.</x:v>
      </x:c>
      <x:c r="H2247" s="9" t="str"/>
      <x:c r="I2247" s="9" t="str">
        <x:v>Finance mechanism / application; authored mapping</x:v>
      </x:c>
    </x:row>
    <x:row r="2248" ht="58" customHeight="1">
      <x:c r="A2248" s="10" t="str">
        <x:v>E2243</x:v>
      </x:c>
      <x:c r="B2248" s="10" t="str">
        <x:v>T16.06</x:v>
      </x:c>
      <x:c r="C2248" s="10" t="str">
        <x:v>Fixed-asset and depreciation schedules</x:v>
      </x:c>
      <x:c r="D2248" s="14" t="str">
        <x:v>FORECASTS</x:v>
      </x:c>
      <x:c r="E2248" s="10" t="str">
        <x:v>A08</x:v>
      </x:c>
      <x:c r="F2248" s="10" t="str">
        <x:v>Depreciation</x:v>
      </x:c>
      <x:c r="G2248" s="10" t="str">
        <x:v>Fixed-asset schedules link capex, disposals and depreciation.</x:v>
      </x:c>
      <x:c r="H2248" s="10" t="str"/>
      <x:c r="I2248" s="10" t="str">
        <x:v>Finance mechanism / application; authored mapping</x:v>
      </x:c>
    </x:row>
    <x:row r="2249" ht="58" customHeight="1">
      <x:c r="A2249" s="9" t="str">
        <x:v>E2244</x:v>
      </x:c>
      <x:c r="B2249" s="9" t="str">
        <x:v>T16.07</x:v>
      </x:c>
      <x:c r="C2249" s="9" t="str">
        <x:v>Debt, interest, and cash schedules</x:v>
      </x:c>
      <x:c r="D2249" s="15" t="str">
        <x:v>FORECASTS</x:v>
      </x:c>
      <x:c r="E2249" s="9" t="str">
        <x:v>A18</x:v>
      </x:c>
      <x:c r="F2249" s="9" t="str">
        <x:v>Net borrowing</x:v>
      </x:c>
      <x:c r="G2249" s="9" t="str">
        <x:v>Debt schedules forecast debt drawdowns, repayments and interest.</x:v>
      </x:c>
      <x:c r="H2249" s="9" t="str"/>
      <x:c r="I2249" s="9" t="str">
        <x:v>Finance mechanism / application; authored mapping</x:v>
      </x:c>
    </x:row>
    <x:row r="2250" ht="58" customHeight="1">
      <x:c r="A2250" s="10" t="str">
        <x:v>E2245</x:v>
      </x:c>
      <x:c r="B2250" s="10" t="str">
        <x:v>T16.08</x:v>
      </x:c>
      <x:c r="C2250" s="10" t="str">
        <x:v>Tax and equity schedules</x:v>
      </x:c>
      <x:c r="D2250" s="14" t="str">
        <x:v>MODELS</x:v>
      </x:c>
      <x:c r="E2250" s="10" t="str">
        <x:v>T31.09</x:v>
      </x:c>
      <x:c r="F2250" s="10" t="str">
        <x:v>Deferred tax</x:v>
      </x:c>
      <x:c r="G2250" s="10" t="str">
        <x:v>Tax schedules distinguish applicable current taxes and deferred tax effects.</x:v>
      </x:c>
      <x:c r="H2250" s="10" t="str"/>
      <x:c r="I2250" s="10" t="str">
        <x:v>Finance mechanism / application; authored mapping</x:v>
      </x:c>
    </x:row>
    <x:row r="2251" ht="58" customHeight="1">
      <x:c r="A2251" s="9" t="str">
        <x:v>E2246</x:v>
      </x:c>
      <x:c r="B2251" s="9" t="str">
        <x:v>T16.09</x:v>
      </x:c>
      <x:c r="C2251" s="9" t="str">
        <x:v>Circularity and model balancing</x:v>
      </x:c>
      <x:c r="D2251" s="15" t="str">
        <x:v>ARISES_IN</x:v>
      </x:c>
      <x:c r="E2251" s="9" t="str">
        <x:v>T16.07</x:v>
      </x:c>
      <x:c r="F2251" s="9" t="str">
        <x:v>Debt, interest, and cash schedules</x:v>
      </x:c>
      <x:c r="G2251" s="9" t="str">
        <x:v>Interest and cash or debt funding can create circular model dependencies.</x:v>
      </x:c>
      <x:c r="H2251" s="9" t="str">
        <x:v>Resolve deliberately rather than silently relying on unstable iteration.</x:v>
      </x:c>
      <x:c r="I2251" s="9" t="str">
        <x:v>Finance mechanism / application; authored mapping</x:v>
      </x:c>
    </x:row>
    <x:row r="2252" ht="58" customHeight="1">
      <x:c r="A2252" s="10" t="str">
        <x:v>E2247</x:v>
      </x:c>
      <x:c r="B2252" s="10" t="str">
        <x:v>T16.10</x:v>
      </x:c>
      <x:c r="C2252" s="10" t="str">
        <x:v>Scenario and sensitivity models</x:v>
      </x:c>
      <x:c r="D2252" s="14" t="str">
        <x:v>ENABLES</x:v>
      </x:c>
      <x:c r="E2252" s="10" t="str">
        <x:v>T17.18</x:v>
      </x:c>
      <x:c r="F2252" s="10" t="str">
        <x:v>Sensitivity analysis, scenarios, and reverse DCF</x:v>
      </x:c>
      <x:c r="G2252" s="10" t="str">
        <x:v>Scenario and sensitivity models explore valuation and financing assumptions.</x:v>
      </x:c>
      <x:c r="H2252" s="10" t="str"/>
      <x:c r="I2252" s="10" t="str">
        <x:v>Finance mechanism / application; authored mapping</x:v>
      </x:c>
    </x:row>
    <x:row r="2253" ht="58" customHeight="1">
      <x:c r="A2253" s="9" t="str">
        <x:v>E2248</x:v>
      </x:c>
      <x:c r="B2253" s="9" t="str">
        <x:v>T16.12</x:v>
      </x:c>
      <x:c r="C2253" s="9" t="str">
        <x:v>Merger and acquisition models</x:v>
      </x:c>
      <x:c r="D2253" s="15" t="str">
        <x:v>APPLIED_IN</x:v>
      </x:c>
      <x:c r="E2253" s="9" t="str">
        <x:v>T26.11</x:v>
      </x:c>
      <x:c r="F2253" s="9" t="str">
        <x:v>Merger models</x:v>
      </x:c>
      <x:c r="G2253" s="9" t="str">
        <x:v>Merger modelling combines standalone forecasts, terms, financing and adjustments.</x:v>
      </x:c>
      <x:c r="H2253" s="9" t="str"/>
      <x:c r="I2253" s="9" t="str">
        <x:v>Finance mechanism / application; authored mapping</x:v>
      </x:c>
    </x:row>
    <x:row r="2254" ht="58" customHeight="1">
      <x:c r="A2254" s="10" t="str">
        <x:v>E2249</x:v>
      </x:c>
      <x:c r="B2254" s="10" t="str">
        <x:v>T16.13</x:v>
      </x:c>
      <x:c r="C2254" s="10" t="str">
        <x:v>Leveraged buyout models</x:v>
      </x:c>
      <x:c r="D2254" s="14" t="str">
        <x:v>APPLIED_IN</x:v>
      </x:c>
      <x:c r="E2254" s="10" t="str">
        <x:v>T26.14</x:v>
      </x:c>
      <x:c r="F2254" s="10" t="str">
        <x:v>Leveraged and management buyouts</x:v>
      </x:c>
      <x:c r="G2254" s="10" t="str">
        <x:v>LBO models connect purchase price, debt, operating cash flow and exit equity.</x:v>
      </x:c>
      <x:c r="H2254" s="10" t="str"/>
      <x:c r="I2254" s="10" t="str">
        <x:v>Finance mechanism / application; authored mapping</x:v>
      </x:c>
    </x:row>
    <x:row r="2255" ht="58" customHeight="1">
      <x:c r="A2255" s="9" t="str">
        <x:v>E2250</x:v>
      </x:c>
      <x:c r="B2255" s="9" t="str">
        <x:v>T16.14</x:v>
      </x:c>
      <x:c r="C2255" s="9" t="str">
        <x:v>Project finance and real estate models</x:v>
      </x:c>
      <x:c r="D2255" s="15" t="str">
        <x:v>APPLIED_IN</x:v>
      </x:c>
      <x:c r="E2255" s="9" t="str">
        <x:v>T28.14</x:v>
      </x:c>
      <x:c r="F2255" s="9" t="str">
        <x:v>Debt sizing and debt sculpting</x:v>
      </x:c>
      <x:c r="G2255" s="9" t="str">
        <x:v>Project models support debt sizing and repayment sculpting.</x:v>
      </x:c>
      <x:c r="H2255" s="9" t="str"/>
      <x:c r="I2255" s="9" t="str">
        <x:v>Finance mechanism / application; authored mapping</x:v>
      </x:c>
    </x:row>
    <x:row r="2256" ht="58" customHeight="1">
      <x:c r="A2256" s="10" t="str">
        <x:v>E2251</x:v>
      </x:c>
      <x:c r="B2256" s="10" t="str">
        <x:v>T16.16</x:v>
      </x:c>
      <x:c r="C2256" s="10" t="str">
        <x:v>Model auditing, error checks, and documentation</x:v>
      </x:c>
      <x:c r="D2256" s="14" t="str">
        <x:v>SUPPORTED_BY</x:v>
      </x:c>
      <x:c r="E2256" s="10" t="str">
        <x:v>T38.18</x:v>
      </x:c>
      <x:c r="F2256" s="10" t="str">
        <x:v>Reproducibility, model governance, and human verification</x:v>
      </x:c>
      <x:c r="G2256" s="10" t="str">
        <x:v>Reproducibility and checks support model auditability.</x:v>
      </x:c>
      <x:c r="H2256" s="10" t="str"/>
      <x:c r="I2256" s="10" t="str">
        <x:v>Finance mechanism / application; authored mapping</x:v>
      </x:c>
    </x:row>
    <x:row r="2257" ht="58" customHeight="1">
      <x:c r="A2257" s="9" t="str">
        <x:v>E2252</x:v>
      </x:c>
      <x:c r="B2257" s="9" t="str">
        <x:v>T09.04</x:v>
      </x:c>
      <x:c r="C2257" s="9" t="str">
        <x:v>Liquidity ratios</x:v>
      </x:c>
      <x:c r="D2257" s="15" t="str">
        <x:v>INFORMS</x:v>
      </x:c>
      <x:c r="E2257" s="9" t="str">
        <x:v>T14.15</x:v>
      </x:c>
      <x:c r="F2257" s="9" t="str">
        <x:v>Liquidity buffers and contingency funding</x:v>
      </x:c>
      <x:c r="G2257" s="9" t="str">
        <x:v>Liquidity ratios help assess the need for buffers and contingency funding.</x:v>
      </x:c>
      <x:c r="H2257" s="9" t="str">
        <x:v>Ratios alone do not describe cash timing or facility availability.</x:v>
      </x:c>
      <x:c r="I2257" s="9" t="str">
        <x:v>Finance mechanism / application; authored mapping</x:v>
      </x:c>
    </x:row>
    <x:row r="2258" ht="58" customHeight="1">
      <x:c r="A2258" s="10" t="str">
        <x:v>E2253</x:v>
      </x:c>
      <x:c r="B2258" s="10" t="str">
        <x:v>T09.05</x:v>
      </x:c>
      <x:c r="C2258" s="10" t="str">
        <x:v>Profitability and margin ratios</x:v>
      </x:c>
      <x:c r="D2258" s="14" t="str">
        <x:v>EXPLAINED_BY</x:v>
      </x:c>
      <x:c r="E2258" s="10" t="str">
        <x:v>T11.03</x:v>
      </x:c>
      <x:c r="F2258" s="10" t="str">
        <x:v>Contribution margin and break-even analysis</x:v>
      </x:c>
      <x:c r="G2258" s="10" t="str">
        <x:v>Margins can be decomposed using cost behaviour and contribution economics.</x:v>
      </x:c>
      <x:c r="H2258" s="10" t="str"/>
      <x:c r="I2258" s="10" t="str">
        <x:v>Finance mechanism / application; authored mapping</x:v>
      </x:c>
    </x:row>
    <x:row r="2259" ht="58" customHeight="1">
      <x:c r="A2259" s="9" t="str">
        <x:v>E2254</x:v>
      </x:c>
      <x:c r="B2259" s="9" t="str">
        <x:v>T09.06</x:v>
      </x:c>
      <x:c r="C2259" s="9" t="str">
        <x:v>Efficiency and asset-turnover ratios</x:v>
      </x:c>
      <x:c r="D2259" s="15" t="str">
        <x:v>INFORMS</x:v>
      </x:c>
      <x:c r="E2259" s="9" t="str">
        <x:v>T11.12</x:v>
      </x:c>
      <x:c r="F2259" s="9" t="str">
        <x:v>Working-capital intensity and capital intensity</x:v>
      </x:c>
      <x:c r="G2259" s="9" t="str">
        <x:v>Turnover metrics indicate the operating capital used to support sales.</x:v>
      </x:c>
      <x:c r="H2259" s="9" t="str"/>
      <x:c r="I2259" s="9" t="str">
        <x:v>Finance mechanism / application; authored mapping</x:v>
      </x:c>
    </x:row>
    <x:row r="2260" ht="58" customHeight="1">
      <x:c r="A2260" s="10" t="str">
        <x:v>E2255</x:v>
      </x:c>
      <x:c r="B2260" s="10" t="str">
        <x:v>T09.07</x:v>
      </x:c>
      <x:c r="C2260" s="10" t="str">
        <x:v>Leverage, coverage, and solvency ratios</x:v>
      </x:c>
      <x:c r="D2260" s="14" t="str">
        <x:v>INFORMS</x:v>
      </x:c>
      <x:c r="E2260" s="10" t="str">
        <x:v>T24.14</x:v>
      </x:c>
      <x:c r="F2260" s="10" t="str">
        <x:v>Covenants and debt service capacity</x:v>
      </x:c>
      <x:c r="G2260" s="10" t="str">
        <x:v>Leverage and coverage metrics inform repayment capacity and covenant analysis.</x:v>
      </x:c>
      <x:c r="H2260" s="10" t="str"/>
      <x:c r="I2260" s="10" t="str">
        <x:v>Finance mechanism / application; authored mapping</x:v>
      </x:c>
    </x:row>
    <x:row r="2261" ht="58" customHeight="1">
      <x:c r="A2261" s="9" t="str">
        <x:v>E2256</x:v>
      </x:c>
      <x:c r="B2261" s="9" t="str">
        <x:v>T09.09</x:v>
      </x:c>
      <x:c r="C2261" s="9" t="str">
        <x:v>DuPont analysis</x:v>
      </x:c>
      <x:c r="D2261" s="15" t="str">
        <x:v>DECOMPOSES</x:v>
      </x:c>
      <x:c r="E2261" s="9" t="str">
        <x:v>T09.08</x:v>
      </x:c>
      <x:c r="F2261" s="9" t="str">
        <x:v>ROA, ROE, ROCE, and ROIC</x:v>
      </x:c>
      <x:c r="G2261" s="9" t="str">
        <x:v>DuPont analysis decomposes ROE into profitability, turnover and leverage.</x:v>
      </x:c>
      <x:c r="H2261" s="9" t="str">
        <x:v>Choose a consistent three-part or extended specification.</x:v>
      </x:c>
      <x:c r="I2261" s="9" t="str">
        <x:v>Finance mechanism / application; authored mapping</x:v>
      </x:c>
    </x:row>
    <x:row r="2262" ht="58" customHeight="1">
      <x:c r="A2262" s="10" t="str">
        <x:v>E2257</x:v>
      </x:c>
      <x:c r="B2262" s="10" t="str">
        <x:v>T09.12</x:v>
      </x:c>
      <x:c r="C2262" s="10" t="str">
        <x:v>Sustainable growth and internal growth</x:v>
      </x:c>
      <x:c r="D2262" s="14" t="str">
        <x:v>USES</x:v>
      </x:c>
      <x:c r="E2262" s="10" t="str">
        <x:v>T12.13</x:v>
      </x:c>
      <x:c r="F2262" s="10" t="str">
        <x:v>Dividends and share repurchases</x:v>
      </x:c>
      <x:c r="G2262" s="10" t="str">
        <x:v>Sustainable growth links profitability, retention and financing assumptions.</x:v>
      </x:c>
      <x:c r="H2262" s="10" t="str"/>
      <x:c r="I2262" s="10" t="str">
        <x:v>Finance mechanism / application; authored mapping</x:v>
      </x:c>
    </x:row>
    <x:row r="2263" ht="58" customHeight="1">
      <x:c r="A2263" s="9" t="str">
        <x:v>E2258</x:v>
      </x:c>
      <x:c r="B2263" s="9" t="str">
        <x:v>T09.16</x:v>
      </x:c>
      <x:c r="C2263" s="9" t="str">
        <x:v>Normalising financial statements</x:v>
      </x:c>
      <x:c r="D2263" s="15" t="str">
        <x:v>SUPPORTS</x:v>
      </x:c>
      <x:c r="E2263" s="9" t="str">
        <x:v>T18.07</x:v>
      </x:c>
      <x:c r="F2263" s="9" t="str">
        <x:v>Normalising earnings and accounting differences</x:v>
      </x:c>
      <x:c r="G2263" s="9" t="str">
        <x:v>Normalisation supports comparable valuation denominators.</x:v>
      </x:c>
      <x:c r="H2263" s="9" t="str"/>
      <x:c r="I2263" s="9" t="str">
        <x:v>Finance mechanism / application; authored mapping</x:v>
      </x:c>
    </x:row>
    <x:row r="2264" ht="58" customHeight="1">
      <x:c r="A2264" s="10" t="str">
        <x:v>E2259</x:v>
      </x:c>
      <x:c r="B2264" s="10" t="str">
        <x:v>T09.17</x:v>
      </x:c>
      <x:c r="C2264" s="10" t="str">
        <x:v>Seasonality, cyclicality, and base effects</x:v>
      </x:c>
      <x:c r="D2264" s="14" t="str">
        <x:v>QUALIFIES</x:v>
      </x:c>
      <x:c r="E2264" s="10" t="str">
        <x:v>T18.14</x:v>
      </x:c>
      <x:c r="F2264" s="10" t="str">
        <x:v>Cyclical, commodity, and distressed-company valuation</x:v>
      </x:c>
      <x:c r="G2264" s="10" t="str">
        <x:v>Cyclical peaks and troughs affect earnings and valuation comparisons.</x:v>
      </x:c>
      <x:c r="H2264" s="10" t="str"/>
      <x:c r="I2264" s="10" t="str">
        <x:v>Finance mechanism / application; authored mapping</x:v>
      </x:c>
    </x:row>
    <x:row r="2265" ht="58" customHeight="1">
      <x:c r="A2265" s="9" t="str">
        <x:v>E2260</x:v>
      </x:c>
      <x:c r="B2265" s="9" t="str">
        <x:v>T10.02</x:v>
      </x:c>
      <x:c r="C2265" s="9" t="str">
        <x:v>Aggressive revenue recognition</x:v>
      </x:c>
      <x:c r="D2265" s="15" t="str">
        <x:v>TESTS</x:v>
      </x:c>
      <x:c r="E2265" s="9" t="str">
        <x:v>T04.06</x:v>
      </x:c>
      <x:c r="F2265" s="9" t="str">
        <x:v>Revenue recognition and expense recognition</x:v>
      </x:c>
      <x:c r="G2265" s="9" t="str">
        <x:v>Revenue-quality analysis tests whether recognition reflects applicable criteria.</x:v>
      </x:c>
      <x:c r="H2265" s="9" t="str"/>
      <x:c r="I2265" s="9" t="str">
        <x:v>Finance mechanism / application; authored mapping</x:v>
      </x:c>
    </x:row>
    <x:row r="2266" ht="58" customHeight="1">
      <x:c r="A2266" s="10" t="str">
        <x:v>E2261</x:v>
      </x:c>
      <x:c r="B2266" s="10" t="str">
        <x:v>T10.04</x:v>
      </x:c>
      <x:c r="C2266" s="10" t="str">
        <x:v>Expense deferral and improper capitalisation</x:v>
      </x:c>
      <x:c r="D2266" s="14" t="str">
        <x:v>TESTS</x:v>
      </x:c>
      <x:c r="E2266" s="10" t="str">
        <x:v>T04.09</x:v>
      </x:c>
      <x:c r="F2266" s="10" t="str">
        <x:v>Capitalisation versus immediate expensing</x:v>
      </x:c>
      <x:c r="G2266" s="10" t="str">
        <x:v>Forensic analysis tests whether capitalisation improperly delays expense.</x:v>
      </x:c>
      <x:c r="H2266" s="10" t="str"/>
      <x:c r="I2266" s="10" t="str">
        <x:v>Finance mechanism / application; authored mapping</x:v>
      </x:c>
    </x:row>
    <x:row r="2267" ht="58" customHeight="1">
      <x:c r="A2267" s="9" t="str">
        <x:v>E2262</x:v>
      </x:c>
      <x:c r="B2267" s="9" t="str">
        <x:v>T10.05</x:v>
      </x:c>
      <x:c r="C2267" s="9" t="str">
        <x:v>Provision manipulation and reserve releases</x:v>
      </x:c>
      <x:c r="D2267" s="15" t="str">
        <x:v>TESTS</x:v>
      </x:c>
      <x:c r="E2267" s="9" t="str">
        <x:v>T06.17</x:v>
      </x:c>
      <x:c r="F2267" s="9" t="str">
        <x:v>Provisions, pension obligations, and employee benefits</x:v>
      </x:c>
      <x:c r="G2267" s="9" t="str">
        <x:v>Provision and reserve movements can affect reported earnings.</x:v>
      </x:c>
      <x:c r="H2267" s="9" t="str"/>
      <x:c r="I2267" s="9" t="str">
        <x:v>Finance mechanism / application; authored mapping</x:v>
      </x:c>
    </x:row>
    <x:row r="2268" ht="58" customHeight="1">
      <x:c r="A2268" s="10" t="str">
        <x:v>E2263</x:v>
      </x:c>
      <x:c r="B2268" s="10" t="str">
        <x:v>T10.06</x:v>
      </x:c>
      <x:c r="C2268" s="10" t="str">
        <x:v>Accrual quality</x:v>
      </x:c>
      <x:c r="D2268" s="14" t="str">
        <x:v>TESTS</x:v>
      </x:c>
      <x:c r="E2268" s="10" t="str">
        <x:v>T07.03</x:v>
      </x:c>
      <x:c r="F2268" s="10" t="str">
        <x:v>Reconciling profit to operating cash flow</x:v>
      </x:c>
      <x:c r="G2268" s="10" t="str">
        <x:v>Accrual quality is assessed partly by reconciling earnings to operating cash.</x:v>
      </x:c>
      <x:c r="H2268" s="10" t="str"/>
      <x:c r="I2268" s="10" t="str">
        <x:v>Finance mechanism / application; authored mapping</x:v>
      </x:c>
    </x:row>
    <x:row r="2269" ht="58" customHeight="1">
      <x:c r="A2269" s="9" t="str">
        <x:v>E2264</x:v>
      </x:c>
      <x:c r="B2269" s="9" t="str">
        <x:v>T10.07</x:v>
      </x:c>
      <x:c r="C2269" s="9" t="str">
        <x:v>Receivables and inventory warning signs</x:v>
      </x:c>
      <x:c r="D2269" s="15" t="str">
        <x:v>TESTS</x:v>
      </x:c>
      <x:c r="E2269" s="9" t="str">
        <x:v>A02</x:v>
      </x:c>
      <x:c r="F2269" s="9" t="str">
        <x:v>Trade receivables</x:v>
      </x:c>
      <x:c r="G2269" s="9" t="str">
        <x:v>Unusual receivables can signal collection, recognition or credit problems.</x:v>
      </x:c>
      <x:c r="H2269" s="9" t="str">
        <x:v>A warning sign is a prompt for investigation, not proof of fraud.</x:v>
      </x:c>
      <x:c r="I2269" s="9" t="str">
        <x:v>Finance mechanism / application; authored mapping</x:v>
      </x:c>
    </x:row>
    <x:row r="2270" ht="58" customHeight="1">
      <x:c r="A2270" s="10" t="str">
        <x:v>E2265</x:v>
      </x:c>
      <x:c r="B2270" s="10" t="str">
        <x:v>T10.07</x:v>
      </x:c>
      <x:c r="C2270" s="10" t="str">
        <x:v>Receivables and inventory warning signs</x:v>
      </x:c>
      <x:c r="D2270" s="14" t="str">
        <x:v>TESTS</x:v>
      </x:c>
      <x:c r="E2270" s="10" t="str">
        <x:v>A03</x:v>
      </x:c>
      <x:c r="F2270" s="10" t="str">
        <x:v>Inventory</x:v>
      </x:c>
      <x:c r="G2270" s="10" t="str">
        <x:v>Unusual inventory may indicate demand, costing or write-down problems.</x:v>
      </x:c>
      <x:c r="H2270" s="10" t="str"/>
      <x:c r="I2270" s="10" t="str">
        <x:v>Finance mechanism / application; authored mapping</x:v>
      </x:c>
    </x:row>
    <x:row r="2271" ht="58" customHeight="1">
      <x:c r="A2271" s="9" t="str">
        <x:v>E2266</x:v>
      </x:c>
      <x:c r="B2271" s="9" t="str">
        <x:v>T10.08</x:v>
      </x:c>
      <x:c r="C2271" s="9" t="str">
        <x:v>Cash-flow classification manipulation</x:v>
      </x:c>
      <x:c r="D2271" s="15" t="str">
        <x:v>TESTS</x:v>
      </x:c>
      <x:c r="E2271" s="9" t="str">
        <x:v>T07.10</x:v>
      </x:c>
      <x:c r="F2271" s="9" t="str">
        <x:v>Interest and dividend classifications across reporting frameworks</x:v>
      </x:c>
      <x:c r="G2271" s="9" t="str">
        <x:v>Classification choices can change presented operating cash flow.</x:v>
      </x:c>
      <x:c r="H2271" s="9" t="str">
        <x:v>Distinguish permitted framework differences from manipulation.</x:v>
      </x:c>
      <x:c r="I2271" s="9" t="str">
        <x:v>Finance mechanism / application; authored mapping</x:v>
      </x:c>
    </x:row>
    <x:row r="2272" ht="58" customHeight="1">
      <x:c r="A2272" s="10" t="str">
        <x:v>E2267</x:v>
      </x:c>
      <x:c r="B2272" s="10" t="str">
        <x:v>T10.10</x:v>
      </x:c>
      <x:c r="C2272" s="10" t="str">
        <x:v>Hidden leverage and guarantees</x:v>
      </x:c>
      <x:c r="D2272" s="14" t="str">
        <x:v>TESTS</x:v>
      </x:c>
      <x:c r="E2272" s="10" t="str">
        <x:v>T06.20</x:v>
      </x:c>
      <x:c r="F2272" s="10" t="str">
        <x:v>Contingent liabilities, guarantees, and off-balance-sheet commitments</x:v>
      </x:c>
      <x:c r="G2272" s="10" t="str">
        <x:v>Guarantees and commitments can create exposure beyond recorded debt.</x:v>
      </x:c>
      <x:c r="H2272" s="10" t="str"/>
      <x:c r="I2272" s="10" t="str">
        <x:v>Finance mechanism / application; authored mapping</x:v>
      </x:c>
    </x:row>
    <x:row r="2273" ht="58" customHeight="1">
      <x:c r="A2273" s="9" t="str">
        <x:v>E2268</x:v>
      </x:c>
      <x:c r="B2273" s="9" t="str">
        <x:v>T10.11</x:v>
      </x:c>
      <x:c r="C2273" s="9" t="str">
        <x:v>Auditor opinions, qualifications, and emphasis-of-matter paragraphs</x:v>
      </x:c>
      <x:c r="D2273" s="15" t="str">
        <x:v>INFORMS</x:v>
      </x:c>
      <x:c r="E2273" s="9" t="str">
        <x:v>T10.12</x:v>
      </x:c>
      <x:c r="F2273" s="9" t="str">
        <x:v>Restatements and internal-control weaknesses</x:v>
      </x:c>
      <x:c r="G2273" s="9" t="str">
        <x:v>Auditor findings can reveal weaknesses, uncertainty or reporting qualifications.</x:v>
      </x:c>
      <x:c r="H2273" s="9" t="str"/>
      <x:c r="I2273" s="9" t="str">
        <x:v>Finance mechanism / application; authored mapping</x:v>
      </x:c>
    </x:row>
    <x:row r="2274" ht="58" customHeight="1">
      <x:c r="A2274" s="10" t="str">
        <x:v>E2269</x:v>
      </x:c>
      <x:c r="B2274" s="10" t="str">
        <x:v>T10.15</x:v>
      </x:c>
      <x:c r="C2274" s="10" t="str">
        <x:v>Financial footnote investigation</x:v>
      </x:c>
      <x:c r="D2274" s="14" t="str">
        <x:v>USES</x:v>
      </x:c>
      <x:c r="E2274" s="10" t="str">
        <x:v>T04.16</x:v>
      </x:c>
      <x:c r="F2274" s="10" t="str">
        <x:v>Annual reports, interim reports, and regulatory filings</x:v>
      </x:c>
      <x:c r="G2274" s="10" t="str">
        <x:v>Footnote investigation uses annual reports and other filings.</x:v>
      </x:c>
      <x:c r="H2274" s="10" t="str"/>
      <x:c r="I2274" s="10" t="str">
        <x:v>Finance mechanism / application; authored mapping</x:v>
      </x:c>
    </x:row>
    <x:row r="2275" ht="58" customHeight="1">
      <x:c r="A2275" s="9" t="str">
        <x:v>E2270</x:v>
      </x:c>
      <x:c r="B2275" s="9" t="str">
        <x:v>T19.03</x:v>
      </x:c>
      <x:c r="C2275" s="9" t="str">
        <x:v>IPOs, follow-on offerings, rights issues, and private placements</x:v>
      </x:c>
      <x:c r="D2275" s="15" t="str">
        <x:v>EXIT_ROUTE</x:v>
      </x:c>
      <x:c r="E2275" s="9" t="str">
        <x:v>T27.17</x:v>
      </x:c>
      <x:c r="F2275" s="9" t="str">
        <x:v>Exit routes and exit waterfalls</x:v>
      </x:c>
      <x:c r="G2275" s="9" t="str">
        <x:v>An IPO can provide a startup or private investor exit route.</x:v>
      </x:c>
      <x:c r="H2275" s="9" t="str">
        <x:v>Lockups and retained ownership can limit immediate liquidity.</x:v>
      </x:c>
      <x:c r="I2275" s="9" t="str">
        <x:v>Finance mechanism / application; authored mapping</x:v>
      </x:c>
    </x:row>
    <x:row r="2276" ht="58" customHeight="1">
      <x:c r="A2276" s="10" t="str">
        <x:v>E2271</x:v>
      </x:c>
      <x:c r="B2276" s="10" t="str">
        <x:v>T19.04</x:v>
      </x:c>
      <x:c r="C2276" s="10" t="str">
        <x:v>Stock exchanges, indices, and market capitalisation</x:v>
      </x:c>
      <x:c r="D2276" s="14" t="str">
        <x:v>OPERATES_THROUGH</x:v>
      </x:c>
      <x:c r="E2276" s="10" t="str">
        <x:v>T34.01</x:v>
      </x:c>
      <x:c r="F2276" s="10" t="str">
        <x:v>Exchanges, brokers, dealers, and market makers</x:v>
      </x:c>
      <x:c r="G2276" s="10" t="str">
        <x:v>Equity markets operate through exchanges and intermediaries.</x:v>
      </x:c>
      <x:c r="H2276" s="10" t="str"/>
      <x:c r="I2276" s="10" t="str">
        <x:v>Finance mechanism / application; authored mapping</x:v>
      </x:c>
    </x:row>
    <x:row r="2277" ht="58" customHeight="1">
      <x:c r="A2277" s="9" t="str">
        <x:v>E2272</x:v>
      </x:c>
      <x:c r="B2277" s="9" t="str">
        <x:v>T19.05</x:v>
      </x:c>
      <x:c r="C2277" s="9" t="str">
        <x:v>Free float and index construction</x:v>
      </x:c>
      <x:c r="D2277" s="15" t="str">
        <x:v>AFFECTS</x:v>
      </x:c>
      <x:c r="E2277" s="9" t="str">
        <x:v>T22.11</x:v>
      </x:c>
      <x:c r="F2277" s="9" t="str">
        <x:v>Indexing, tracking error, and active share</x:v>
      </x:c>
      <x:c r="G2277" s="9" t="str">
        <x:v>Index membership and weights affect index-tracking portfolios.</x:v>
      </x:c>
      <x:c r="H2277" s="9" t="str"/>
      <x:c r="I2277" s="9" t="str">
        <x:v>Finance mechanism / application; authored mapping</x:v>
      </x:c>
    </x:row>
    <x:row r="2278" ht="58" customHeight="1">
      <x:c r="A2278" s="10" t="str">
        <x:v>E2273</x:v>
      </x:c>
      <x:c r="B2278" s="10" t="str">
        <x:v>T19.07</x:v>
      </x:c>
      <x:c r="C2278" s="10" t="str">
        <x:v>Order types and execution basics</x:v>
      </x:c>
      <x:c r="D2278" s="14" t="str">
        <x:v>EXECUTED_IN</x:v>
      </x:c>
      <x:c r="E2278" s="10" t="str">
        <x:v>T34.04</x:v>
      </x:c>
      <x:c r="F2278" s="10" t="str">
        <x:v>Order books, spreads, depth, and liquidity</x:v>
      </x:c>
      <x:c r="G2278" s="10" t="str">
        <x:v>Order choices interact with the order book, spreads and liquidity.</x:v>
      </x:c>
      <x:c r="H2278" s="10" t="str"/>
      <x:c r="I2278" s="10" t="str">
        <x:v>Finance mechanism / application; authored mapping</x:v>
      </x:c>
    </x:row>
    <x:row r="2279" ht="58" customHeight="1">
      <x:c r="A2279" s="9" t="str">
        <x:v>E2274</x:v>
      </x:c>
      <x:c r="B2279" s="9" t="str">
        <x:v>T19.08</x:v>
      </x:c>
      <x:c r="C2279" s="9" t="str">
        <x:v>Margin trading and short selling</x:v>
      </x:c>
      <x:c r="D2279" s="15" t="str">
        <x:v>USES</x:v>
      </x:c>
      <x:c r="E2279" s="9" t="str">
        <x:v>T19.09</x:v>
      </x:c>
      <x:c r="F2279" s="9" t="str">
        <x:v>Securities lending</x:v>
      </x:c>
      <x:c r="G2279" s="9" t="str">
        <x:v>Short selling commonly requires borrowing securities.</x:v>
      </x:c>
      <x:c r="H2279" s="9" t="str">
        <x:v>Rules, borrow availability and margin requirements vary.</x:v>
      </x:c>
      <x:c r="I2279" s="9" t="str">
        <x:v>Finance mechanism / application; authored mapping</x:v>
      </x:c>
    </x:row>
    <x:row r="2280" ht="58" customHeight="1">
      <x:c r="A2280" s="10" t="str">
        <x:v>E2275</x:v>
      </x:c>
      <x:c r="B2280" s="10" t="str">
        <x:v>T19.10</x:v>
      </x:c>
      <x:c r="C2280" s="10" t="str">
        <x:v>Fundamental analysis</x:v>
      </x:c>
      <x:c r="D2280" s="14" t="str">
        <x:v>USES</x:v>
      </x:c>
      <x:c r="E2280" s="10" t="str">
        <x:v>T09.15</x:v>
      </x:c>
      <x:c r="F2280" s="10" t="str">
        <x:v>Peer benchmarking and industry-specific ratios</x:v>
      </x:c>
      <x:c r="G2280" s="10" t="str">
        <x:v>Fundamental analysis uses statement analysis and peer context.</x:v>
      </x:c>
      <x:c r="H2280" s="10" t="str"/>
      <x:c r="I2280" s="10" t="str">
        <x:v>Finance mechanism / application; authored mapping</x:v>
      </x:c>
    </x:row>
    <x:row r="2281" ht="58" customHeight="1">
      <x:c r="A2281" s="9" t="str">
        <x:v>E2276</x:v>
      </x:c>
      <x:c r="B2281" s="9" t="str">
        <x:v>T19.11</x:v>
      </x:c>
      <x:c r="C2281" s="9" t="str">
        <x:v>Industry analysis and competitive advantage</x:v>
      </x:c>
      <x:c r="D2281" s="15" t="str">
        <x:v>INFORMS</x:v>
      </x:c>
      <x:c r="E2281" s="9" t="str">
        <x:v>T17.10</x:v>
      </x:c>
      <x:c r="F2281" s="9" t="str">
        <x:v>Forecast horizons and competitive advantage periods</x:v>
      </x:c>
      <x:c r="G2281" s="9" t="str">
        <x:v>Competitive advantage helps assess the duration of excess operating returns.</x:v>
      </x:c>
      <x:c r="H2281" s="9" t="str"/>
      <x:c r="I2281" s="9" t="str">
        <x:v>Finance mechanism / application; authored mapping</x:v>
      </x:c>
    </x:row>
    <x:row r="2282" ht="58" customHeight="1">
      <x:c r="A2282" s="10" t="str">
        <x:v>E2277</x:v>
      </x:c>
      <x:c r="B2282" s="10" t="str">
        <x:v>T19.12</x:v>
      </x:c>
      <x:c r="C2282" s="10" t="str">
        <x:v>Investment theses, catalysts, and risk factors</x:v>
      </x:c>
      <x:c r="D2282" s="14" t="str">
        <x:v>TESTED_BY</x:v>
      </x:c>
      <x:c r="E2282" s="10" t="str">
        <x:v>T40.18</x:v>
      </x:c>
      <x:c r="F2282" s="10" t="str">
        <x:v>Comparing an investment thesis with the outcome</x:v>
      </x:c>
      <x:c r="G2282" s="10" t="str">
        <x:v>Investment theses should be compared with subsequent evidence and outcomes.</x:v>
      </x:c>
      <x:c r="H2282" s="10" t="str"/>
      <x:c r="I2282" s="10" t="str">
        <x:v>Finance mechanism / application; authored mapping</x:v>
      </x:c>
    </x:row>
    <x:row r="2283" ht="58" customHeight="1">
      <x:c r="A2283" s="9" t="str">
        <x:v>E2278</x:v>
      </x:c>
      <x:c r="B2283" s="9" t="str">
        <x:v>T19.17</x:v>
      </x:c>
      <x:c r="C2283" s="9" t="str">
        <x:v>Shareholding patterns and promoter pledging</x:v>
      </x:c>
      <x:c r="D2283" s="15" t="str">
        <x:v>INFORMS</x:v>
      </x:c>
      <x:c r="E2283" s="9" t="str">
        <x:v>T25.04</x:v>
      </x:c>
      <x:c r="F2283" s="9" t="str">
        <x:v>Concentration and contagion risk</x:v>
      </x:c>
      <x:c r="G2283" s="9" t="str">
        <x:v>Ownership concentration and pledged shares can introduce specific governance or financing risks.</x:v>
      </x:c>
      <x:c r="H2283" s="9" t="str"/>
      <x:c r="I2283" s="9" t="str">
        <x:v>Finance mechanism / application; authored mapping</x:v>
      </x:c>
    </x:row>
    <x:row r="2284" ht="58" customHeight="1">
      <x:c r="A2284" s="10" t="str">
        <x:v>E2279</x:v>
      </x:c>
      <x:c r="B2284" s="10" t="str">
        <x:v>T20.03</x:v>
      </x:c>
      <x:c r="C2284" s="10" t="str">
        <x:v>Coupon structures and payment conventions</x:v>
      </x:c>
      <x:c r="D2284" s="14" t="str">
        <x:v>CALCULATION_INPUT</x:v>
      </x:c>
      <x:c r="E2284" s="10" t="str">
        <x:v>T20.05</x:v>
      </x:c>
      <x:c r="F2284" s="10" t="str">
        <x:v>Bond pricing</x:v>
      </x:c>
      <x:c r="G2284" s="10" t="str">
        <x:v>Coupon and principal conventions define bond cash flows.</x:v>
      </x:c>
      <x:c r="H2284" s="10" t="str"/>
      <x:c r="I2284" s="10" t="str">
        <x:v>Finance mechanism / application; authored mapping</x:v>
      </x:c>
    </x:row>
    <x:row r="2285" ht="58" customHeight="1">
      <x:c r="A2285" s="9" t="str">
        <x:v>E2280</x:v>
      </x:c>
      <x:c r="B2285" s="9" t="str">
        <x:v>T03.01</x:v>
      </x:c>
      <x:c r="C2285" s="9" t="str">
        <x:v>Present value and future value</x:v>
      </x:c>
      <x:c r="D2285" s="15" t="str">
        <x:v>CALCULATION_TOOL</x:v>
      </x:c>
      <x:c r="E2285" s="9" t="str">
        <x:v>T20.05</x:v>
      </x:c>
      <x:c r="F2285" s="9" t="str">
        <x:v>Bond pricing</x:v>
      </x:c>
      <x:c r="G2285" s="9" t="str">
        <x:v>Present-value calculations provide the basic bond-pricing framework.</x:v>
      </x:c>
      <x:c r="H2285" s="9" t="str"/>
      <x:c r="I2285" s="9" t="str">
        <x:v>Finance mechanism / application; authored mapping</x:v>
      </x:c>
    </x:row>
    <x:row r="2286" ht="58" customHeight="1">
      <x:c r="A2286" s="10" t="str">
        <x:v>E2281</x:v>
      </x:c>
      <x:c r="B2286" s="10" t="str">
        <x:v>T20.07</x:v>
      </x:c>
      <x:c r="C2286" s="10" t="str">
        <x:v>Spot rates, forward rates, and par yields</x:v>
      </x:c>
      <x:c r="D2286" s="14" t="str">
        <x:v>DISCOUNTS</x:v>
      </x:c>
      <x:c r="E2286" s="10" t="str">
        <x:v>T20.05</x:v>
      </x:c>
      <x:c r="F2286" s="10" t="str">
        <x:v>Bond pricing</x:v>
      </x:c>
      <x:c r="G2286" s="10" t="str">
        <x:v>A matching spot curve discounts each bond cash flow separately.</x:v>
      </x:c>
      <x:c r="H2286" s="10" t="str"/>
      <x:c r="I2286" s="10" t="str">
        <x:v>Finance mechanism / application; authored mapping</x:v>
      </x:c>
    </x:row>
    <x:row r="2287" ht="58" customHeight="1">
      <x:c r="A2287" s="9" t="str">
        <x:v>E2282</x:v>
      </x:c>
      <x:c r="B2287" s="9" t="str">
        <x:v>T20.08</x:v>
      </x:c>
      <x:c r="C2287" s="9" t="str">
        <x:v>Yield curves and term-structure theories</x:v>
      </x:c>
      <x:c r="D2287" s="15" t="str">
        <x:v>ESTIMATED_WITH</x:v>
      </x:c>
      <x:c r="E2287" s="9" t="str">
        <x:v>T20.09</x:v>
      </x:c>
      <x:c r="F2287" s="9" t="str">
        <x:v>Bootstrapping discount curves</x:v>
      </x:c>
      <x:c r="G2287" s="9" t="str">
        <x:v>Bootstrapping infers discount factors from suitable instrument prices.</x:v>
      </x:c>
      <x:c r="H2287" s="9" t="str"/>
      <x:c r="I2287" s="9" t="str">
        <x:v>Finance mechanism / application; authored mapping</x:v>
      </x:c>
    </x:row>
    <x:row r="2288" ht="58" customHeight="1">
      <x:c r="A2288" s="10" t="str">
        <x:v>E2283</x:v>
      </x:c>
      <x:c r="B2288" s="10" t="str">
        <x:v>T20.10</x:v>
      </x:c>
      <x:c r="C2288" s="10" t="str">
        <x:v>Duration, modified duration, and effective duration</x:v>
      </x:c>
      <x:c r="D2288" s="14" t="str">
        <x:v>MEASURES_SENSITIVITY</x:v>
      </x:c>
      <x:c r="E2288" s="10" t="str">
        <x:v>T20.05</x:v>
      </x:c>
      <x:c r="F2288" s="10" t="str">
        <x:v>Bond pricing</x:v>
      </x:c>
      <x:c r="G2288" s="10" t="str">
        <x:v>Duration measures local bond-price sensitivity to a specified yield change.</x:v>
      </x:c>
      <x:c r="H2288" s="10" t="str">
        <x:v>Effective duration accounts for cash-flow changes where relevant.</x:v>
      </x:c>
      <x:c r="I2288" s="10" t="str">
        <x:v>Finance mechanism / application; authored mapping</x:v>
      </x:c>
    </x:row>
    <x:row r="2289" ht="58" customHeight="1">
      <x:c r="A2289" s="9" t="str">
        <x:v>E2284</x:v>
      </x:c>
      <x:c r="B2289" s="9" t="str">
        <x:v>T20.11</x:v>
      </x:c>
      <x:c r="C2289" s="9" t="str">
        <x:v>Convexity and key-rate duration</x:v>
      </x:c>
      <x:c r="D2289" s="15" t="str">
        <x:v>REFINES</x:v>
      </x:c>
      <x:c r="E2289" s="9" t="str">
        <x:v>T20.10</x:v>
      </x:c>
      <x:c r="F2289" s="9" t="str">
        <x:v>Duration, modified duration, and effective duration</x:v>
      </x:c>
      <x:c r="G2289" s="9" t="str">
        <x:v>Convexity supplements first-order duration estimates.</x:v>
      </x:c>
      <x:c r="H2289" s="9" t="str"/>
      <x:c r="I2289" s="9" t="str">
        <x:v>Finance mechanism / application; authored mapping</x:v>
      </x:c>
    </x:row>
    <x:row r="2290" ht="58" customHeight="1">
      <x:c r="A2290" s="10" t="str">
        <x:v>E2285</x:v>
      </x:c>
      <x:c r="B2290" s="10" t="str">
        <x:v>T20.12</x:v>
      </x:c>
      <x:c r="C2290" s="10" t="str">
        <x:v>Credit spreads and spread duration</x:v>
      </x:c>
      <x:c r="D2290" s="14" t="str">
        <x:v>REFLECTS_PARTLY</x:v>
      </x:c>
      <x:c r="E2290" s="10" t="str">
        <x:v>T24.11</x:v>
      </x:c>
      <x:c r="F2290" s="10" t="str">
        <x:v>Credit ratings and credit scoring</x:v>
      </x:c>
      <x:c r="G2290" s="10" t="str">
        <x:v>Credit spreads reflect default risk along with liquidity and other premiums.</x:v>
      </x:c>
      <x:c r="H2290" s="10" t="str">
        <x:v>A spread is not a pure probability-of-default estimate.</x:v>
      </x:c>
      <x:c r="I2290" s="10" t="str">
        <x:v>Finance mechanism / application; authored mapping</x:v>
      </x:c>
    </x:row>
    <x:row r="2291" ht="58" customHeight="1">
      <x:c r="A2291" s="9" t="str">
        <x:v>E2286</x:v>
      </x:c>
      <x:c r="B2291" s="9" t="str">
        <x:v>T20.13</x:v>
      </x:c>
      <x:c r="C2291" s="9" t="str">
        <x:v>Floating-rate notes</x:v>
      </x:c>
      <x:c r="D2291" s="15" t="str">
        <x:v>RESPONDS_TO</x:v>
      </x:c>
      <x:c r="E2291" s="9" t="str">
        <x:v>T32.06</x:v>
      </x:c>
      <x:c r="F2291" s="9" t="str">
        <x:v>Policy rates, reserve requirements, and open-market operations</x:v>
      </x:c>
      <x:c r="G2291" s="9" t="str">
        <x:v>Floating coupons reset against specified reference-rate conventions.</x:v>
      </x:c>
      <x:c r="H2291" s="9" t="str"/>
      <x:c r="I2291" s="9" t="str">
        <x:v>Finance mechanism / application; authored mapping</x:v>
      </x:c>
    </x:row>
    <x:row r="2292" ht="58" customHeight="1">
      <x:c r="A2292" s="10" t="str">
        <x:v>E2287</x:v>
      </x:c>
      <x:c r="B2292" s="10" t="str">
        <x:v>T20.14</x:v>
      </x:c>
      <x:c r="C2292" s="10" t="str">
        <x:v>Callable, puttable, and convertible bonds</x:v>
      </x:c>
      <x:c r="D2292" s="14" t="str">
        <x:v>EMBEDS</x:v>
      </x:c>
      <x:c r="E2292" s="10" t="str">
        <x:v>T21.02</x:v>
      </x:c>
      <x:c r="F2292" s="10" t="str">
        <x:v>Options: calls and puts</x:v>
      </x:c>
      <x:c r="G2292" s="10" t="str">
        <x:v>Callable, puttable and convertible bonds contain option-like features.</x:v>
      </x:c>
      <x:c r="H2292" s="10" t="str"/>
      <x:c r="I2292" s="10" t="str">
        <x:v>Finance mechanism / application; authored mapping</x:v>
      </x:c>
    </x:row>
    <x:row r="2293" ht="58" customHeight="1">
      <x:c r="A2293" s="9" t="str">
        <x:v>E2288</x:v>
      </x:c>
      <x:c r="B2293" s="9" t="str">
        <x:v>T20.15</x:v>
      </x:c>
      <x:c r="C2293" s="9" t="str">
        <x:v>Default, recovery, and bond covenants</x:v>
      </x:c>
      <x:c r="D2293" s="15" t="str">
        <x:v>USES</x:v>
      </x:c>
      <x:c r="E2293" s="9" t="str">
        <x:v>T24.13</x:v>
      </x:c>
      <x:c r="F2293" s="9" t="str">
        <x:v>Collateral, guarantees, and security structures</x:v>
      </x:c>
      <x:c r="G2293" s="9" t="str">
        <x:v>Collateral, seniority and covenants affect credit protection and recovery.</x:v>
      </x:c>
      <x:c r="H2293" s="9" t="str"/>
      <x:c r="I2293" s="9" t="str">
        <x:v>Finance mechanism / application; authored mapping</x:v>
      </x:c>
    </x:row>
    <x:row r="2294" ht="58" customHeight="1">
      <x:c r="A2294" s="10" t="str">
        <x:v>E2289</x:v>
      </x:c>
      <x:c r="B2294" s="10" t="str">
        <x:v>T20.16</x:v>
      </x:c>
      <x:c r="C2294" s="10" t="str">
        <x:v>Bond portfolio strategies, ladders, and immunisation</x:v>
      </x:c>
      <x:c r="D2294" s="14" t="str">
        <x:v>IMPLEMENTS</x:v>
      </x:c>
      <x:c r="E2294" s="10" t="str">
        <x:v>T22.18</x:v>
      </x:c>
      <x:c r="F2294" s="10" t="str">
        <x:v>Liability-driven and goals-based investing</x:v>
      </x:c>
      <x:c r="G2294" s="10" t="str">
        <x:v>Immunisation and bond ladders can support liability-oriented portfolios.</x:v>
      </x:c>
      <x:c r="H2294" s="10" t="str">
        <x:v>Immunisation assumptions and rebalancing needs must be explicit.</x:v>
      </x:c>
      <x:c r="I2294" s="10" t="str">
        <x:v>Finance mechanism / application; authored mapping</x:v>
      </x:c>
    </x:row>
    <x:row r="2295" ht="58" customHeight="1">
      <x:c r="A2295" s="9" t="str">
        <x:v>E2290</x:v>
      </x:c>
      <x:c r="B2295" s="9" t="str">
        <x:v>T21.01</x:v>
      </x:c>
      <x:c r="C2295" s="9" t="str">
        <x:v>Forwards and futures</x:v>
      </x:c>
      <x:c r="D2295" s="15" t="str">
        <x:v>HEDGES</x:v>
      </x:c>
      <x:c r="E2295" s="9" t="str">
        <x:v>T33.08</x:v>
      </x:c>
      <x:c r="F2295" s="9" t="str">
        <x:v>Currency hedging</x:v>
      </x:c>
      <x:c r="G2295" s="9" t="str">
        <x:v>Currency forwards and futures can hedge specified currency exposures.</x:v>
      </x:c>
      <x:c r="H2295" s="9" t="str">
        <x:v>Basis, timing and counterparty constraints remain.</x:v>
      </x:c>
      <x:c r="I2295" s="9" t="str">
        <x:v>Finance mechanism / application; authored mapping</x:v>
      </x:c>
    </x:row>
    <x:row r="2296" ht="58" customHeight="1">
      <x:c r="A2296" s="10" t="str">
        <x:v>E2291</x:v>
      </x:c>
      <x:c r="B2296" s="10" t="str">
        <x:v>T21.02</x:v>
      </x:c>
      <x:c r="C2296" s="10" t="str">
        <x:v>Options: calls and puts</x:v>
      </x:c>
      <x:c r="D2296" s="14" t="str">
        <x:v>REPRESENTED_BY</x:v>
      </x:c>
      <x:c r="E2296" s="10" t="str">
        <x:v>T21.03</x:v>
      </x:c>
      <x:c r="F2296" s="10" t="str">
        <x:v>Payoff versus profit diagrams</x:v>
      </x:c>
      <x:c r="G2296" s="10" t="str">
        <x:v>Option positions can be represented through payoff and profit diagrams.</x:v>
      </x:c>
      <x:c r="H2296" s="10" t="str">
        <x:v>Profit includes premium and other relevant costs.</x:v>
      </x:c>
      <x:c r="I2296" s="10" t="str">
        <x:v>Finance mechanism / application; authored mapping</x:v>
      </x:c>
    </x:row>
    <x:row r="2297" ht="58" customHeight="1">
      <x:c r="A2297" s="9" t="str">
        <x:v>E2292</x:v>
      </x:c>
      <x:c r="B2297" s="9" t="str">
        <x:v>T21.04</x:v>
      </x:c>
      <x:c r="C2297" s="9" t="str">
        <x:v>Moneyness, intrinsic value, and time value</x:v>
      </x:c>
      <x:c r="D2297" s="15" t="str">
        <x:v>DESCRIBES</x:v>
      </x:c>
      <x:c r="E2297" s="9" t="str">
        <x:v>T21.02</x:v>
      </x:c>
      <x:c r="F2297" s="9" t="str">
        <x:v>Options: calls and puts</x:v>
      </x:c>
      <x:c r="G2297" s="9" t="str">
        <x:v>Moneyness and value components describe option positions.</x:v>
      </x:c>
      <x:c r="H2297" s="9" t="str"/>
      <x:c r="I2297" s="9" t="str">
        <x:v>Finance mechanism / application; authored mapping</x:v>
      </x:c>
    </x:row>
    <x:row r="2298" ht="58" customHeight="1">
      <x:c r="A2298" s="10" t="str">
        <x:v>E2293</x:v>
      </x:c>
      <x:c r="B2298" s="10" t="str">
        <x:v>T21.05</x:v>
      </x:c>
      <x:c r="C2298" s="10" t="str">
        <x:v>Put-call parity</x:v>
      </x:c>
      <x:c r="D2298" s="14" t="str">
        <x:v>DERIVED_FROM</x:v>
      </x:c>
      <x:c r="E2298" s="10" t="str">
        <x:v>T01.15</x:v>
      </x:c>
      <x:c r="F2298" s="10" t="str">
        <x:v>Arbitrage, the law of one price, and market efficiency</x:v>
      </x:c>
      <x:c r="G2298" s="10" t="str">
        <x:v>Put-call parity is an arbitrage relationship under its assumptions.</x:v>
      </x:c>
      <x:c r="H2298" s="10" t="str">
        <x:v>Match exercise style, maturity, financing and distributions.</x:v>
      </x:c>
      <x:c r="I2298" s="10" t="str">
        <x:v>Finance mechanism / application; authored mapping</x:v>
      </x:c>
    </x:row>
    <x:row r="2299" ht="58" customHeight="1">
      <x:c r="A2299" s="9" t="str">
        <x:v>E2294</x:v>
      </x:c>
      <x:c r="B2299" s="9" t="str">
        <x:v>T21.06</x:v>
      </x:c>
      <x:c r="C2299" s="9" t="str">
        <x:v>Binomial option pricing</x:v>
      </x:c>
      <x:c r="D2299" s="15" t="str">
        <x:v>USES</x:v>
      </x:c>
      <x:c r="E2299" s="9" t="str">
        <x:v>T02.07</x:v>
      </x:c>
      <x:c r="F2299" s="9" t="str">
        <x:v>Probability, conditional probability, and Bayes' theorem</x:v>
      </x:c>
      <x:c r="G2299" s="9" t="str">
        <x:v>Binomial pricing uses possible future states and risk-neutral valuation.</x:v>
      </x:c>
      <x:c r="H2299" s="9" t="str"/>
      <x:c r="I2299" s="9" t="str">
        <x:v>Finance mechanism / application; authored mapping</x:v>
      </x:c>
    </x:row>
    <x:row r="2300" ht="58" customHeight="1">
      <x:c r="A2300" s="10" t="str">
        <x:v>E2295</x:v>
      </x:c>
      <x:c r="B2300" s="10" t="str">
        <x:v>T21.07</x:v>
      </x:c>
      <x:c r="C2300" s="10" t="str">
        <x:v>Black-Scholes foundations and assumptions</x:v>
      </x:c>
      <x:c r="D2300" s="14" t="str">
        <x:v>USES</x:v>
      </x:c>
      <x:c r="E2300" s="10" t="str">
        <x:v>T21.09</x:v>
      </x:c>
      <x:c r="F2300" s="10" t="str">
        <x:v>Implied versus realised volatility</x:v>
      </x:c>
      <x:c r="G2300" s="10" t="str">
        <x:v>Option pricing uses volatility assumptions.</x:v>
      </x:c>
      <x:c r="H2300" s="10" t="str">
        <x:v>Model assumptions limit applicability; implied volatility is model-derived.</x:v>
      </x:c>
      <x:c r="I2300" s="10" t="str">
        <x:v>Finance mechanism / application; authored mapping</x:v>
      </x:c>
    </x:row>
    <x:row r="2301" ht="58" customHeight="1">
      <x:c r="A2301" s="9" t="str">
        <x:v>E2296</x:v>
      </x:c>
      <x:c r="B2301" s="9" t="str">
        <x:v>T21.08</x:v>
      </x:c>
      <x:c r="C2301" s="9" t="str">
        <x:v>Option Greeks</x:v>
      </x:c>
      <x:c r="D2301" s="15" t="str">
        <x:v>MANAGES</x:v>
      </x:c>
      <x:c r="E2301" s="9" t="str">
        <x:v>T21.17</x:v>
      </x:c>
      <x:c r="F2301" s="9" t="str">
        <x:v>Hedging, speculation, and arbitrage</x:v>
      </x:c>
      <x:c r="G2301" s="9" t="str">
        <x:v>Greeks support management of local option risk exposures.</x:v>
      </x:c>
      <x:c r="H2301" s="9" t="str">
        <x:v>Sensitivities change with price, time and volatility.</x:v>
      </x:c>
      <x:c r="I2301" s="9" t="str">
        <x:v>Finance mechanism / application; authored mapping</x:v>
      </x:c>
    </x:row>
    <x:row r="2302" ht="58" customHeight="1">
      <x:c r="A2302" s="10" t="str">
        <x:v>E2297</x:v>
      </x:c>
      <x:c r="B2302" s="10" t="str">
        <x:v>T21.12</x:v>
      </x:c>
      <x:c r="C2302" s="10" t="str">
        <x:v>Interest-rate, currency, and commodity swaps</x:v>
      </x:c>
      <x:c r="D2302" s="14" t="str">
        <x:v>HEDGES</x:v>
      </x:c>
      <x:c r="E2302" s="10" t="str">
        <x:v>T14.14</x:v>
      </x:c>
      <x:c r="F2302" s="10" t="str">
        <x:v>Foreign-exchange and interest-rate exposure</x:v>
      </x:c>
      <x:c r="G2302" s="10" t="str">
        <x:v>Swaps can alter interest-rate, currency or commodity exposure.</x:v>
      </x:c>
      <x:c r="H2302" s="10" t="str"/>
      <x:c r="I2302" s="10" t="str">
        <x:v>Finance mechanism / application; authored mapping</x:v>
      </x:c>
    </x:row>
    <x:row r="2303" ht="58" customHeight="1">
      <x:c r="A2303" s="9" t="str">
        <x:v>E2298</x:v>
      </x:c>
      <x:c r="B2303" s="9" t="str">
        <x:v>T21.13</x:v>
      </x:c>
      <x:c r="C2303" s="9" t="str">
        <x:v>Credit default swaps</x:v>
      </x:c>
      <x:c r="D2303" s="15" t="str">
        <x:v>TRANSFERS</x:v>
      </x:c>
      <x:c r="E2303" s="9" t="str">
        <x:v>T24.12</x:v>
      </x:c>
      <x:c r="F2303" s="9" t="str">
        <x:v>Probability of default, loss given default, and exposure at default</x:v>
      </x:c>
      <x:c r="G2303" s="9" t="str">
        <x:v>Credit derivatives transfer specified credit-event exposure.</x:v>
      </x:c>
      <x:c r="H2303" s="9" t="str">
        <x:v>Basis, contract definition and counterparty risk matter.</x:v>
      </x:c>
      <x:c r="I2303" s="9" t="str">
        <x:v>Finance mechanism / application; authored mapping</x:v>
      </x:c>
    </x:row>
    <x:row r="2304" ht="58" customHeight="1">
      <x:c r="A2304" s="10" t="str">
        <x:v>E2299</x:v>
      </x:c>
      <x:c r="B2304" s="10" t="str">
        <x:v>T21.14</x:v>
      </x:c>
      <x:c r="C2304" s="10" t="str">
        <x:v>Caps, floors, and swaptions</x:v>
      </x:c>
      <x:c r="D2304" s="14" t="str">
        <x:v>BUILDS_ON</x:v>
      </x:c>
      <x:c r="E2304" s="10" t="str">
        <x:v>T21.02</x:v>
      </x:c>
      <x:c r="F2304" s="10" t="str">
        <x:v>Options: calls and puts</x:v>
      </x:c>
      <x:c r="G2304" s="10" t="str">
        <x:v>Caps, floors and swaptions contain interest-rate option payoffs.</x:v>
      </x:c>
      <x:c r="H2304" s="10" t="str"/>
      <x:c r="I2304" s="10" t="str">
        <x:v>Finance mechanism / application; authored mapping</x:v>
      </x:c>
    </x:row>
    <x:row r="2305" ht="58" customHeight="1">
      <x:c r="A2305" s="9" t="str">
        <x:v>E2300</x:v>
      </x:c>
      <x:c r="B2305" s="9" t="str">
        <x:v>T21.16</x:v>
      </x:c>
      <x:c r="C2305" s="9" t="str">
        <x:v>Structured notes and embedded derivatives</x:v>
      </x:c>
      <x:c r="D2305" s="15" t="str">
        <x:v>EMBEDS</x:v>
      </x:c>
      <x:c r="E2305" s="9" t="str">
        <x:v>T21.02</x:v>
      </x:c>
      <x:c r="F2305" s="9" t="str">
        <x:v>Options: calls and puts</x:v>
      </x:c>
      <x:c r="G2305" s="9" t="str">
        <x:v>Structured notes combine funding instruments and contingent payoffs.</x:v>
      </x:c>
      <x:c r="H2305" s="9" t="str"/>
      <x:c r="I2305" s="9" t="str">
        <x:v>Finance mechanism / application; authored mapping</x:v>
      </x:c>
    </x:row>
    <x:row r="2306" ht="58" customHeight="1">
      <x:c r="A2306" s="10" t="str">
        <x:v>E2301</x:v>
      </x:c>
      <x:c r="B2306" s="10" t="str">
        <x:v>T21.18</x:v>
      </x:c>
      <x:c r="C2306" s="10" t="str">
        <x:v>Margin, collateral, clearing, and counterparty risk</x:v>
      </x:c>
      <x:c r="D2306" s="14" t="str">
        <x:v>MANAGED_THROUGH</x:v>
      </x:c>
      <x:c r="E2306" s="10" t="str">
        <x:v>T34.02</x:v>
      </x:c>
      <x:c r="F2306" s="10" t="str">
        <x:v>Custodians, depositories, and clearing houses</x:v>
      </x:c>
      <x:c r="G2306" s="10" t="str">
        <x:v>Clearing and collateral mitigate some counterparty exposure.</x:v>
      </x:c>
      <x:c r="H2306" s="10" t="str">
        <x:v>They do not eliminate every market, liquidity or operational risk.</x:v>
      </x:c>
      <x:c r="I2306" s="10" t="str">
        <x:v>Finance mechanism / application; authored mapping</x:v>
      </x:c>
    </x:row>
    <x:row r="2307" ht="58" customHeight="1">
      <x:c r="A2307" s="9" t="str">
        <x:v>E2302</x:v>
      </x:c>
      <x:c r="B2307" s="9" t="str">
        <x:v>T21.19</x:v>
      </x:c>
      <x:c r="C2307" s="9" t="str">
        <x:v>Basis risk and hedge effectiveness</x:v>
      </x:c>
      <x:c r="D2307" s="15" t="str">
        <x:v>QUALIFIES</x:v>
      </x:c>
      <x:c r="E2307" s="9" t="str">
        <x:v>T21.17</x:v>
      </x:c>
      <x:c r="F2307" s="9" t="str">
        <x:v>Hedging, speculation, and arbitrage</x:v>
      </x:c>
      <x:c r="G2307" s="9" t="str">
        <x:v>A hedge may leave residual basis exposure.</x:v>
      </x:c>
      <x:c r="H2307" s="9" t="str"/>
      <x:c r="I2307" s="9" t="str">
        <x:v>Finance mechanism / application; authored mapping</x:v>
      </x:c>
    </x:row>
    <x:row r="2308" ht="58" customHeight="1">
      <x:c r="A2308" s="10" t="str">
        <x:v>E2303</x:v>
      </x:c>
      <x:c r="B2308" s="10" t="str">
        <x:v>T02.09</x:v>
      </x:c>
      <x:c r="C2308" s="10" t="str">
        <x:v>Correlation and its limitations</x:v>
      </x:c>
      <x:c r="D2308" s="14" t="str">
        <x:v>EXPLAINS</x:v>
      </x:c>
      <x:c r="E2308" s="10" t="str">
        <x:v>T22.04</x:v>
      </x:c>
      <x:c r="F2308" s="10" t="str">
        <x:v>Diversification and correlation</x:v>
      </x:c>
      <x:c r="G2308" s="10" t="str">
        <x:v>Correlation helps explain diversification benefits.</x:v>
      </x:c>
      <x:c r="H2308" s="10" t="str">
        <x:v>Correlation can change, especially under stress.</x:v>
      </x:c>
      <x:c r="I2308" s="10" t="str">
        <x:v>Finance mechanism / application; authored mapping</x:v>
      </x:c>
    </x:row>
    <x:row r="2309" ht="58" customHeight="1">
      <x:c r="A2309" s="9" t="str">
        <x:v>E2304</x:v>
      </x:c>
      <x:c r="B2309" s="9" t="str">
        <x:v>T22.05</x:v>
      </x:c>
      <x:c r="C2309" s="9" t="str">
        <x:v>Modern portfolio theory</x:v>
      </x:c>
      <x:c r="D2309" s="15" t="str">
        <x:v>GENERATES</x:v>
      </x:c>
      <x:c r="E2309" s="9" t="str">
        <x:v>T22.06</x:v>
      </x:c>
      <x:c r="F2309" s="9" t="str">
        <x:v>Efficient frontier and minimum-variance portfolios</x:v>
      </x:c>
      <x:c r="G2309" s="9" t="str">
        <x:v>Mean-variance optimisation produces a model efficient frontier.</x:v>
      </x:c>
      <x:c r="H2309" s="9" t="str">
        <x:v>Expected returns, covariances and constraints drive the result.</x:v>
      </x:c>
      <x:c r="I2309" s="9" t="str">
        <x:v>Finance mechanism / application; authored mapping</x:v>
      </x:c>
    </x:row>
    <x:row r="2310" ht="58" customHeight="1">
      <x:c r="A2310" s="10" t="str">
        <x:v>E2305</x:v>
      </x:c>
      <x:c r="B2310" s="10" t="str">
        <x:v>T22.08</x:v>
      </x:c>
      <x:c r="C2310" s="10" t="str">
        <x:v>CAPM, arbitrage pricing theory, and factor models</x:v>
      </x:c>
      <x:c r="D2310" s="14" t="str">
        <x:v>EXTENDS</x:v>
      </x:c>
      <x:c r="E2310" s="10" t="str">
        <x:v>T13.02</x:v>
      </x:c>
      <x:c r="F2310" s="10" t="str">
        <x:v>Capital Asset Pricing Model</x:v>
      </x:c>
      <x:c r="G2310" s="10" t="str">
        <x:v>Portfolio factor models extend the analysis of common return exposures.</x:v>
      </x:c>
      <x:c r="H2310" s="10" t="str"/>
      <x:c r="I2310" s="10" t="str">
        <x:v>Finance mechanism / application; authored mapping</x:v>
      </x:c>
    </x:row>
    <x:row r="2311" ht="58" customHeight="1">
      <x:c r="A2311" s="9" t="str">
        <x:v>E2306</x:v>
      </x:c>
      <x:c r="B2311" s="9" t="str">
        <x:v>T22.02</x:v>
      </x:c>
      <x:c r="C2311" s="9" t="str">
        <x:v>Investment policy statements</x:v>
      </x:c>
      <x:c r="D2311" s="15" t="str">
        <x:v>GUIDES</x:v>
      </x:c>
      <x:c r="E2311" s="9" t="str">
        <x:v>T22.09</x:v>
      </x:c>
      <x:c r="F2311" s="9" t="str">
        <x:v>Strategic and tactical asset allocation</x:v>
      </x:c>
      <x:c r="G2311" s="9" t="str">
        <x:v>An investment policy statement guides allocation and implementation.</x:v>
      </x:c>
      <x:c r="H2311" s="9" t="str"/>
      <x:c r="I2311" s="9" t="str">
        <x:v>Finance mechanism / application; authored mapping</x:v>
      </x:c>
    </x:row>
    <x:row r="2312" ht="58" customHeight="1">
      <x:c r="A2312" s="10" t="str">
        <x:v>E2307</x:v>
      </x:c>
      <x:c r="B2312" s="10" t="str">
        <x:v>T22.03</x:v>
      </x:c>
      <x:c r="C2312" s="10" t="str">
        <x:v>Risk tolerance, risk capacity, and investment horizon</x:v>
      </x:c>
      <x:c r="D2312" s="14" t="str">
        <x:v>INFORMS</x:v>
      </x:c>
      <x:c r="E2312" s="10" t="str">
        <x:v>T30.10</x:v>
      </x:c>
      <x:c r="F2312" s="10" t="str">
        <x:v>Retirement planning and withdrawal strategies</x:v>
      </x:c>
      <x:c r="G2312" s="10" t="str">
        <x:v>Risk capacity and horizon affect retirement investment choices.</x:v>
      </x:c>
      <x:c r="H2312" s="10" t="str"/>
      <x:c r="I2312" s="10" t="str">
        <x:v>Finance mechanism / application; authored mapping</x:v>
      </x:c>
    </x:row>
    <x:row r="2313" ht="58" customHeight="1">
      <x:c r="A2313" s="9" t="str">
        <x:v>E2308</x:v>
      </x:c>
      <x:c r="B2313" s="9" t="str">
        <x:v>T22.10</x:v>
      </x:c>
      <x:c r="C2313" s="9" t="str">
        <x:v>Active versus passive management</x:v>
      </x:c>
      <x:c r="D2313" s="15" t="str">
        <x:v>IMPLEMENTED_THROUGH</x:v>
      </x:c>
      <x:c r="E2313" s="9" t="str">
        <x:v>T23.03</x:v>
      </x:c>
      <x:c r="F2313" s="9" t="str">
        <x:v>Index funds and actively managed funds</x:v>
      </x:c>
      <x:c r="G2313" s="9" t="str">
        <x:v>Active and passive choices can be implemented through suitable funds.</x:v>
      </x:c>
      <x:c r="H2313" s="9" t="str"/>
      <x:c r="I2313" s="9" t="str">
        <x:v>Finance mechanism / application; authored mapping</x:v>
      </x:c>
    </x:row>
    <x:row r="2314" ht="58" customHeight="1">
      <x:c r="A2314" s="10" t="str">
        <x:v>E2309</x:v>
      </x:c>
      <x:c r="B2314" s="10" t="str">
        <x:v>T22.11</x:v>
      </x:c>
      <x:c r="C2314" s="10" t="str">
        <x:v>Indexing, tracking error, and active share</x:v>
      </x:c>
      <x:c r="D2314" s="14" t="str">
        <x:v>MEASURED_BY</x:v>
      </x:c>
      <x:c r="E2314" s="10" t="str">
        <x:v>T23.04</x:v>
      </x:c>
      <x:c r="F2314" s="10" t="str">
        <x:v>Fund NAV, expense ratios, and tracking differences</x:v>
      </x:c>
      <x:c r="G2314" s="10" t="str">
        <x:v>Fund costs and tracking differences help assess index implementation.</x:v>
      </x:c>
      <x:c r="H2314" s="10" t="str"/>
      <x:c r="I2314" s="10" t="str">
        <x:v>Finance mechanism / application; authored mapping</x:v>
      </x:c>
    </x:row>
    <x:row r="2315" ht="58" customHeight="1">
      <x:c r="A2315" s="9" t="str">
        <x:v>E2310</x:v>
      </x:c>
      <x:c r="B2315" s="9" t="str">
        <x:v>T22.13</x:v>
      </x:c>
      <x:c r="C2315" s="9" t="str">
        <x:v>Rebalancing</x:v>
      </x:c>
      <x:c r="D2315" s="15" t="str">
        <x:v>MAINTAINS</x:v>
      </x:c>
      <x:c r="E2315" s="9" t="str">
        <x:v>T22.09</x:v>
      </x:c>
      <x:c r="F2315" s="9" t="str">
        <x:v>Strategic and tactical asset allocation</x:v>
      </x:c>
      <x:c r="G2315" s="9" t="str">
        <x:v>Rebalancing restores or adjusts the intended allocation.</x:v>
      </x:c>
      <x:c r="H2315" s="9" t="str"/>
      <x:c r="I2315" s="9" t="str">
        <x:v>Finance mechanism / application; authored mapping</x:v>
      </x:c>
    </x:row>
    <x:row r="2316" ht="58" customHeight="1">
      <x:c r="A2316" s="10" t="str">
        <x:v>E2311</x:v>
      </x:c>
      <x:c r="B2316" s="10" t="str">
        <x:v>T22.14</x:v>
      </x:c>
      <x:c r="C2316" s="10" t="str">
        <x:v>Benchmark selection</x:v>
      </x:c>
      <x:c r="D2316" s="14" t="str">
        <x:v>REQUIRED_FOR</x:v>
      </x:c>
      <x:c r="E2316" s="10" t="str">
        <x:v>T22.16</x:v>
      </x:c>
      <x:c r="F2316" s="10" t="str">
        <x:v>Alpha and performance attribution</x:v>
      </x:c>
      <x:c r="G2316" s="10" t="str">
        <x:v>Attribution and excess-performance interpretation require a meaningful benchmark.</x:v>
      </x:c>
      <x:c r="H2316" s="10" t="str"/>
      <x:c r="I2316" s="10" t="str">
        <x:v>Finance mechanism / application; authored mapping</x:v>
      </x:c>
    </x:row>
    <x:row r="2317" ht="58" customHeight="1">
      <x:c r="A2317" s="9" t="str">
        <x:v>E2312</x:v>
      </x:c>
      <x:c r="B2317" s="9" t="str">
        <x:v>T22.15</x:v>
      </x:c>
      <x:c r="C2317" s="9" t="str">
        <x:v>Sharpe, Sortino, Treynor, and information ratios</x:v>
      </x:c>
      <x:c r="D2317" s="15" t="str">
        <x:v>COMPARES_WITH</x:v>
      </x:c>
      <x:c r="E2317" s="9" t="str">
        <x:v>T22.16</x:v>
      </x:c>
      <x:c r="F2317" s="9" t="str">
        <x:v>Alpha and performance attribution</x:v>
      </x:c>
      <x:c r="G2317" s="9" t="str">
        <x:v>Risk-adjusted ratios and attribution answer different performance questions.</x:v>
      </x:c>
      <x:c r="H2317" s="9" t="str"/>
      <x:c r="I2317" s="9" t="str">
        <x:v>Finance mechanism / application; authored mapping</x:v>
      </x:c>
    </x:row>
    <x:row r="2318" ht="58" customHeight="1">
      <x:c r="A2318" s="10" t="str">
        <x:v>E2313</x:v>
      </x:c>
      <x:c r="B2318" s="10" t="str">
        <x:v>T22.17</x:v>
      </x:c>
      <x:c r="C2318" s="10" t="str">
        <x:v>Drawdowns and downside protection</x:v>
      </x:c>
      <x:c r="D2318" s="14" t="str">
        <x:v>TESTED_WITH</x:v>
      </x:c>
      <x:c r="E2318" s="10" t="str">
        <x:v>T25.07</x:v>
      </x:c>
      <x:c r="F2318" s="10" t="str">
        <x:v>Stress testing and reverse stress testing</x:v>
      </x:c>
      <x:c r="G2318" s="10" t="str">
        <x:v>Stress scenarios help explore drawdowns and protection limits.</x:v>
      </x:c>
      <x:c r="H2318" s="10" t="str"/>
      <x:c r="I2318" s="10" t="str">
        <x:v>Finance mechanism / application; authored mapping</x:v>
      </x:c>
    </x:row>
    <x:row r="2319" ht="58" customHeight="1">
      <x:c r="A2319" s="9" t="str">
        <x:v>E2314</x:v>
      </x:c>
      <x:c r="B2319" s="9" t="str">
        <x:v>T23.01</x:v>
      </x:c>
      <x:c r="C2319" s="9" t="str">
        <x:v>Mutual funds and exchange-traded funds</x:v>
      </x:c>
      <x:c r="D2319" s="15" t="str">
        <x:v>IMPLEMENTS</x:v>
      </x:c>
      <x:c r="E2319" s="9" t="str">
        <x:v>T22.12</x:v>
      </x:c>
      <x:c r="F2319" s="9" t="str">
        <x:v>Portfolio construction and position sizing</x:v>
      </x:c>
      <x:c r="G2319" s="9" t="str">
        <x:v>Funds provide pooled exposure that can implement portfolio allocations.</x:v>
      </x:c>
      <x:c r="H2319" s="9" t="str"/>
      <x:c r="I2319" s="9" t="str">
        <x:v>Finance mechanism / application; authored mapping</x:v>
      </x:c>
    </x:row>
    <x:row r="2320" ht="58" customHeight="1">
      <x:c r="A2320" s="10" t="str">
        <x:v>E2315</x:v>
      </x:c>
      <x:c r="B2320" s="10" t="str">
        <x:v>T23.04</x:v>
      </x:c>
      <x:c r="C2320" s="10" t="str">
        <x:v>Fund NAV, expense ratios, and tracking differences</x:v>
      </x:c>
      <x:c r="D2320" s="14" t="str">
        <x:v>INFORMS</x:v>
      </x:c>
      <x:c r="E2320" s="10" t="str">
        <x:v>T30.18</x:v>
      </x:c>
      <x:c r="F2320" s="10" t="str">
        <x:v>Adviser selection, fees, and conflicts of interest</x:v>
      </x:c>
      <x:c r="G2320" s="10" t="str">
        <x:v>Fees affect investor outcomes and adviser evaluation.</x:v>
      </x:c>
      <x:c r="H2320" s="10" t="str"/>
      <x:c r="I2320" s="10" t="str">
        <x:v>Finance mechanism / application; authored mapping</x:v>
      </x:c>
    </x:row>
    <x:row r="2321" ht="58" customHeight="1">
      <x:c r="A2321" s="9" t="str">
        <x:v>E2316</x:v>
      </x:c>
      <x:c r="B2321" s="9" t="str">
        <x:v>T23.05</x:v>
      </x:c>
      <x:c r="C2321" s="9" t="str">
        <x:v>Fund selection and manager due diligence</x:v>
      </x:c>
      <x:c r="D2321" s="15" t="str">
        <x:v>INVESTIGATES</x:v>
      </x:c>
      <x:c r="E2321" s="9" t="str">
        <x:v>T23.19</x:v>
      </x:c>
      <x:c r="F2321" s="9" t="str">
        <x:v>Liquidity, valuation, and survivorship bias in private assets</x:v>
      </x:c>
      <x:c r="G2321" s="9" t="str">
        <x:v>Manager due diligence examines valuation, liquidity and selection biases.</x:v>
      </x:c>
      <x:c r="H2321" s="9" t="str"/>
      <x:c r="I2321" s="9" t="str">
        <x:v>Finance mechanism / application; authored mapping</x:v>
      </x:c>
    </x:row>
    <x:row r="2322" ht="58" customHeight="1">
      <x:c r="A2322" s="10" t="str">
        <x:v>E2317</x:v>
      </x:c>
      <x:c r="B2322" s="10" t="str">
        <x:v>T23.08</x:v>
      </x:c>
      <x:c r="C2322" s="10" t="str">
        <x:v>Private equity</x:v>
      </x:c>
      <x:c r="D2322" s="14" t="str">
        <x:v>INVESTS_IN</x:v>
      </x:c>
      <x:c r="E2322" s="10" t="str">
        <x:v>T26.14</x:v>
      </x:c>
      <x:c r="F2322" s="10" t="str">
        <x:v>Leveraged and management buyouts</x:v>
      </x:c>
      <x:c r="G2322" s="10" t="str">
        <x:v>Private-equity strategies can include leveraged buyouts.</x:v>
      </x:c>
      <x:c r="H2322" s="10" t="str"/>
      <x:c r="I2322" s="10" t="str">
        <x:v>Finance mechanism / application; authored mapping</x:v>
      </x:c>
    </x:row>
    <x:row r="2323" ht="58" customHeight="1">
      <x:c r="A2323" s="9" t="str">
        <x:v>E2318</x:v>
      </x:c>
      <x:c r="B2323" s="9" t="str">
        <x:v>T23.09</x:v>
      </x:c>
      <x:c r="C2323" s="9" t="str">
        <x:v>Venture capital and growth equity</x:v>
      </x:c>
      <x:c r="D2323" s="15" t="str">
        <x:v>PROVIDES_CAPITAL</x:v>
      </x:c>
      <x:c r="E2323" s="9" t="str">
        <x:v>T27.05</x:v>
      </x:c>
      <x:c r="F2323" s="9" t="str">
        <x:v>Angel, seed, venture, and growth funding</x:v>
      </x:c>
      <x:c r="G2323" s="9" t="str">
        <x:v>Venture and growth investors finance startup funding rounds.</x:v>
      </x:c>
      <x:c r="H2323" s="9" t="str"/>
      <x:c r="I2323" s="9" t="str">
        <x:v>Finance mechanism / application; authored mapping</x:v>
      </x:c>
    </x:row>
    <x:row r="2324" ht="58" customHeight="1">
      <x:c r="A2324" s="10" t="str">
        <x:v>E2319</x:v>
      </x:c>
      <x:c r="B2324" s="10" t="str">
        <x:v>T23.10</x:v>
      </x:c>
      <x:c r="C2324" s="10" t="str">
        <x:v>Private credit and direct lending</x:v>
      </x:c>
      <x:c r="D2324" s="14" t="str">
        <x:v>USES</x:v>
      </x:c>
      <x:c r="E2324" s="10" t="str">
        <x:v>T24.09</x:v>
      </x:c>
      <x:c r="F2324" s="10" t="str">
        <x:v>Loan origination and underwriting</x:v>
      </x:c>
      <x:c r="G2324" s="10" t="str">
        <x:v>Private credit requires origination and credit underwriting.</x:v>
      </x:c>
      <x:c r="H2324" s="10" t="str"/>
      <x:c r="I2324" s="10" t="str">
        <x:v>Finance mechanism / application; authored mapping</x:v>
      </x:c>
    </x:row>
    <x:row r="2325" ht="58" customHeight="1">
      <x:c r="A2325" s="9" t="str">
        <x:v>E2320</x:v>
      </x:c>
      <x:c r="B2325" s="9" t="str">
        <x:v>T23.11</x:v>
      </x:c>
      <x:c r="C2325" s="9" t="str">
        <x:v>Distressed debt and special situations</x:v>
      </x:c>
      <x:c r="D2325" s="15" t="str">
        <x:v>INVESTS_IN</x:v>
      </x:c>
      <x:c r="E2325" s="9" t="str">
        <x:v>T26.18</x:v>
      </x:c>
      <x:c r="F2325" s="9" t="str">
        <x:v>Bankruptcy, insolvency, and recovery waterfalls</x:v>
      </x:c>
      <x:c r="G2325" s="9" t="str">
        <x:v>Distressed strategies evaluate insolvency outcomes and recovery claims.</x:v>
      </x:c>
      <x:c r="H2325" s="9" t="str"/>
      <x:c r="I2325" s="9" t="str">
        <x:v>Finance mechanism / application; authored mapping</x:v>
      </x:c>
    </x:row>
    <x:row r="2326" ht="58" customHeight="1">
      <x:c r="A2326" s="10" t="str">
        <x:v>E2321</x:v>
      </x:c>
      <x:c r="B2326" s="10" t="str">
        <x:v>T23.12</x:v>
      </x:c>
      <x:c r="C2326" s="10" t="str">
        <x:v>Real estate funds, REITs, and InvITs</x:v>
      </x:c>
      <x:c r="D2326" s="14" t="str">
        <x:v>VALUES_EXPOSURE</x:v>
      </x:c>
      <x:c r="E2326" s="10" t="str">
        <x:v>T28.04</x:v>
      </x:c>
      <x:c r="F2326" s="10" t="str">
        <x:v>Property valuation</x:v>
      </x:c>
      <x:c r="G2326" s="10" t="str">
        <x:v>Real estate funds and REITs depend on property economics and valuation.</x:v>
      </x:c>
      <x:c r="H2326" s="10" t="str"/>
      <x:c r="I2326" s="10" t="str">
        <x:v>Finance mechanism / application; authored mapping</x:v>
      </x:c>
    </x:row>
    <x:row r="2327" ht="58" customHeight="1">
      <x:c r="A2327" s="9" t="str">
        <x:v>E2322</x:v>
      </x:c>
      <x:c r="B2327" s="9" t="str">
        <x:v>T23.14</x:v>
      </x:c>
      <x:c r="C2327" s="9" t="str">
        <x:v>Infrastructure funds</x:v>
      </x:c>
      <x:c r="D2327" s="15" t="str">
        <x:v>INVESTS_IN</x:v>
      </x:c>
      <x:c r="E2327" s="9" t="str">
        <x:v>T28.18</x:v>
      </x:c>
      <x:c r="F2327" s="9" t="str">
        <x:v>Energy, transport, utilities, and social infrastructure finance</x:v>
      </x:c>
      <x:c r="G2327" s="9" t="str">
        <x:v>Infrastructure funds hold relevant long-lived asset and project exposures.</x:v>
      </x:c>
      <x:c r="H2327" s="9" t="str"/>
      <x:c r="I2327" s="9" t="str">
        <x:v>Finance mechanism / application; authored mapping</x:v>
      </x:c>
    </x:row>
    <x:row r="2328" ht="58" customHeight="1">
      <x:c r="A2328" s="10" t="str">
        <x:v>E2323</x:v>
      </x:c>
      <x:c r="B2328" s="10" t="str">
        <x:v>T23.16</x:v>
      </x:c>
      <x:c r="C2328" s="10" t="str">
        <x:v>Fund fees, carried interest, and distribution waterfalls</x:v>
      </x:c>
      <x:c r="D2328" s="14" t="str">
        <x:v>ALLOCATES</x:v>
      </x:c>
      <x:c r="E2328" s="10" t="str">
        <x:v>T27.17</x:v>
      </x:c>
      <x:c r="F2328" s="10" t="str">
        <x:v>Exit routes and exit waterfalls</x:v>
      </x:c>
      <x:c r="G2328" s="10" t="str">
        <x:v>Distribution waterfalls allocate proceeds among investor claims.</x:v>
      </x:c>
      <x:c r="H2328" s="10" t="str"/>
      <x:c r="I2328" s="10" t="str">
        <x:v>Finance mechanism / application; authored mapping</x:v>
      </x:c>
    </x:row>
    <x:row r="2329" ht="58" customHeight="1">
      <x:c r="A2329" s="9" t="str">
        <x:v>E2324</x:v>
      </x:c>
      <x:c r="B2329" s="9" t="str">
        <x:v>T23.17</x:v>
      </x:c>
      <x:c r="C2329" s="9" t="str">
        <x:v>Capital calls, commitments, and the J-curve</x:v>
      </x:c>
      <x:c r="D2329" s="15" t="str">
        <x:v>AFFECTS_MEASUREMENT</x:v>
      </x:c>
      <x:c r="E2329" s="9" t="str">
        <x:v>T23.18</x:v>
      </x:c>
      <x:c r="F2329" s="9" t="str">
        <x:v>IRR, MOIC, DPI, RVPI, and TVPI</x:v>
      </x:c>
      <x:c r="G2329" s="9" t="str">
        <x:v>Timing of calls and distributions affects private-fund return measures.</x:v>
      </x:c>
      <x:c r="H2329" s="9" t="str"/>
      <x:c r="I2329" s="9" t="str">
        <x:v>Finance mechanism / application; authored mapping</x:v>
      </x:c>
    </x:row>
    <x:row r="2330" ht="58" customHeight="1">
      <x:c r="A2330" s="10" t="str">
        <x:v>E2325</x:v>
      </x:c>
      <x:c r="B2330" s="10" t="str">
        <x:v>T23.18</x:v>
      </x:c>
      <x:c r="C2330" s="10" t="str">
        <x:v>IRR, MOIC, DPI, RVPI, and TVPI</x:v>
      </x:c>
      <x:c r="D2330" s="14" t="str">
        <x:v>COMPARES_WITH</x:v>
      </x:c>
      <x:c r="E2330" s="10" t="str">
        <x:v>T03.14</x:v>
      </x:c>
      <x:c r="F2330" s="10" t="str">
        <x:v>Money-weighted versus time-weighted returns</x:v>
      </x:c>
      <x:c r="G2330" s="10" t="str">
        <x:v>IRR is cash-flow-timing-sensitive; other fund measures answer different questions.</x:v>
      </x:c>
      <x:c r="H2330" s="10" t="str"/>
      <x:c r="I2330" s="10" t="str">
        <x:v>Finance mechanism / application; authored mapping</x:v>
      </x:c>
    </x:row>
    <x:row r="2331" ht="58" customHeight="1">
      <x:c r="A2331" s="9" t="str">
        <x:v>E2326</x:v>
      </x:c>
      <x:c r="B2331" s="9" t="str">
        <x:v>T24.03</x:v>
      </x:c>
      <x:c r="C2331" s="9" t="str">
        <x:v>Deposits, lending, and wholesale funding</x:v>
      </x:c>
      <x:c r="D2331" s="15" t="str">
        <x:v>CREATES_EXPOSURE</x:v>
      </x:c>
      <x:c r="E2331" s="9" t="str">
        <x:v>T24.06</x:v>
      </x:c>
      <x:c r="F2331" s="9" t="str">
        <x:v>Asset-liability management</x:v>
      </x:c>
      <x:c r="G2331" s="9" t="str">
        <x:v>Funding and lending terms create bank asset-liability mismatches.</x:v>
      </x:c>
      <x:c r="H2331" s="9" t="str"/>
      <x:c r="I2331" s="9" t="str">
        <x:v>Finance mechanism / application; authored mapping</x:v>
      </x:c>
    </x:row>
    <x:row r="2332" ht="58" customHeight="1">
      <x:c r="A2332" s="10" t="str">
        <x:v>E2327</x:v>
      </x:c>
      <x:c r="B2332" s="10" t="str">
        <x:v>T24.04</x:v>
      </x:c>
      <x:c r="C2332" s="10" t="str">
        <x:v>Net interest income and net interest margin</x:v>
      </x:c>
      <x:c r="D2332" s="14" t="str">
        <x:v>REPORTED_IN</x:v>
      </x:c>
      <x:c r="E2332" s="10" t="str">
        <x:v>T24.02</x:v>
      </x:c>
      <x:c r="F2332" s="10" t="str">
        <x:v>Bank balance sheets and income statements</x:v>
      </x:c>
      <x:c r="G2332" s="10" t="str">
        <x:v>Net interest margin connects bank interest income, funding cost and earning assets.</x:v>
      </x:c>
      <x:c r="H2332" s="10" t="str"/>
      <x:c r="I2332" s="10" t="str">
        <x:v>Finance mechanism / application; authored mapping</x:v>
      </x:c>
    </x:row>
    <x:row r="2333" ht="58" customHeight="1">
      <x:c r="A2333" s="9" t="str">
        <x:v>E2328</x:v>
      </x:c>
      <x:c r="B2333" s="9" t="str">
        <x:v>T24.07</x:v>
      </x:c>
      <x:c r="C2333" s="9" t="str">
        <x:v>Capital adequacy and risk-weighted assets</x:v>
      </x:c>
      <x:c r="D2333" s="15" t="str">
        <x:v>LINKS_TO</x:v>
      </x:c>
      <x:c r="E2333" s="9" t="str">
        <x:v>T25.15</x:v>
      </x:c>
      <x:c r="F2333" s="9" t="str">
        <x:v>Economic capital and risk-adjusted performance</x:v>
      </x:c>
      <x:c r="G2333" s="9" t="str">
        <x:v>Regulatory capital and economic capital have related but distinct objectives.</x:v>
      </x:c>
      <x:c r="H2333" s="9" t="str"/>
      <x:c r="I2333" s="9" t="str">
        <x:v>Finance mechanism / application; authored mapping</x:v>
      </x:c>
    </x:row>
    <x:row r="2334" ht="58" customHeight="1">
      <x:c r="A2334" s="10" t="str">
        <x:v>E2329</x:v>
      </x:c>
      <x:c r="B2334" s="10" t="str">
        <x:v>T24.08</x:v>
      </x:c>
      <x:c r="C2334" s="10" t="str">
        <x:v>Liquidity and funding risk</x:v>
      </x:c>
      <x:c r="D2334" s="14" t="str">
        <x:v>ARISES_FROM</x:v>
      </x:c>
      <x:c r="E2334" s="10" t="str">
        <x:v>T25.11</x:v>
      </x:c>
      <x:c r="F2334" s="10" t="str">
        <x:v>Asset-liability mismatches</x:v>
      </x:c>
      <x:c r="G2334" s="10" t="str">
        <x:v>Maturity and repricing mismatches can create funding and liquidity pressure.</x:v>
      </x:c>
      <x:c r="H2334" s="10" t="str"/>
      <x:c r="I2334" s="10" t="str">
        <x:v>Finance mechanism / application; authored mapping</x:v>
      </x:c>
    </x:row>
    <x:row r="2335" ht="58" customHeight="1">
      <x:c r="A2335" s="9" t="str">
        <x:v>E2330</x:v>
      </x:c>
      <x:c r="B2335" s="9" t="str">
        <x:v>T24.09</x:v>
      </x:c>
      <x:c r="C2335" s="9" t="str">
        <x:v>Loan origination and underwriting</x:v>
      </x:c>
      <x:c r="D2335" s="15" t="str">
        <x:v>USES</x:v>
      </x:c>
      <x:c r="E2335" s="9" t="str">
        <x:v>T24.11</x:v>
      </x:c>
      <x:c r="F2335" s="9" t="str">
        <x:v>Credit ratings and credit scoring</x:v>
      </x:c>
      <x:c r="G2335" s="9" t="str">
        <x:v>Underwriting uses creditworthiness evidence and assessment tools.</x:v>
      </x:c>
      <x:c r="H2335" s="9" t="str"/>
      <x:c r="I2335" s="9" t="str">
        <x:v>Finance mechanism / application; authored mapping</x:v>
      </x:c>
    </x:row>
    <x:row r="2336" ht="58" customHeight="1">
      <x:c r="A2336" s="10" t="str">
        <x:v>E2331</x:v>
      </x:c>
      <x:c r="B2336" s="10" t="str">
        <x:v>T24.12</x:v>
      </x:c>
      <x:c r="C2336" s="10" t="str">
        <x:v>Probability of default, loss given default, and exposure at default</x:v>
      </x:c>
      <x:c r="D2336" s="14" t="str">
        <x:v>INFORMS</x:v>
      </x:c>
      <x:c r="E2336" s="10" t="str">
        <x:v>A17</x:v>
      </x:c>
      <x:c r="F2336" s="10" t="str">
        <x:v>Expected credit losses</x:v>
      </x:c>
      <x:c r="G2336" s="10" t="str">
        <x:v>Default likelihood, loss severity and exposure inform credit-loss estimation.</x:v>
      </x:c>
      <x:c r="H2336" s="10" t="str">
        <x:v>Expected credit loss also depends on timing, scenarios and discounting requirements.</x:v>
      </x:c>
      <x:c r="I2336" s="10" t="str">
        <x:v>Finance mechanism / application; authored mapping</x:v>
      </x:c>
    </x:row>
    <x:row r="2337" ht="58" customHeight="1">
      <x:c r="A2337" s="9" t="str">
        <x:v>E2332</x:v>
      </x:c>
      <x:c r="B2337" s="9" t="str">
        <x:v>T24.13</x:v>
      </x:c>
      <x:c r="C2337" s="9" t="str">
        <x:v>Collateral, guarantees, and security structures</x:v>
      </x:c>
      <x:c r="D2337" s="15" t="str">
        <x:v>AFFECTS</x:v>
      </x:c>
      <x:c r="E2337" s="9" t="str">
        <x:v>T24.12</x:v>
      </x:c>
      <x:c r="F2337" s="9" t="str">
        <x:v>Probability of default, loss given default, and exposure at default</x:v>
      </x:c>
      <x:c r="G2337" s="9" t="str">
        <x:v>Collateral and guarantees can influence loss severity and recovery.</x:v>
      </x:c>
      <x:c r="H2337" s="9" t="str"/>
      <x:c r="I2337" s="9" t="str">
        <x:v>Finance mechanism / application; authored mapping</x:v>
      </x:c>
    </x:row>
    <x:row r="2338" ht="58" customHeight="1">
      <x:c r="A2338" s="10" t="str">
        <x:v>E2333</x:v>
      </x:c>
      <x:c r="B2338" s="10" t="str">
        <x:v>T24.14</x:v>
      </x:c>
      <x:c r="C2338" s="10" t="str">
        <x:v>Covenants and debt service capacity</x:v>
      </x:c>
      <x:c r="D2338" s="14" t="str">
        <x:v>USES</x:v>
      </x:c>
      <x:c r="E2338" s="10" t="str">
        <x:v>T09.07</x:v>
      </x:c>
      <x:c r="F2338" s="10" t="str">
        <x:v>Leverage, coverage, and solvency ratios</x:v>
      </x:c>
      <x:c r="G2338" s="10" t="str">
        <x:v>Repayment capacity is assessed using cash flow and coverage metrics.</x:v>
      </x:c>
      <x:c r="H2338" s="10" t="str"/>
      <x:c r="I2338" s="10" t="str">
        <x:v>Finance mechanism / application; authored mapping</x:v>
      </x:c>
    </x:row>
    <x:row r="2339" ht="58" customHeight="1">
      <x:c r="A2339" s="9" t="str">
        <x:v>E2334</x:v>
      </x:c>
      <x:c r="B2339" s="9" t="str">
        <x:v>T24.15</x:v>
      </x:c>
      <x:c r="C2339" s="9" t="str">
        <x:v>Non-performing assets and provisioning</x:v>
      </x:c>
      <x:c r="D2339" s="15" t="str">
        <x:v>RELATED_TO</x:v>
      </x:c>
      <x:c r="E2339" s="9" t="str">
        <x:v>T24.16</x:v>
      </x:c>
      <x:c r="F2339" s="9" t="str">
        <x:v>Expected credit losses</x:v>
      </x:c>
      <x:c r="G2339" s="9" t="str">
        <x:v>Asset quality and provisioning connect with impairment measurement.</x:v>
      </x:c>
      <x:c r="H2339" s="9" t="str">
        <x:v>Non-performing status and ECL stages are not identical classifications.</x:v>
      </x:c>
      <x:c r="I2339" s="9" t="str">
        <x:v>Finance mechanism / application; authored mapping</x:v>
      </x:c>
    </x:row>
    <x:row r="2340" ht="58" customHeight="1">
      <x:c r="A2340" s="10" t="str">
        <x:v>E2335</x:v>
      </x:c>
      <x:c r="B2340" s="10" t="str">
        <x:v>T24.17</x:v>
      </x:c>
      <x:c r="C2340" s="10" t="str">
        <x:v>Loan restructuring and recovery</x:v>
      </x:c>
      <x:c r="D2340" s="14" t="str">
        <x:v>APPLIED_IN</x:v>
      </x:c>
      <x:c r="E2340" s="10" t="str">
        <x:v>T26.18</x:v>
      </x:c>
      <x:c r="F2340" s="10" t="str">
        <x:v>Bankruptcy, insolvency, and recovery waterfalls</x:v>
      </x:c>
      <x:c r="G2340" s="10" t="str">
        <x:v>Loan restructuring and insolvency analysis evaluate recovery alternatives.</x:v>
      </x:c>
      <x:c r="H2340" s="10" t="str"/>
      <x:c r="I2340" s="10" t="str">
        <x:v>Finance mechanism / application; authored mapping</x:v>
      </x:c>
    </x:row>
    <x:row r="2341" ht="58" customHeight="1">
      <x:c r="A2341" s="9" t="str">
        <x:v>E2336</x:v>
      </x:c>
      <x:c r="B2341" s="9" t="str">
        <x:v>T24.19</x:v>
      </x:c>
      <x:c r="C2341" s="9" t="str">
        <x:v>Securitisation and loan sales</x:v>
      </x:c>
      <x:c r="D2341" s="15" t="str">
        <x:v>ACCOUNTED_UNDER</x:v>
      </x:c>
      <x:c r="E2341" s="9" t="str">
        <x:v>T08.14</x:v>
      </x:c>
      <x:c r="F2341" s="9" t="str">
        <x:v>Securitisation and derecognition</x:v>
      </x:c>
      <x:c r="G2341" s="9" t="str">
        <x:v>Securitisation transactions require derecognition and risk-transfer assessment.</x:v>
      </x:c>
      <x:c r="H2341" s="9" t="str"/>
      <x:c r="I2341" s="9" t="str">
        <x:v>Finance mechanism / application; authored mapping</x:v>
      </x:c>
    </x:row>
    <x:row r="2342" ht="58" customHeight="1">
      <x:c r="A2342" s="10" t="str">
        <x:v>E2337</x:v>
      </x:c>
      <x:c r="B2342" s="10" t="str">
        <x:v>T25.01</x:v>
      </x:c>
      <x:c r="C2342" s="10" t="str">
        <x:v>Market, credit, liquidity, and operational risk</x:v>
      </x:c>
      <x:c r="D2342" s="14" t="str">
        <x:v>MANAGED_WITH</x:v>
      </x:c>
      <x:c r="E2342" s="10" t="str">
        <x:v>T21.17</x:v>
      </x:c>
      <x:c r="F2342" s="10" t="str">
        <x:v>Hedging, speculation, and arbitrage</x:v>
      </x:c>
      <x:c r="G2342" s="10" t="str">
        <x:v>Hedges can mitigate selected market or credit exposures.</x:v>
      </x:c>
      <x:c r="H2342" s="10" t="str"/>
      <x:c r="I2342" s="10" t="str">
        <x:v>Finance mechanism / application; authored mapping</x:v>
      </x:c>
    </x:row>
    <x:row r="2343" ht="58" customHeight="1">
      <x:c r="A2343" s="9" t="str">
        <x:v>E2338</x:v>
      </x:c>
      <x:c r="B2343" s="9" t="str">
        <x:v>T25.05</x:v>
      </x:c>
      <x:c r="C2343" s="9" t="str">
        <x:v>Value at Risk and expected shortfall</x:v>
      </x:c>
      <x:c r="D2343" s="15" t="str">
        <x:v>USES</x:v>
      </x:c>
      <x:c r="E2343" s="9" t="str">
        <x:v>T02.10</x:v>
      </x:c>
      <x:c r="F2343" s="9" t="str">
        <x:v>Probability distributions, skewness, kurtosis, and tail risk</x:v>
      </x:c>
      <x:c r="G2343" s="9" t="str">
        <x:v>VaR and expected shortfall depend on assumptions about loss distributions.</x:v>
      </x:c>
      <x:c r="H2343" s="9" t="str"/>
      <x:c r="I2343" s="9" t="str">
        <x:v>Finance mechanism / application; authored mapping</x:v>
      </x:c>
    </x:row>
    <x:row r="2344" ht="58" customHeight="1">
      <x:c r="A2344" s="10" t="str">
        <x:v>E2339</x:v>
      </x:c>
      <x:c r="B2344" s="10" t="str">
        <x:v>T25.06</x:v>
      </x:c>
      <x:c r="C2344" s="10" t="str">
        <x:v>Historical, parametric, and Monte Carlo methods</x:v>
      </x:c>
      <x:c r="D2344" s="14" t="str">
        <x:v>USES</x:v>
      </x:c>
      <x:c r="E2344" s="10" t="str">
        <x:v>T38.12</x:v>
      </x:c>
      <x:c r="F2344" s="10" t="str">
        <x:v>Monte Carlo simulation</x:v>
      </x:c>
      <x:c r="G2344" s="10" t="str">
        <x:v>Monte Carlo methods generate model scenarios for risk measurement.</x:v>
      </x:c>
      <x:c r="H2344" s="10" t="str"/>
      <x:c r="I2344" s="10" t="str">
        <x:v>Finance mechanism / application; authored mapping</x:v>
      </x:c>
    </x:row>
    <x:row r="2345" ht="58" customHeight="1">
      <x:c r="A2345" s="9" t="str">
        <x:v>E2340</x:v>
      </x:c>
      <x:c r="B2345" s="9" t="str">
        <x:v>T25.07</x:v>
      </x:c>
      <x:c r="C2345" s="9" t="str">
        <x:v>Stress testing and reverse stress testing</x:v>
      </x:c>
      <x:c r="D2345" s="15" t="str">
        <x:v>USES</x:v>
      </x:c>
      <x:c r="E2345" s="9" t="str">
        <x:v>T32.16</x:v>
      </x:c>
      <x:c r="F2345" s="9" t="str">
        <x:v>How macroeconomic changes affect companies, valuations, and portfolios</x:v>
      </x:c>
      <x:c r="G2345" s="9" t="str">
        <x:v>Macro shocks can be translated into financial stress scenarios.</x:v>
      </x:c>
      <x:c r="H2345" s="9" t="str"/>
      <x:c r="I2345" s="9" t="str">
        <x:v>Finance mechanism / application; authored mapping</x:v>
      </x:c>
    </x:row>
    <x:row r="2346" ht="58" customHeight="1">
      <x:c r="A2346" s="10" t="str">
        <x:v>E2341</x:v>
      </x:c>
      <x:c r="B2346" s="10" t="str">
        <x:v>T25.09</x:v>
      </x:c>
      <x:c r="C2346" s="10" t="str">
        <x:v>Risk limits, risk appetite, and risk governance</x:v>
      </x:c>
      <x:c r="D2346" s="14" t="str">
        <x:v>GOVERNED_BY</x:v>
      </x:c>
      <x:c r="E2346" s="10" t="str">
        <x:v>T34.11</x:v>
      </x:c>
      <x:c r="F2346" s="10" t="str">
        <x:v>Corporate boards, audit committees, and governance</x:v>
      </x:c>
      <x:c r="G2346" s="10" t="str">
        <x:v>Boards and governance structures oversee risk appetite and limits.</x:v>
      </x:c>
      <x:c r="H2346" s="10" t="str"/>
      <x:c r="I2346" s="10" t="str">
        <x:v>Finance mechanism / application; authored mapping</x:v>
      </x:c>
    </x:row>
    <x:row r="2347" ht="58" customHeight="1">
      <x:c r="A2347" s="9" t="str">
        <x:v>E2342</x:v>
      </x:c>
      <x:c r="B2347" s="9" t="str">
        <x:v>T25.12</x:v>
      </x:c>
      <x:c r="C2347" s="9" t="str">
        <x:v>Model risk and validation</x:v>
      </x:c>
      <x:c r="D2347" s="15" t="str">
        <x:v>MANAGED_WITH</x:v>
      </x:c>
      <x:c r="E2347" s="9" t="str">
        <x:v>T38.18</x:v>
      </x:c>
      <x:c r="F2347" s="9" t="str">
        <x:v>Reproducibility, model governance, and human verification</x:v>
      </x:c>
      <x:c r="G2347" s="9" t="str">
        <x:v>Reproducibility and independent verification support model-risk controls.</x:v>
      </x:c>
      <x:c r="H2347" s="9" t="str"/>
      <x:c r="I2347" s="9" t="str">
        <x:v>Finance mechanism / application; authored mapping</x:v>
      </x:c>
    </x:row>
    <x:row r="2348" ht="58" customHeight="1">
      <x:c r="A2348" s="10" t="str">
        <x:v>E2343</x:v>
      </x:c>
      <x:c r="B2348" s="10" t="str">
        <x:v>T25.13</x:v>
      </x:c>
      <x:c r="C2348" s="10" t="str">
        <x:v>Operational losses, cyber risk, and fraud risk</x:v>
      </x:c>
      <x:c r="D2348" s="14" t="str">
        <x:v>MANAGED_WITH</x:v>
      </x:c>
      <x:c r="E2348" s="10" t="str">
        <x:v>T36.11</x:v>
      </x:c>
      <x:c r="F2348" s="10" t="str">
        <x:v>Fraud detection and financial identity</x:v>
      </x:c>
      <x:c r="G2348" s="10" t="str">
        <x:v>Identity and fraud controls address selected digital operational risks.</x:v>
      </x:c>
      <x:c r="H2348" s="10" t="str"/>
      <x:c r="I2348" s="10" t="str">
        <x:v>Finance mechanism / application; authored mapping</x:v>
      </x:c>
    </x:row>
    <x:row r="2349" ht="58" customHeight="1">
      <x:c r="A2349" s="9" t="str">
        <x:v>E2344</x:v>
      </x:c>
      <x:c r="B2349" s="9" t="str">
        <x:v>T25.16</x:v>
      </x:c>
      <x:c r="C2349" s="9" t="str">
        <x:v>Systemic risk and financial crises</x:v>
      </x:c>
      <x:c r="D2349" s="15" t="str">
        <x:v>TRANSMITTED_THROUGH</x:v>
      </x:c>
      <x:c r="E2349" s="9" t="str">
        <x:v>T32.04</x:v>
      </x:c>
      <x:c r="F2349" s="9" t="str">
        <x:v>Money supply, credit, and liquidity</x:v>
      </x:c>
      <x:c r="G2349" s="9" t="str">
        <x:v>Funding and credit linkages can transmit financial distress.</x:v>
      </x:c>
      <x:c r="H2349" s="9" t="str"/>
      <x:c r="I2349" s="9" t="str">
        <x:v>Finance mechanism / application; authored mapping</x:v>
      </x:c>
    </x:row>
    <x:row r="2350" ht="58" customHeight="1">
      <x:c r="A2350" s="10" t="str">
        <x:v>E2345</x:v>
      </x:c>
      <x:c r="B2350" s="10" t="str">
        <x:v>T26.05</x:v>
      </x:c>
      <x:c r="C2350" s="10" t="str">
        <x:v>Financial, commercial, tax, and legal due diligence</x:v>
      </x:c>
      <x:c r="D2350" s="14" t="str">
        <x:v>USES</x:v>
      </x:c>
      <x:c r="E2350" s="10" t="str">
        <x:v>T10.15</x:v>
      </x:c>
      <x:c r="F2350" s="10" t="str">
        <x:v>Financial footnote investigation</x:v>
      </x:c>
      <x:c r="G2350" s="10" t="str">
        <x:v>Financial due diligence investigates disclosures and earnings quality.</x:v>
      </x:c>
      <x:c r="H2350" s="10" t="str"/>
      <x:c r="I2350" s="10" t="str">
        <x:v>Finance mechanism / application; authored mapping</x:v>
      </x:c>
    </x:row>
    <x:row r="2351" ht="58" customHeight="1">
      <x:c r="A2351" s="9" t="str">
        <x:v>E2346</x:v>
      </x:c>
      <x:c r="B2351" s="9" t="str">
        <x:v>T26.07</x:v>
      </x:c>
      <x:c r="C2351" s="9" t="str">
        <x:v>Synergies, dis-synergies, and integration costs</x:v>
      </x:c>
      <x:c r="D2351" s="15" t="str">
        <x:v>AFFECTS</x:v>
      </x:c>
      <x:c r="E2351" s="9" t="str">
        <x:v>T17.11</x:v>
      </x:c>
      <x:c r="F2351" s="9" t="str">
        <x:v>Reinvestment, growth, and return on capital</x:v>
      </x:c>
      <x:c r="G2351" s="9" t="str">
        <x:v>Operating synergies can change growth, margins and reinvestment needs.</x:v>
      </x:c>
      <x:c r="H2351" s="9" t="str">
        <x:v>Do not double count synergies already included in forecasts or prices.</x:v>
      </x:c>
      <x:c r="I2351" s="9" t="str">
        <x:v>Finance mechanism / application; authored mapping</x:v>
      </x:c>
    </x:row>
    <x:row r="2352" ht="58" customHeight="1">
      <x:c r="A2352" s="10" t="str">
        <x:v>E2347</x:v>
      </x:c>
      <x:c r="B2352" s="10" t="str">
        <x:v>T26.08</x:v>
      </x:c>
      <x:c r="C2352" s="10" t="str">
        <x:v>Cash, stock, and mixed consideration</x:v>
      </x:c>
      <x:c r="D2352" s="14" t="str">
        <x:v>AFFECTS</x:v>
      </x:c>
      <x:c r="E2352" s="10" t="str">
        <x:v>T27.06</x:v>
      </x:c>
      <x:c r="F2352" s="10" t="str">
        <x:v>Cap tables and dilution</x:v>
      </x:c>
      <x:c r="G2352" s="10" t="str">
        <x:v>Stock consideration can change ownership and dilution.</x:v>
      </x:c>
      <x:c r="H2352" s="10" t="str"/>
      <x:c r="I2352" s="10" t="str">
        <x:v>Finance mechanism / application; authored mapping</x:v>
      </x:c>
    </x:row>
    <x:row r="2353" ht="58" customHeight="1">
      <x:c r="A2353" s="9" t="str">
        <x:v>E2348</x:v>
      </x:c>
      <x:c r="B2353" s="9" t="str">
        <x:v>T26.09</x:v>
      </x:c>
      <x:c r="C2353" s="9" t="str">
        <x:v>Acquisition financing</x:v>
      </x:c>
      <x:c r="D2353" s="15" t="str">
        <x:v>AFFECTS</x:v>
      </x:c>
      <x:c r="E2353" s="9" t="str">
        <x:v>T13.16</x:v>
      </x:c>
      <x:c r="F2353" s="9" t="str">
        <x:v>Financial distress costs and optimal leverage</x:v>
      </x:c>
      <x:c r="G2353" s="9" t="str">
        <x:v>Acquisition borrowing can change leverage and financial risk.</x:v>
      </x:c>
      <x:c r="H2353" s="9" t="str"/>
      <x:c r="I2353" s="9" t="str">
        <x:v>Finance mechanism / application; authored mapping</x:v>
      </x:c>
    </x:row>
    <x:row r="2354" ht="58" customHeight="1">
      <x:c r="A2354" s="10" t="str">
        <x:v>E2349</x:v>
      </x:c>
      <x:c r="B2354" s="10" t="str">
        <x:v>T26.10</x:v>
      </x:c>
      <x:c r="C2354" s="10" t="str">
        <x:v>Accretion and dilution</x:v>
      </x:c>
      <x:c r="D2354" s="14" t="str">
        <x:v>MEASURED_BY</x:v>
      </x:c>
      <x:c r="E2354" s="10" t="str">
        <x:v>T05.18</x:v>
      </x:c>
      <x:c r="F2354" s="10" t="str">
        <x:v>Basic and diluted earnings per share</x:v>
      </x:c>
      <x:c r="G2354" s="10" t="str">
        <x:v>Accretion and dilution assess pro-forma EPS effects.</x:v>
      </x:c>
      <x:c r="H2354" s="10" t="str">
        <x:v>EPS accretion alone does not establish value creation.</x:v>
      </x:c>
      <x:c r="I2354" s="10" t="str">
        <x:v>Finance mechanism / application; authored mapping</x:v>
      </x:c>
    </x:row>
    <x:row r="2355" ht="58" customHeight="1">
      <x:c r="A2355" s="9" t="str">
        <x:v>E2350</x:v>
      </x:c>
      <x:c r="B2355" s="9" t="str">
        <x:v>T26.12</x:v>
      </x:c>
      <x:c r="C2355" s="9" t="str">
        <x:v>Purchase-price adjustments and working-capital mechanisms</x:v>
      </x:c>
      <x:c r="D2355" s="15" t="str">
        <x:v>USES</x:v>
      </x:c>
      <x:c r="E2355" s="9" t="str">
        <x:v>A05</x:v>
      </x:c>
      <x:c r="F2355" s="9" t="str">
        <x:v>Operating working capital</x:v>
      </x:c>
      <x:c r="G2355" s="9" t="str">
        <x:v>Closing working-capital adjustments use an agreed operating balance definition.</x:v>
      </x:c>
      <x:c r="H2355" s="9" t="str"/>
      <x:c r="I2355" s="9" t="str">
        <x:v>Finance mechanism / application; authored mapping</x:v>
      </x:c>
    </x:row>
    <x:row r="2356" ht="58" customHeight="1">
      <x:c r="A2356" s="10" t="str">
        <x:v>E2351</x:v>
      </x:c>
      <x:c r="B2356" s="10" t="str">
        <x:v>T26.13</x:v>
      </x:c>
      <x:c r="C2356" s="10" t="str">
        <x:v>Earn-outs and contingent consideration</x:v>
      </x:c>
      <x:c r="D2356" s="14" t="str">
        <x:v>ACCOUNTED_IN</x:v>
      </x:c>
      <x:c r="E2356" s="10" t="str">
        <x:v>T08.01</x:v>
      </x:c>
      <x:c r="F2356" s="10" t="str">
        <x:v>Business combinations and purchase-price allocation</x:v>
      </x:c>
      <x:c r="G2356" s="10" t="str">
        <x:v>Contingent consideration is part of applicable acquisition accounting.</x:v>
      </x:c>
      <x:c r="H2356" s="10" t="str"/>
      <x:c r="I2356" s="10" t="str">
        <x:v>Finance mechanism / application; authored mapping</x:v>
      </x:c>
    </x:row>
    <x:row r="2357" ht="58" customHeight="1">
      <x:c r="A2357" s="9" t="str">
        <x:v>E2352</x:v>
      </x:c>
      <x:c r="B2357" s="9" t="str">
        <x:v>T26.14</x:v>
      </x:c>
      <x:c r="C2357" s="9" t="str">
        <x:v>Leveraged and management buyouts</x:v>
      </x:c>
      <x:c r="D2357" s="15" t="str">
        <x:v>USES</x:v>
      </x:c>
      <x:c r="E2357" s="9" t="str">
        <x:v>A12</x:v>
      </x:c>
      <x:c r="F2357" s="9" t="str">
        <x:v>Free cash flow to equity (FCFE)</x:v>
      </x:c>
      <x:c r="G2357" s="9" t="str">
        <x:v>LBO equity outcomes depend on cash available after debt service and exit claims.</x:v>
      </x:c>
      <x:c r="H2357" s="9" t="str"/>
      <x:c r="I2357" s="9" t="str">
        <x:v>Finance mechanism / application; authored mapping</x:v>
      </x:c>
    </x:row>
    <x:row r="2358" ht="58" customHeight="1">
      <x:c r="A2358" s="10" t="str">
        <x:v>E2353</x:v>
      </x:c>
      <x:c r="B2358" s="10" t="str">
        <x:v>T26.17</x:v>
      </x:c>
      <x:c r="C2358" s="10" t="str">
        <x:v>Financial restructuring and debt exchanges</x:v>
      </x:c>
      <x:c r="D2358" s="14" t="str">
        <x:v>COMPARES_WITH</x:v>
      </x:c>
      <x:c r="E2358" s="10" t="str">
        <x:v>T26.18</x:v>
      </x:c>
      <x:c r="F2358" s="10" t="str">
        <x:v>Bankruptcy, insolvency, and recovery waterfalls</x:v>
      </x:c>
      <x:c r="G2358" s="10" t="str">
        <x:v>Restructuring and insolvency are alternative distress resolution routes.</x:v>
      </x:c>
      <x:c r="H2358" s="10" t="str"/>
      <x:c r="I2358" s="10" t="str">
        <x:v>Finance mechanism / application; authored mapping</x:v>
      </x:c>
    </x:row>
    <x:row r="2359" ht="58" customHeight="1">
      <x:c r="A2359" s="9" t="str">
        <x:v>E2354</x:v>
      </x:c>
      <x:c r="B2359" s="9" t="str">
        <x:v>T26.19</x:v>
      </x:c>
      <x:c r="C2359" s="9" t="str">
        <x:v>Post-merger integration and value tracking</x:v>
      </x:c>
      <x:c r="D2359" s="15" t="str">
        <x:v>ASSESSES</x:v>
      </x:c>
      <x:c r="E2359" s="9" t="str">
        <x:v>T12.15</x:v>
      </x:c>
      <x:c r="F2359" s="9" t="str">
        <x:v>Capital allocation performance and management incentives</x:v>
      </x:c>
      <x:c r="G2359" s="9" t="str">
        <x:v>Integration tracking assesses whether the intended capital-allocation benefits occur.</x:v>
      </x:c>
      <x:c r="H2359" s="9" t="str"/>
      <x:c r="I2359" s="9" t="str">
        <x:v>Finance mechanism / application; authored mapping</x:v>
      </x:c>
    </x:row>
    <x:row r="2360" ht="58" customHeight="1">
      <x:c r="A2360" s="10" t="str">
        <x:v>E2355</x:v>
      </x:c>
      <x:c r="B2360" s="10" t="str">
        <x:v>T27.03</x:v>
      </x:c>
      <x:c r="C2360" s="10" t="str">
        <x:v>Burn rate, net burn, and runway</x:v>
      </x:c>
      <x:c r="D2360" s="14" t="str">
        <x:v>USES</x:v>
      </x:c>
      <x:c r="E2360" s="10" t="str">
        <x:v>T14.04</x:v>
      </x:c>
      <x:c r="F2360" s="10" t="str">
        <x:v>Cash budgeting and short-term liquidity forecasting</x:v>
      </x:c>
      <x:c r="G2360" s="10" t="str">
        <x:v>Runway is supported by a time-specific cash budget.</x:v>
      </x:c>
      <x:c r="H2360" s="10" t="str">
        <x:v>A static cash divided by burn estimate can miss changing burn and funding dates.</x:v>
      </x:c>
      <x:c r="I2360" s="10" t="str">
        <x:v>Finance mechanism / application; authored mapping</x:v>
      </x:c>
    </x:row>
    <x:row r="2361" ht="58" customHeight="1">
      <x:c r="A2361" s="9" t="str">
        <x:v>E2356</x:v>
      </x:c>
      <x:c r="B2361" s="9" t="str">
        <x:v>T27.06</x:v>
      </x:c>
      <x:c r="C2361" s="9" t="str">
        <x:v>Cap tables and dilution</x:v>
      </x:c>
      <x:c r="D2361" s="15" t="str">
        <x:v>MODELS</x:v>
      </x:c>
      <x:c r="E2361" s="9" t="str">
        <x:v>T17.17</x:v>
      </x:c>
      <x:c r="F2361" s="9" t="str">
        <x:v>Share dilution, options, and restricted stock</x:v>
      </x:c>
      <x:c r="G2361" s="9" t="str">
        <x:v>Cap tables make existing and potential dilution visible.</x:v>
      </x:c>
      <x:c r="H2361" s="9" t="str"/>
      <x:c r="I2361" s="9" t="str">
        <x:v>Finance mechanism / application; authored mapping</x:v>
      </x:c>
    </x:row>
    <x:row r="2362" ht="58" customHeight="1">
      <x:c r="A2362" s="10" t="str">
        <x:v>E2357</x:v>
      </x:c>
      <x:c r="B2362" s="10" t="str">
        <x:v>T27.07</x:v>
      </x:c>
      <x:c r="C2362" s="10" t="str">
        <x:v>Pre-money and post-money valuation</x:v>
      </x:c>
      <x:c r="D2362" s="14" t="str">
        <x:v>CALCULATION_INPUT</x:v>
      </x:c>
      <x:c r="E2362" s="10" t="str">
        <x:v>T27.06</x:v>
      </x:c>
      <x:c r="F2362" s="10" t="str">
        <x:v>Cap tables and dilution</x:v>
      </x:c>
      <x:c r="G2362" s="10" t="str">
        <x:v>Pre-money value, new money and terms affect post-round ownership.</x:v>
      </x:c>
      <x:c r="H2362" s="10" t="str">
        <x:v>Simple formulas require a stated fully diluted convention.</x:v>
      </x:c>
      <x:c r="I2362" s="10" t="str">
        <x:v>Finance mechanism / application; authored mapping</x:v>
      </x:c>
    </x:row>
    <x:row r="2363" ht="58" customHeight="1">
      <x:c r="A2363" s="9" t="str">
        <x:v>E2358</x:v>
      </x:c>
      <x:c r="B2363" s="9" t="str">
        <x:v>T27.08</x:v>
      </x:c>
      <x:c r="C2363" s="9" t="str">
        <x:v>Convertible notes and SAFE-type instruments</x:v>
      </x:c>
      <x:c r="D2363" s="15" t="str">
        <x:v>HAS_CONTINGENT_TERMS</x:v>
      </x:c>
      <x:c r="E2363" s="9" t="str">
        <x:v>T21.16</x:v>
      </x:c>
      <x:c r="F2363" s="9" t="str">
        <x:v>Structured notes and embedded derivatives</x:v>
      </x:c>
      <x:c r="G2363" s="9" t="str">
        <x:v>Convertible startup instruments embed conversion and other contingent rights.</x:v>
      </x:c>
      <x:c r="H2363" s="9" t="str">
        <x:v>They are not equivalent to every traded structured note.</x:v>
      </x:c>
      <x:c r="I2363" s="9" t="str">
        <x:v>Finance mechanism / application; authored mapping</x:v>
      </x:c>
    </x:row>
    <x:row r="2364" ht="58" customHeight="1">
      <x:c r="A2364" s="10" t="str">
        <x:v>E2359</x:v>
      </x:c>
      <x:c r="B2364" s="10" t="str">
        <x:v>T27.09</x:v>
      </x:c>
      <x:c r="C2364" s="10" t="str">
        <x:v>Term sheets</x:v>
      </x:c>
      <x:c r="D2364" s="14" t="str">
        <x:v>SPECIFIES</x:v>
      </x:c>
      <x:c r="E2364" s="10" t="str">
        <x:v>T27.10</x:v>
      </x:c>
      <x:c r="F2364" s="10" t="str">
        <x:v>Liquidation preferences and participation rights</x:v>
      </x:c>
      <x:c r="G2364" s="10" t="str">
        <x:v>Term sheets specify preferences, rights and distribution terms.</x:v>
      </x:c>
      <x:c r="H2364" s="10" t="str"/>
      <x:c r="I2364" s="10" t="str">
        <x:v>Finance mechanism / application; authored mapping</x:v>
      </x:c>
    </x:row>
    <x:row r="2365" ht="58" customHeight="1">
      <x:c r="A2365" s="9" t="str">
        <x:v>E2360</x:v>
      </x:c>
      <x:c r="B2365" s="9" t="str">
        <x:v>T27.11</x:v>
      </x:c>
      <x:c r="C2365" s="9" t="str">
        <x:v>Anti-dilution provisions</x:v>
      </x:c>
      <x:c r="D2365" s="15" t="str">
        <x:v>APPLIED_IN</x:v>
      </x:c>
      <x:c r="E2365" s="9" t="str">
        <x:v>T27.16</x:v>
      </x:c>
      <x:c r="F2365" s="9" t="str">
        <x:v>Down rounds, bridge rounds, and recapitalisation</x:v>
      </x:c>
      <x:c r="G2365" s="9" t="str">
        <x:v>Anti-dilution provisions can change conversion terms during qualifying down rounds.</x:v>
      </x:c>
      <x:c r="H2365" s="9" t="str"/>
      <x:c r="I2365" s="9" t="str">
        <x:v>Finance mechanism / application; authored mapping</x:v>
      </x:c>
    </x:row>
    <x:row r="2366" ht="58" customHeight="1">
      <x:c r="A2366" s="10" t="str">
        <x:v>E2361</x:v>
      </x:c>
      <x:c r="B2366" s="10" t="str">
        <x:v>T27.12</x:v>
      </x:c>
      <x:c r="C2366" s="10" t="str">
        <x:v>Founder vesting and employee stock options</x:v>
      </x:c>
      <x:c r="D2366" s="14" t="str">
        <x:v>LINKS_TO</x:v>
      </x:c>
      <x:c r="E2366" s="10" t="str">
        <x:v>T08.10</x:v>
      </x:c>
      <x:c r="F2366" s="10" t="str">
        <x:v>Share-based compensation</x:v>
      </x:c>
      <x:c r="G2366" s="10" t="str">
        <x:v>Employee equity connects ownership incentives, accounting and dilution.</x:v>
      </x:c>
      <x:c r="H2366" s="10" t="str"/>
      <x:c r="I2366" s="10" t="str">
        <x:v>Finance mechanism / application; authored mapping</x:v>
      </x:c>
    </x:row>
    <x:row r="2367" ht="58" customHeight="1">
      <x:c r="A2367" s="9" t="str">
        <x:v>E2362</x:v>
      </x:c>
      <x:c r="B2367" s="9" t="str">
        <x:v>T27.13</x:v>
      </x:c>
      <x:c r="C2367" s="9" t="str">
        <x:v>Venture debt</x:v>
      </x:c>
      <x:c r="D2367" s="15" t="str">
        <x:v>ASSESSED_WITH</x:v>
      </x:c>
      <x:c r="E2367" s="9" t="str">
        <x:v>T24.14</x:v>
      </x:c>
      <x:c r="F2367" s="9" t="str">
        <x:v>Covenants and debt service capacity</x:v>
      </x:c>
      <x:c r="G2367" s="9" t="str">
        <x:v>Venture debt creates repayment and covenant obligations.</x:v>
      </x:c>
      <x:c r="H2367" s="9" t="str"/>
      <x:c r="I2367" s="9" t="str">
        <x:v>Finance mechanism / application; authored mapping</x:v>
      </x:c>
    </x:row>
    <x:row r="2368" ht="58" customHeight="1">
      <x:c r="A2368" s="10" t="str">
        <x:v>E2363</x:v>
      </x:c>
      <x:c r="B2368" s="10" t="str">
        <x:v>T27.15</x:v>
      </x:c>
      <x:c r="C2368" s="10" t="str">
        <x:v>SaaS, marketplace, consumer, and fintech economics</x:v>
      </x:c>
      <x:c r="D2368" s="14" t="str">
        <x:v>USES</x:v>
      </x:c>
      <x:c r="E2368" s="10" t="str">
        <x:v>T11.08</x:v>
      </x:c>
      <x:c r="F2368" s="10" t="str">
        <x:v>Customer lifetime value</x:v>
      </x:c>
      <x:c r="G2368" s="10" t="str">
        <x:v>Startup business models require relevant customer and transaction economics.</x:v>
      </x:c>
      <x:c r="H2368" s="10" t="str"/>
      <x:c r="I2368" s="10" t="str">
        <x:v>Finance mechanism / application; authored mapping</x:v>
      </x:c>
    </x:row>
    <x:row r="2369" ht="58" customHeight="1">
      <x:c r="A2369" s="9" t="str">
        <x:v>E2364</x:v>
      </x:c>
      <x:c r="B2369" s="9" t="str">
        <x:v>T27.17</x:v>
      </x:c>
      <x:c r="C2369" s="9" t="str">
        <x:v>Exit routes and exit waterfalls</x:v>
      </x:c>
      <x:c r="D2369" s="15" t="str">
        <x:v>ALLOCATES</x:v>
      </x:c>
      <x:c r="E2369" s="9" t="str">
        <x:v>T23.16</x:v>
      </x:c>
      <x:c r="F2369" s="9" t="str">
        <x:v>Fund fees, carried interest, and distribution waterfalls</x:v>
      </x:c>
      <x:c r="G2369" s="9" t="str">
        <x:v>Exit terms and waterfalls allocate sale proceeds across claims.</x:v>
      </x:c>
      <x:c r="H2369" s="9" t="str"/>
      <x:c r="I2369" s="9" t="str">
        <x:v>Finance mechanism / application; authored mapping</x:v>
      </x:c>
    </x:row>
    <x:row r="2370" ht="58" customHeight="1">
      <x:c r="A2370" s="10" t="str">
        <x:v>E2365</x:v>
      </x:c>
      <x:c r="B2370" s="10" t="str">
        <x:v>T28.02</x:v>
      </x:c>
      <x:c r="C2370" s="10" t="str">
        <x:v>Rental income, vacancy, and operating expenses</x:v>
      </x:c>
      <x:c r="D2370" s="14" t="str">
        <x:v>CALCULATION_INPUT</x:v>
      </x:c>
      <x:c r="E2370" s="10" t="str">
        <x:v>T28.03</x:v>
      </x:c>
      <x:c r="F2370" s="10" t="str">
        <x:v>Net operating income and capitalisation rates</x:v>
      </x:c>
      <x:c r="G2370" s="10" t="str">
        <x:v>Rental cash economics contribute to property NOI.</x:v>
      </x:c>
      <x:c r="H2370" s="10" t="str"/>
      <x:c r="I2370" s="10" t="str">
        <x:v>Finance mechanism / application; authored mapping</x:v>
      </x:c>
    </x:row>
    <x:row r="2371" ht="58" customHeight="1">
      <x:c r="A2371" s="9" t="str">
        <x:v>E2366</x:v>
      </x:c>
      <x:c r="B2371" s="9" t="str">
        <x:v>T28.03</x:v>
      </x:c>
      <x:c r="C2371" s="9" t="str">
        <x:v>Net operating income and capitalisation rates</x:v>
      </x:c>
      <x:c r="D2371" s="15" t="str">
        <x:v>VALUED_USING</x:v>
      </x:c>
      <x:c r="E2371" s="9" t="str">
        <x:v>T28.04</x:v>
      </x:c>
      <x:c r="F2371" s="9" t="str">
        <x:v>Property valuation</x:v>
      </x:c>
      <x:c r="G2371" s="9" t="str">
        <x:v>NOI and a suitable capitalisation rate support direct-capitalisation valuation.</x:v>
      </x:c>
      <x:c r="H2371" s="9" t="str">
        <x:v>Stabilisation, growth and expense conventions must be stated.</x:v>
      </x:c>
      <x:c r="I2371" s="9" t="str">
        <x:v>Finance mechanism / application; authored mapping</x:v>
      </x:c>
    </x:row>
    <x:row r="2372" ht="58" customHeight="1">
      <x:c r="A2372" s="10" t="str">
        <x:v>E2367</x:v>
      </x:c>
      <x:c r="B2372" s="10" t="str">
        <x:v>T28.05</x:v>
      </x:c>
      <x:c r="C2372" s="10" t="str">
        <x:v>Development feasibility and construction cash flows</x:v>
      </x:c>
      <x:c r="D2372" s="14" t="str">
        <x:v>ASSESSED_WITH</x:v>
      </x:c>
      <x:c r="E2372" s="10" t="str">
        <x:v>T12.04</x:v>
      </x:c>
      <x:c r="F2372" s="10" t="str">
        <x:v>Capital budgeting</x:v>
      </x:c>
      <x:c r="G2372" s="10" t="str">
        <x:v>Development projects are evaluated through capital budgeting.</x:v>
      </x:c>
      <x:c r="H2372" s="10" t="str"/>
      <x:c r="I2372" s="10" t="str">
        <x:v>Finance mechanism / application; authored mapping</x:v>
      </x:c>
    </x:row>
    <x:row r="2373" ht="58" customHeight="1">
      <x:c r="A2373" s="9" t="str">
        <x:v>E2368</x:v>
      </x:c>
      <x:c r="B2373" s="9" t="str">
        <x:v>T28.06</x:v>
      </x:c>
      <x:c r="C2373" s="9" t="str">
        <x:v>Mortgage structures and amortisation</x:v>
      </x:c>
      <x:c r="D2373" s="15" t="str">
        <x:v>CALCULATED_WITH</x:v>
      </x:c>
      <x:c r="E2373" s="9" t="str">
        <x:v>T03.10</x:v>
      </x:c>
      <x:c r="F2373" s="9" t="str">
        <x:v>Loan amortisation and EMI calculations</x:v>
      </x:c>
      <x:c r="G2373" s="9" t="str">
        <x:v>Mortgage payments use amortisation mathematics and the actual loan terms.</x:v>
      </x:c>
      <x:c r="H2373" s="9" t="str"/>
      <x:c r="I2373" s="9" t="str">
        <x:v>Finance mechanism / application; authored mapping</x:v>
      </x:c>
    </x:row>
    <x:row r="2374" ht="58" customHeight="1">
      <x:c r="A2374" s="10" t="str">
        <x:v>E2369</x:v>
      </x:c>
      <x:c r="B2374" s="10" t="str">
        <x:v>T28.07</x:v>
      </x:c>
      <x:c r="C2374" s="10" t="str">
        <x:v>Loan-to-value, debt yield, and debt service coverage</x:v>
      </x:c>
      <x:c r="D2374" s="14" t="str">
        <x:v>ASSESSES</x:v>
      </x:c>
      <x:c r="E2374" s="10" t="str">
        <x:v>T24.14</x:v>
      </x:c>
      <x:c r="F2374" s="10" t="str">
        <x:v>Covenants and debt service capacity</x:v>
      </x:c>
      <x:c r="G2374" s="10" t="str">
        <x:v>Property coverage and leverage metrics support credit analysis.</x:v>
      </x:c>
      <x:c r="H2374" s="10" t="str"/>
      <x:c r="I2374" s="10" t="str">
        <x:v>Finance mechanism / application; authored mapping</x:v>
      </x:c>
    </x:row>
    <x:row r="2375" ht="58" customHeight="1">
      <x:c r="A2375" s="9" t="str">
        <x:v>E2370</x:v>
      </x:c>
      <x:c r="B2375" s="9" t="str">
        <x:v>T28.10</x:v>
      </x:c>
      <x:c r="C2375" s="9" t="str">
        <x:v>Project finance versus corporate finance</x:v>
      </x:c>
      <x:c r="D2375" s="15" t="str">
        <x:v>STRUCTURED_THROUGH</x:v>
      </x:c>
      <x:c r="E2375" s="9" t="str">
        <x:v>T28.11</x:v>
      </x:c>
      <x:c r="F2375" s="9" t="str">
        <x:v>Special-purpose vehicles and limited-recourse structures</x:v>
      </x:c>
      <x:c r="G2375" s="9" t="str">
        <x:v>Project finance often uses a ring-fenced special-purpose vehicle.</x:v>
      </x:c>
      <x:c r="H2375" s="9" t="str"/>
      <x:c r="I2375" s="9" t="str">
        <x:v>Finance mechanism / application; authored mapping</x:v>
      </x:c>
    </x:row>
    <x:row r="2376" ht="58" customHeight="1">
      <x:c r="A2376" s="10" t="str">
        <x:v>E2371</x:v>
      </x:c>
      <x:c r="B2376" s="10" t="str">
        <x:v>T28.12</x:v>
      </x:c>
      <x:c r="C2376" s="10" t="str">
        <x:v>Construction risk and operating risk</x:v>
      </x:c>
      <x:c r="D2376" s="14" t="str">
        <x:v>TESTED_WITH</x:v>
      </x:c>
      <x:c r="E2376" s="10" t="str">
        <x:v>T25.07</x:v>
      </x:c>
      <x:c r="F2376" s="10" t="str">
        <x:v>Stress testing and reverse stress testing</x:v>
      </x:c>
      <x:c r="G2376" s="10" t="str">
        <x:v>Construction and operating risks can be tested through downside scenarios.</x:v>
      </x:c>
      <x:c r="H2376" s="10" t="str"/>
      <x:c r="I2376" s="10" t="str">
        <x:v>Finance mechanism / application; authored mapping</x:v>
      </x:c>
    </x:row>
    <x:row r="2377" ht="58" customHeight="1">
      <x:c r="A2377" s="9" t="str">
        <x:v>E2372</x:v>
      </x:c>
      <x:c r="B2377" s="9" t="str">
        <x:v>T28.13</x:v>
      </x:c>
      <x:c r="C2377" s="9" t="str">
        <x:v>Concessions, offtake agreements, and public-private partnerships</x:v>
      </x:c>
      <x:c r="D2377" s="15" t="str">
        <x:v>INFORMS</x:v>
      </x:c>
      <x:c r="E2377" s="9" t="str">
        <x:v>T28.14</x:v>
      </x:c>
      <x:c r="F2377" s="9" t="str">
        <x:v>Debt sizing and debt sculpting</x:v>
      </x:c>
      <x:c r="G2377" s="9" t="str">
        <x:v>Concession and offtake terms affect cash-flow certainty and debt capacity.</x:v>
      </x:c>
      <x:c r="H2377" s="9" t="str"/>
      <x:c r="I2377" s="9" t="str">
        <x:v>Finance mechanism / application; authored mapping</x:v>
      </x:c>
    </x:row>
    <x:row r="2378" ht="58" customHeight="1">
      <x:c r="A2378" s="10" t="str">
        <x:v>E2373</x:v>
      </x:c>
      <x:c r="B2378" s="10" t="str">
        <x:v>T28.15</x:v>
      </x:c>
      <x:c r="C2378" s="10" t="str">
        <x:v>DSCR, LLCR, and PLCR</x:v>
      </x:c>
      <x:c r="D2378" s="14" t="str">
        <x:v>CONSTRAINS</x:v>
      </x:c>
      <x:c r="E2378" s="10" t="str">
        <x:v>T28.14</x:v>
      </x:c>
      <x:c r="F2378" s="10" t="str">
        <x:v>Debt sizing and debt sculpting</x:v>
      </x:c>
      <x:c r="G2378" s="10" t="str">
        <x:v>Coverage metrics can constrain project debt sizing and sculpting.</x:v>
      </x:c>
      <x:c r="H2378" s="10" t="str"/>
      <x:c r="I2378" s="10" t="str">
        <x:v>Finance mechanism / application; authored mapping</x:v>
      </x:c>
    </x:row>
    <x:row r="2379" ht="58" customHeight="1">
      <x:c r="A2379" s="9" t="str">
        <x:v>E2374</x:v>
      </x:c>
      <x:c r="B2379" s="9" t="str">
        <x:v>T28.16</x:v>
      </x:c>
      <x:c r="C2379" s="9" t="str">
        <x:v>Reserve accounts and cash waterfalls</x:v>
      </x:c>
      <x:c r="D2379" s="15" t="str">
        <x:v>ALLOCATES</x:v>
      </x:c>
      <x:c r="E2379" s="9" t="str">
        <x:v>T28.09</x:v>
      </x:c>
      <x:c r="F2379" s="9" t="str">
        <x:v>Real estate investment waterfalls</x:v>
      </x:c>
      <x:c r="G2379" s="9" t="str">
        <x:v>Project or property cash waterfalls allocate receipts among specified obligations and equity.</x:v>
      </x:c>
      <x:c r="H2379" s="9" t="str"/>
      <x:c r="I2379" s="9" t="str">
        <x:v>Finance mechanism / application; authored mapping</x:v>
      </x:c>
    </x:row>
    <x:row r="2380" ht="58" customHeight="1">
      <x:c r="A2380" s="10" t="str">
        <x:v>E2375</x:v>
      </x:c>
      <x:c r="B2380" s="10" t="str">
        <x:v>T28.17</x:v>
      </x:c>
      <x:c r="C2380" s="10" t="str">
        <x:v>Refinancing and project equity returns</x:v>
      </x:c>
      <x:c r="D2380" s="14" t="str">
        <x:v>AFFECTS</x:v>
      </x:c>
      <x:c r="E2380" s="10" t="str">
        <x:v>T28.08</x:v>
      </x:c>
      <x:c r="F2380" s="10" t="str">
        <x:v>Levered and unlevered property returns</x:v>
      </x:c>
      <x:c r="G2380" s="10" t="str">
        <x:v>Refinancing changes future equity cash flows and financing risk.</x:v>
      </x:c>
      <x:c r="H2380" s="10" t="str"/>
      <x:c r="I2380" s="10" t="str">
        <x:v>Finance mechanism / application; authored mapping</x:v>
      </x:c>
    </x:row>
    <x:row r="2381" ht="58" customHeight="1">
      <x:c r="A2381" s="9" t="str">
        <x:v>E2376</x:v>
      </x:c>
      <x:c r="B2381" s="9" t="str">
        <x:v>T29.01</x:v>
      </x:c>
      <x:c r="C2381" s="9" t="str">
        <x:v>Risk pooling and the economics of insurance</x:v>
      </x:c>
      <x:c r="D2381" s="15" t="str">
        <x:v>USES</x:v>
      </x:c>
      <x:c r="E2381" s="9" t="str">
        <x:v>T02.07</x:v>
      </x:c>
      <x:c r="F2381" s="9" t="str">
        <x:v>Probability, conditional probability, and Bayes' theorem</x:v>
      </x:c>
      <x:c r="G2381" s="9" t="str">
        <x:v>Insurance pools uncertain claim events using probability and exposure assumptions.</x:v>
      </x:c>
      <x:c r="H2381" s="9" t="str"/>
      <x:c r="I2381" s="9" t="str">
        <x:v>Finance mechanism / application; authored mapping</x:v>
      </x:c>
    </x:row>
    <x:row r="2382" ht="58" customHeight="1">
      <x:c r="A2382" s="10" t="str">
        <x:v>E2377</x:v>
      </x:c>
      <x:c r="B2382" s="10" t="str">
        <x:v>T29.05</x:v>
      </x:c>
      <x:c r="C2382" s="10" t="str">
        <x:v>Underwriting and adverse selection</x:v>
      </x:c>
      <x:c r="D2382" s="14" t="str">
        <x:v>ADDRESSES</x:v>
      </x:c>
      <x:c r="E2382" s="10" t="str">
        <x:v>T01.14</x:v>
      </x:c>
      <x:c r="F2382" s="10" t="str">
        <x:v>Agency problems, incentives, information asymmetry, and moral hazard</x:v>
      </x:c>
      <x:c r="G2382" s="10" t="str">
        <x:v>Underwriting addresses adverse selection and information asymmetry.</x:v>
      </x:c>
      <x:c r="H2382" s="10" t="str"/>
      <x:c r="I2382" s="10" t="str">
        <x:v>Finance mechanism / application; authored mapping</x:v>
      </x:c>
    </x:row>
    <x:row r="2383" ht="58" customHeight="1">
      <x:c r="A2383" s="9" t="str">
        <x:v>E2378</x:v>
      </x:c>
      <x:c r="B2383" s="9" t="str">
        <x:v>T29.06</x:v>
      </x:c>
      <x:c r="C2383" s="9" t="str">
        <x:v>Reinsurance</x:v>
      </x:c>
      <x:c r="D2383" s="15" t="str">
        <x:v>TRANSFERS</x:v>
      </x:c>
      <x:c r="E2383" s="9" t="str">
        <x:v>T29.16</x:v>
      </x:c>
      <x:c r="F2383" s="9" t="str">
        <x:v>Catastrophe risk and insurance-linked securities</x:v>
      </x:c>
      <x:c r="G2383" s="9" t="str">
        <x:v>Reinsurance can transfer parts of catastrophe and other insured risks.</x:v>
      </x:c>
      <x:c r="H2383" s="9" t="str"/>
      <x:c r="I2383" s="9" t="str">
        <x:v>Finance mechanism / application; authored mapping</x:v>
      </x:c>
    </x:row>
    <x:row r="2384" ht="58" customHeight="1">
      <x:c r="A2384" s="10" t="str">
        <x:v>E2379</x:v>
      </x:c>
      <x:c r="B2384" s="10" t="str">
        <x:v>T29.07</x:v>
      </x:c>
      <x:c r="C2384" s="10" t="str">
        <x:v>Claims reserves and technical provisions</x:v>
      </x:c>
      <x:c r="D2384" s="14" t="str">
        <x:v>ESTIMATED_WITH</x:v>
      </x:c>
      <x:c r="E2384" s="10" t="str">
        <x:v>T29.08</x:v>
      </x:c>
      <x:c r="F2384" s="10" t="str">
        <x:v>Mortality, morbidity, frequency, and severity</x:v>
      </x:c>
      <x:c r="G2384" s="10" t="str">
        <x:v>Reserves use claim frequency, severity and payment-pattern assumptions.</x:v>
      </x:c>
      <x:c r="H2384" s="10" t="str"/>
      <x:c r="I2384" s="10" t="str">
        <x:v>Finance mechanism / application; authored mapping</x:v>
      </x:c>
    </x:row>
    <x:row r="2385" ht="58" customHeight="1">
      <x:c r="A2385" s="9" t="str">
        <x:v>E2380</x:v>
      </x:c>
      <x:c r="B2385" s="9" t="str">
        <x:v>T29.09</x:v>
      </x:c>
      <x:c r="C2385" s="9" t="str">
        <x:v>Present value of insurance liabilities</x:v>
      </x:c>
      <x:c r="D2385" s="15" t="str">
        <x:v>CALCULATED_WITH</x:v>
      </x:c>
      <x:c r="E2385" s="9" t="str">
        <x:v>T03.01</x:v>
      </x:c>
      <x:c r="F2385" s="9" t="str">
        <x:v>Present value and future value</x:v>
      </x:c>
      <x:c r="G2385" s="9" t="str">
        <x:v>Insurance liability valuation involves the timing and discounting of expected payments.</x:v>
      </x:c>
      <x:c r="H2385" s="9" t="str">
        <x:v>Accounting and solvency valuation bases may differ.</x:v>
      </x:c>
      <x:c r="I2385" s="9" t="str">
        <x:v>Finance mechanism / application; authored mapping</x:v>
      </x:c>
    </x:row>
    <x:row r="2386" ht="58" customHeight="1">
      <x:c r="A2386" s="10" t="str">
        <x:v>E2381</x:v>
      </x:c>
      <x:c r="B2386" s="10" t="str">
        <x:v>T29.10</x:v>
      </x:c>
      <x:c r="C2386" s="10" t="str">
        <x:v>Loss ratios, expense ratios, and combined ratios</x:v>
      </x:c>
      <x:c r="D2386" s="14" t="str">
        <x:v>ANALOGOUS_METRIC</x:v>
      </x:c>
      <x:c r="E2386" s="10" t="str">
        <x:v>T09.05</x:v>
      </x:c>
      <x:c r="F2386" s="10" t="str">
        <x:v>Profitability and margin ratios</x:v>
      </x:c>
      <x:c r="G2386" s="10" t="str">
        <x:v>Insurance underwriting ratios evaluate profitability using sector-specific denominators.</x:v>
      </x:c>
      <x:c r="H2386" s="10" t="str"/>
      <x:c r="I2386" s="10" t="str">
        <x:v>Finance mechanism / application; authored mapping</x:v>
      </x:c>
    </x:row>
    <x:row r="2387" ht="58" customHeight="1">
      <x:c r="A2387" s="9" t="str">
        <x:v>E2382</x:v>
      </x:c>
      <x:c r="B2387" s="9" t="str">
        <x:v>T29.11</x:v>
      </x:c>
      <x:c r="C2387" s="9" t="str">
        <x:v>Embedded value and value of new business</x:v>
      </x:c>
      <x:c r="D2387" s="15" t="str">
        <x:v>INFORMS</x:v>
      </x:c>
      <x:c r="E2387" s="9" t="str">
        <x:v>T18.15</x:v>
      </x:c>
      <x:c r="F2387" s="9" t="str">
        <x:v>Bank, NBFC, and insurance valuation</x:v>
      </x:c>
      <x:c r="G2387" s="9" t="str">
        <x:v>Embedded value and new-business economics inform some life-insurer valuations.</x:v>
      </x:c>
      <x:c r="H2387" s="9" t="str">
        <x:v>They are not interchangeable with every insurer valuation method.</x:v>
      </x:c>
      <x:c r="I2387" s="9" t="str">
        <x:v>Finance mechanism / application; authored mapping</x:v>
      </x:c>
    </x:row>
    <x:row r="2388" ht="58" customHeight="1">
      <x:c r="A2388" s="10" t="str">
        <x:v>E2383</x:v>
      </x:c>
      <x:c r="B2388" s="10" t="str">
        <x:v>T29.13</x:v>
      </x:c>
      <x:c r="C2388" s="10" t="str">
        <x:v>Asset-liability matching</x:v>
      </x:c>
      <x:c r="D2388" s="14" t="str">
        <x:v>APPLIES</x:v>
      </x:c>
      <x:c r="E2388" s="10" t="str">
        <x:v>T22.18</x:v>
      </x:c>
      <x:c r="F2388" s="10" t="str">
        <x:v>Liability-driven and goals-based investing</x:v>
      </x:c>
      <x:c r="G2388" s="10" t="str">
        <x:v>Insurers match investment assets to expected liability needs.</x:v>
      </x:c>
      <x:c r="H2388" s="10" t="str"/>
      <x:c r="I2388" s="10" t="str">
        <x:v>Finance mechanism / application; authored mapping</x:v>
      </x:c>
    </x:row>
    <x:row r="2389" ht="58" customHeight="1">
      <x:c r="A2389" s="9" t="str">
        <x:v>E2384</x:v>
      </x:c>
      <x:c r="B2389" s="9" t="str">
        <x:v>T29.14</x:v>
      </x:c>
      <x:c r="C2389" s="9" t="str">
        <x:v>Solvency and regulatory capital</x:v>
      </x:c>
      <x:c r="D2389" s="15" t="str">
        <x:v>LINKS_TO</x:v>
      </x:c>
      <x:c r="E2389" s="9" t="str">
        <x:v>T25.15</x:v>
      </x:c>
      <x:c r="F2389" s="9" t="str">
        <x:v>Economic capital and risk-adjusted performance</x:v>
      </x:c>
      <x:c r="G2389" s="9" t="str">
        <x:v>Solvency requirements connect risk-bearing capacity to capital.</x:v>
      </x:c>
      <x:c r="H2389" s="9" t="str"/>
      <x:c r="I2389" s="9" t="str">
        <x:v>Finance mechanism / application; authored mapping</x:v>
      </x:c>
    </x:row>
    <x:row r="2390" ht="58" customHeight="1">
      <x:c r="A2390" s="10" t="str">
        <x:v>E2385</x:v>
      </x:c>
      <x:c r="B2390" s="10" t="str">
        <x:v>T29.15</x:v>
      </x:c>
      <x:c r="C2390" s="10" t="str">
        <x:v>Pension and annuity products</x:v>
      </x:c>
      <x:c r="D2390" s="14" t="str">
        <x:v>SUPPORTS</x:v>
      </x:c>
      <x:c r="E2390" s="10" t="str">
        <x:v>T30.10</x:v>
      </x:c>
      <x:c r="F2390" s="10" t="str">
        <x:v>Retirement planning and withdrawal strategies</x:v>
      </x:c>
      <x:c r="G2390" s="10" t="str">
        <x:v>Annuities and pensions can provide retirement income.</x:v>
      </x:c>
      <x:c r="H2390" s="10" t="str"/>
      <x:c r="I2390" s="10" t="str">
        <x:v>Finance mechanism / application; authored mapping</x:v>
      </x:c>
    </x:row>
    <x:row r="2391" ht="58" customHeight="1">
      <x:c r="A2391" s="9" t="str">
        <x:v>E2386</x:v>
      </x:c>
      <x:c r="B2391" s="9" t="str">
        <x:v>T30.01</x:v>
      </x:c>
      <x:c r="C2391" s="9" t="str">
        <x:v>Personal financial statements and net worth</x:v>
      </x:c>
      <x:c r="D2391" s="15" t="str">
        <x:v>USES</x:v>
      </x:c>
      <x:c r="E2391" s="9" t="str">
        <x:v>T04.01</x:v>
      </x:c>
      <x:c r="F2391" s="9" t="str">
        <x:v>The accounting equation</x:v>
      </x:c>
      <x:c r="G2391" s="9" t="str">
        <x:v>A household net-worth statement distinguishes assets and liabilities.</x:v>
      </x:c>
      <x:c r="H2391" s="9" t="str"/>
      <x:c r="I2391" s="9" t="str">
        <x:v>Finance mechanism / application; authored mapping</x:v>
      </x:c>
    </x:row>
    <x:row r="2392" ht="58" customHeight="1">
      <x:c r="A2392" s="10" t="str">
        <x:v>E2387</x:v>
      </x:c>
      <x:c r="B2392" s="10" t="str">
        <x:v>T30.02</x:v>
      </x:c>
      <x:c r="C2392" s="10" t="str">
        <x:v>Budgeting and expense tracking</x:v>
      </x:c>
      <x:c r="D2392" s="14" t="str">
        <x:v>ANALOGOUS_TO</x:v>
      </x:c>
      <x:c r="E2392" s="10" t="str">
        <x:v>T14.04</x:v>
      </x:c>
      <x:c r="F2392" s="10" t="str">
        <x:v>Cash budgeting and short-term liquidity forecasting</x:v>
      </x:c>
      <x:c r="G2392" s="10" t="str">
        <x:v>Household budgeting and business cash budgeting both track receipts and payments.</x:v>
      </x:c>
      <x:c r="H2392" s="10" t="str">
        <x:v>Household goals and accounting conventions differ from corporate reporting.</x:v>
      </x:c>
      <x:c r="I2392" s="10" t="str">
        <x:v>Finance mechanism / application; authored mapping</x:v>
      </x:c>
    </x:row>
    <x:row r="2393" ht="58" customHeight="1">
      <x:c r="A2393" s="9" t="str">
        <x:v>E2388</x:v>
      </x:c>
      <x:c r="B2393" s="9" t="str">
        <x:v>T30.03</x:v>
      </x:c>
      <x:c r="C2393" s="9" t="str">
        <x:v>Emergency funds</x:v>
      </x:c>
      <x:c r="D2393" s="15" t="str">
        <x:v>ANALOGOUS_TO</x:v>
      </x:c>
      <x:c r="E2393" s="9" t="str">
        <x:v>T14.15</x:v>
      </x:c>
      <x:c r="F2393" s="9" t="str">
        <x:v>Liquidity buffers and contingency funding</x:v>
      </x:c>
      <x:c r="G2393" s="9" t="str">
        <x:v>Emergency funds provide household liquidity protection.</x:v>
      </x:c>
      <x:c r="H2393" s="9" t="str"/>
      <x:c r="I2393" s="9" t="str">
        <x:v>Finance mechanism / application; authored mapping</x:v>
      </x:c>
    </x:row>
    <x:row r="2394" ht="58" customHeight="1">
      <x:c r="A2394" s="10" t="str">
        <x:v>E2389</x:v>
      </x:c>
      <x:c r="B2394" s="10" t="str">
        <x:v>T30.04</x:v>
      </x:c>
      <x:c r="C2394" s="10" t="str">
        <x:v>Debt management and credit scores</x:v>
      </x:c>
      <x:c r="D2394" s="14" t="str">
        <x:v>AFFECTS</x:v>
      </x:c>
      <x:c r="E2394" s="10" t="str">
        <x:v>T24.11</x:v>
      </x:c>
      <x:c r="F2394" s="10" t="str">
        <x:v>Credit ratings and credit scoring</x:v>
      </x:c>
      <x:c r="G2394" s="10" t="str">
        <x:v>Credit history and assessment can influence borrowing access and pricing.</x:v>
      </x:c>
      <x:c r="H2394" s="10" t="str"/>
      <x:c r="I2394" s="10" t="str">
        <x:v>Finance mechanism / application; authored mapping</x:v>
      </x:c>
    </x:row>
    <x:row r="2395" ht="58" customHeight="1">
      <x:c r="A2395" s="9" t="str">
        <x:v>E2390</x:v>
      </x:c>
      <x:c r="B2395" s="9" t="str">
        <x:v>T30.05</x:v>
      </x:c>
      <x:c r="C2395" s="9" t="str">
        <x:v>Education, vehicle, and home loans</x:v>
      </x:c>
      <x:c r="D2395" s="15" t="str">
        <x:v>USES</x:v>
      </x:c>
      <x:c r="E2395" s="9" t="str">
        <x:v>T03.10</x:v>
      </x:c>
      <x:c r="F2395" s="9" t="str">
        <x:v>Loan amortisation and EMI calculations</x:v>
      </x:c>
      <x:c r="G2395" s="9" t="str">
        <x:v>Loan comparisons require payment, amortisation and cost calculations.</x:v>
      </x:c>
      <x:c r="H2395" s="9" t="str"/>
      <x:c r="I2395" s="9" t="str">
        <x:v>Finance mechanism / application; authored mapping</x:v>
      </x:c>
    </x:row>
    <x:row r="2396" ht="58" customHeight="1">
      <x:c r="A2396" s="10" t="str">
        <x:v>E2391</x:v>
      </x:c>
      <x:c r="B2396" s="10" t="str">
        <x:v>T30.06</x:v>
      </x:c>
      <x:c r="C2396" s="10" t="str">
        <x:v>Financial goals and savings plans</x:v>
      </x:c>
      <x:c r="D2396" s="14" t="str">
        <x:v>USES</x:v>
      </x:c>
      <x:c r="E2396" s="10" t="str">
        <x:v>T03.11</x:v>
      </x:c>
      <x:c r="F2396" s="10" t="str">
        <x:v>Sinking funds and savings accumulation</x:v>
      </x:c>
      <x:c r="G2396" s="10" t="str">
        <x:v>Savings accumulation calculations support future financial goals.</x:v>
      </x:c>
      <x:c r="H2396" s="10" t="str"/>
      <x:c r="I2396" s="10" t="str">
        <x:v>Finance mechanism / application; authored mapping</x:v>
      </x:c>
    </x:row>
    <x:row r="2397" ht="58" customHeight="1">
      <x:c r="A2397" s="9" t="str">
        <x:v>E2392</x:v>
      </x:c>
      <x:c r="B2397" s="9" t="str">
        <x:v>T30.07</x:v>
      </x:c>
      <x:c r="C2397" s="9" t="str">
        <x:v>Insurance needs analysis</x:v>
      </x:c>
      <x:c r="D2397" s="15" t="str">
        <x:v>USES</x:v>
      </x:c>
      <x:c r="E2397" s="9" t="str">
        <x:v>T29.04</x:v>
      </x:c>
      <x:c r="F2397" s="9" t="str">
        <x:v>Premiums, deductibles, exclusions, and claims</x:v>
      </x:c>
      <x:c r="G2397" s="9" t="str">
        <x:v>Protection planning compares coverage, exclusions, premiums and claim terms.</x:v>
      </x:c>
      <x:c r="H2397" s="9" t="str"/>
      <x:c r="I2397" s="9" t="str">
        <x:v>Finance mechanism / application; authored mapping</x:v>
      </x:c>
    </x:row>
    <x:row r="2398" ht="58" customHeight="1">
      <x:c r="A2398" s="10" t="str">
        <x:v>E2393</x:v>
      </x:c>
      <x:c r="B2398" s="10" t="str">
        <x:v>T30.08</x:v>
      </x:c>
      <x:c r="C2398" s="10" t="str">
        <x:v>Investment selection and asset allocation</x:v>
      </x:c>
      <x:c r="D2398" s="14" t="str">
        <x:v>USES</x:v>
      </x:c>
      <x:c r="E2398" s="10" t="str">
        <x:v>T22.09</x:v>
      </x:c>
      <x:c r="F2398" s="10" t="str">
        <x:v>Strategic and tactical asset allocation</x:v>
      </x:c>
      <x:c r="G2398" s="10" t="str">
        <x:v>Personal investment planning uses asset allocation suited to goals and constraints.</x:v>
      </x:c>
      <x:c r="H2398" s="10" t="str"/>
      <x:c r="I2398" s="10" t="str">
        <x:v>Finance mechanism / application; authored mapping</x:v>
      </x:c>
    </x:row>
    <x:row r="2399" ht="58" customHeight="1">
      <x:c r="A2399" s="9" t="str">
        <x:v>E2394</x:v>
      </x:c>
      <x:c r="B2399" s="9" t="str">
        <x:v>T30.09</x:v>
      </x:c>
      <x:c r="C2399" s="9" t="str">
        <x:v>Tax-efficient investing</x:v>
      </x:c>
      <x:c r="D2399" s="15" t="str">
        <x:v>USES</x:v>
      </x:c>
      <x:c r="E2399" s="9" t="str">
        <x:v>T31.06</x:v>
      </x:c>
      <x:c r="F2399" s="9" t="str">
        <x:v>Tax treatment of investment products</x:v>
      </x:c>
      <x:c r="G2399" s="9" t="str">
        <x:v>Tax-efficient investing requires the applicable product tax treatment.</x:v>
      </x:c>
      <x:c r="H2399" s="9" t="str"/>
      <x:c r="I2399" s="9" t="str">
        <x:v>Finance mechanism / application; authored mapping</x:v>
      </x:c>
    </x:row>
    <x:row r="2400" ht="58" customHeight="1">
      <x:c r="A2400" s="10" t="str">
        <x:v>E2395</x:v>
      </x:c>
      <x:c r="B2400" s="10" t="str">
        <x:v>T30.10</x:v>
      </x:c>
      <x:c r="C2400" s="10" t="str">
        <x:v>Retirement planning and withdrawal strategies</x:v>
      </x:c>
      <x:c r="D2400" s="14" t="str">
        <x:v>USES</x:v>
      </x:c>
      <x:c r="E2400" s="10" t="str">
        <x:v>T03.05</x:v>
      </x:c>
      <x:c r="F2400" s="10" t="str">
        <x:v>Growing annuities</x:v>
      </x:c>
      <x:c r="G2400" s="10" t="str">
        <x:v>Retirement plans connect contributions, growth, inflation and withdrawals.</x:v>
      </x:c>
      <x:c r="H2400" s="10" t="str"/>
      <x:c r="I2400" s="10" t="str">
        <x:v>Finance mechanism / application; authored mapping</x:v>
      </x:c>
    </x:row>
    <x:row r="2401" ht="58" customHeight="1">
      <x:c r="A2401" s="9" t="str">
        <x:v>E2396</x:v>
      </x:c>
      <x:c r="B2401" s="9" t="str">
        <x:v>T30.11</x:v>
      </x:c>
      <x:c r="C2401" s="9" t="str">
        <x:v>Inflation and longevity risk</x:v>
      </x:c>
      <x:c r="D2401" s="15" t="str">
        <x:v>AFFECTS</x:v>
      </x:c>
      <x:c r="E2401" s="9" t="str">
        <x:v>T03.09</x:v>
      </x:c>
      <x:c r="F2401" s="9" t="str">
        <x:v>Real versus nominal interest rates</x:v>
      </x:c>
      <x:c r="G2401" s="9" t="str">
        <x:v>Inflation changes purchasing power and real return assumptions.</x:v>
      </x:c>
      <x:c r="H2401" s="9" t="str"/>
      <x:c r="I2401" s="9" t="str">
        <x:v>Finance mechanism / application; authored mapping</x:v>
      </x:c>
    </x:row>
    <x:row r="2402" ht="58" customHeight="1">
      <x:c r="A2402" s="10" t="str">
        <x:v>E2397</x:v>
      </x:c>
      <x:c r="B2402" s="10" t="str">
        <x:v>T30.12</x:v>
      </x:c>
      <x:c r="C2402" s="10" t="str">
        <x:v>Employee compensation and stock benefits</x:v>
      </x:c>
      <x:c r="D2402" s="14" t="str">
        <x:v>LINKS_TO</x:v>
      </x:c>
      <x:c r="E2402" s="10" t="str">
        <x:v>T27.12</x:v>
      </x:c>
      <x:c r="F2402" s="10" t="str">
        <x:v>Founder vesting and employee stock options</x:v>
      </x:c>
      <x:c r="G2402" s="10" t="str">
        <x:v>Employee stock benefits connect personal concentration risk with equity compensation.</x:v>
      </x:c>
      <x:c r="H2402" s="10" t="str"/>
      <x:c r="I2402" s="10" t="str">
        <x:v>Finance mechanism / application; authored mapping</x:v>
      </x:c>
    </x:row>
    <x:row r="2403" ht="58" customHeight="1">
      <x:c r="A2403" s="9" t="str">
        <x:v>E2398</x:v>
      </x:c>
      <x:c r="B2403" s="9" t="str">
        <x:v>T30.13</x:v>
      </x:c>
      <x:c r="C2403" s="9" t="str">
        <x:v>Property ownership versus renting</x:v>
      </x:c>
      <x:c r="D2403" s="15" t="str">
        <x:v>USES</x:v>
      </x:c>
      <x:c r="E2403" s="9" t="str">
        <x:v>T28.04</x:v>
      </x:c>
      <x:c r="F2403" s="9" t="str">
        <x:v>Property valuation</x:v>
      </x:c>
      <x:c r="G2403" s="9" t="str">
        <x:v>Buy-versus-rent decisions compare property costs and alternative cash flows.</x:v>
      </x:c>
      <x:c r="H2403" s="9" t="str"/>
      <x:c r="I2403" s="9" t="str">
        <x:v>Finance mechanism / application; authored mapping</x:v>
      </x:c>
    </x:row>
    <x:row r="2404" ht="58" customHeight="1">
      <x:c r="A2404" s="10" t="str">
        <x:v>E2399</x:v>
      </x:c>
      <x:c r="B2404" s="10" t="str">
        <x:v>T30.15</x:v>
      </x:c>
      <x:c r="C2404" s="10" t="str">
        <x:v>Estate planning, nominations, wills, and trusts</x:v>
      </x:c>
      <x:c r="D2404" s="14" t="str">
        <x:v>IMPLEMENTS</x:v>
      </x:c>
      <x:c r="E2404" s="10" t="str">
        <x:v>T30.16</x:v>
      </x:c>
      <x:c r="F2404" s="10" t="str">
        <x:v>Wealth preservation and intergenerational transfer</x:v>
      </x:c>
      <x:c r="G2404" s="10" t="str">
        <x:v>Estate arrangements help implement intergenerational wealth-transfer goals.</x:v>
      </x:c>
      <x:c r="H2404" s="10" t="str">
        <x:v>Jurisdiction-specific legal requirements need separate authoring and review.</x:v>
      </x:c>
      <x:c r="I2404" s="10" t="str">
        <x:v>Finance mechanism / application; authored mapping</x:v>
      </x:c>
    </x:row>
    <x:row r="2405" ht="58" customHeight="1">
      <x:c r="A2405" s="9" t="str">
        <x:v>E2400</x:v>
      </x:c>
      <x:c r="B2405" s="9" t="str">
        <x:v>T30.17</x:v>
      </x:c>
      <x:c r="C2405" s="9" t="str">
        <x:v>Financial scams and investor protection</x:v>
      </x:c>
      <x:c r="D2405" s="15" t="str">
        <x:v>SUPPORTED_BY</x:v>
      </x:c>
      <x:c r="E2405" s="9" t="str">
        <x:v>T34.09</x:v>
      </x:c>
      <x:c r="F2405" s="9" t="str">
        <x:v>Suitability, fiduciary duties, and investor protection</x:v>
      </x:c>
      <x:c r="G2405" s="9" t="str">
        <x:v>Investor protection and suitability frameworks address some personal-finance risks.</x:v>
      </x:c>
      <x:c r="H2405" s="9" t="str"/>
      <x:c r="I2405" s="9" t="str">
        <x:v>Finance mechanism / application; authored mapping</x:v>
      </x:c>
    </x:row>
    <x:row r="2406" ht="58" customHeight="1">
      <x:c r="A2406" s="10" t="str">
        <x:v>E2401</x:v>
      </x:c>
      <x:c r="B2406" s="10" t="str">
        <x:v>T31.05</x:v>
      </x:c>
      <x:c r="C2406" s="10" t="str">
        <x:v>Capital gains, dividends, and interest taxation</x:v>
      </x:c>
      <x:c r="D2406" s="14" t="str">
        <x:v>AFFECTS</x:v>
      </x:c>
      <x:c r="E2406" s="10" t="str">
        <x:v>T03.14</x:v>
      </x:c>
      <x:c r="F2406" s="10" t="str">
        <x:v>Money-weighted versus time-weighted returns</x:v>
      </x:c>
      <x:c r="G2406" s="10" t="str">
        <x:v>Investment taxation changes investor after-tax realised outcomes.</x:v>
      </x:c>
      <x:c r="H2406" s="10" t="str"/>
      <x:c r="I2406" s="10" t="str">
        <x:v>Finance mechanism / application; authored mapping</x:v>
      </x:c>
    </x:row>
    <x:row r="2407" ht="58" customHeight="1">
      <x:c r="A2407" s="9" t="str">
        <x:v>E2402</x:v>
      </x:c>
      <x:c r="B2407" s="9" t="str">
        <x:v>T31.10</x:v>
      </x:c>
      <x:c r="C2407" s="9" t="str">
        <x:v>GST and its working-capital implications</x:v>
      </x:c>
      <x:c r="D2407" s="15" t="str">
        <x:v>AFFECTS</x:v>
      </x:c>
      <x:c r="E2407" s="9" t="str">
        <x:v>A05</x:v>
      </x:c>
      <x:c r="F2407" s="9" t="str">
        <x:v>Operating working capital</x:v>
      </x:c>
      <x:c r="G2407" s="9" t="str">
        <x:v>Indirect-tax payment and credit timing can affect operating funding needs.</x:v>
      </x:c>
      <x:c r="H2407" s="9" t="str">
        <x:v>Specific balances and rules vary by jurisdiction.</x:v>
      </x:c>
      <x:c r="I2407" s="9" t="str">
        <x:v>Finance mechanism / application; authored mapping</x:v>
      </x:c>
    </x:row>
    <x:row r="2408" ht="58" customHeight="1">
      <x:c r="A2408" s="10" t="str">
        <x:v>E2403</x:v>
      </x:c>
      <x:c r="B2408" s="10" t="str">
        <x:v>T31.12</x:v>
      </x:c>
      <x:c r="C2408" s="10" t="str">
        <x:v>Cross-border taxation and tax treaties</x:v>
      </x:c>
      <x:c r="D2408" s="14" t="str">
        <x:v>AFFECTS</x:v>
      </x:c>
      <x:c r="E2408" s="10" t="str">
        <x:v>T33.09</x:v>
      </x:c>
      <x:c r="F2408" s="10" t="str">
        <x:v>Cross-border investment and financing</x:v>
      </x:c>
      <x:c r="G2408" s="10" t="str">
        <x:v>Cross-border tax rules affect international investment and financing cash flows.</x:v>
      </x:c>
      <x:c r="H2408" s="10" t="str"/>
      <x:c r="I2408" s="10" t="str">
        <x:v>Finance mechanism / application; authored mapping</x:v>
      </x:c>
    </x:row>
    <x:row r="2409" ht="58" customHeight="1">
      <x:c r="A2409" s="9" t="str">
        <x:v>E2404</x:v>
      </x:c>
      <x:c r="B2409" s="9" t="str">
        <x:v>T31.14</x:v>
      </x:c>
      <x:c r="C2409" s="9" t="str">
        <x:v>Transaction and restructuring taxation</x:v>
      </x:c>
      <x:c r="D2409" s="15" t="str">
        <x:v>ASSESSED_IN</x:v>
      </x:c>
      <x:c r="E2409" s="9" t="str">
        <x:v>T26.05</x:v>
      </x:c>
      <x:c r="F2409" s="9" t="str">
        <x:v>Financial, commercial, tax, and legal due diligence</x:v>
      </x:c>
      <x:c r="G2409" s="9" t="str">
        <x:v>Transaction tax effects are part of acquisition and restructuring due diligence.</x:v>
      </x:c>
      <x:c r="H2409" s="9" t="str"/>
      <x:c r="I2409" s="9" t="str">
        <x:v>Finance mechanism / application; authored mapping</x:v>
      </x:c>
    </x:row>
    <x:row r="2410" ht="58" customHeight="1">
      <x:c r="A2410" s="10" t="str">
        <x:v>E2405</x:v>
      </x:c>
      <x:c r="B2410" s="10" t="str">
        <x:v>T31.16</x:v>
      </x:c>
      <x:c r="C2410" s="10" t="str">
        <x:v>After-tax returns and tax-aware valuation</x:v>
      </x:c>
      <x:c r="D2410" s="14" t="str">
        <x:v>INFORMS</x:v>
      </x:c>
      <x:c r="E2410" s="10" t="str">
        <x:v>T17.07</x:v>
      </x:c>
      <x:c r="F2410" s="10" t="str">
        <x:v>Discounted cash-flow valuation</x:v>
      </x:c>
      <x:c r="G2410" s="10" t="str">
        <x:v>Tax-aware valuation uses cash taxes and rates consistent with the chosen cash flow.</x:v>
      </x:c>
      <x:c r="H2410" s="10" t="str"/>
      <x:c r="I2410" s="10" t="str">
        <x:v>Finance mechanism / application; authored mapping</x:v>
      </x:c>
    </x:row>
    <x:row r="2411" ht="58" customHeight="1">
      <x:c r="A2411" s="9" t="str">
        <x:v>E2406</x:v>
      </x:c>
      <x:c r="B2411" s="9" t="str">
        <x:v>T32.02</x:v>
      </x:c>
      <x:c r="C2411" s="9" t="str">
        <x:v>Inflation, disinflation, and deflation</x:v>
      </x:c>
      <x:c r="D2411" s="15" t="str">
        <x:v>EXPLAINS</x:v>
      </x:c>
      <x:c r="E2411" s="9" t="str">
        <x:v>T03.09</x:v>
      </x:c>
      <x:c r="F2411" s="9" t="str">
        <x:v>Real versus nominal interest rates</x:v>
      </x:c>
      <x:c r="G2411" s="9" t="str">
        <x:v>Inflation separates nominal and real returns.</x:v>
      </x:c>
      <x:c r="H2411" s="9" t="str"/>
      <x:c r="I2411" s="9" t="str">
        <x:v>Finance mechanism / application; authored mapping</x:v>
      </x:c>
    </x:row>
    <x:row r="2412" ht="58" customHeight="1">
      <x:c r="A2412" s="10" t="str">
        <x:v>E2407</x:v>
      </x:c>
      <x:c r="B2412" s="10" t="str">
        <x:v>T32.05</x:v>
      </x:c>
      <x:c r="C2412" s="10" t="str">
        <x:v>Central banks and monetary transmission</x:v>
      </x:c>
      <x:c r="D2412" s="14" t="str">
        <x:v>INFLUENCES</x:v>
      </x:c>
      <x:c r="E2412" s="10" t="str">
        <x:v>T13.03</x:v>
      </x:c>
      <x:c r="F2412" s="10" t="str">
        <x:v>Risk-free rate and equity risk premium</x:v>
      </x:c>
      <x:c r="G2412" s="10" t="str">
        <x:v>Monetary conditions affect market interest rates and valuation inputs.</x:v>
      </x:c>
      <x:c r="H2412" s="10" t="str">
        <x:v>Policy rates are not automatically the correct risk-free rate for every currency or maturity.</x:v>
      </x:c>
      <x:c r="I2412" s="10" t="str">
        <x:v>Finance mechanism / application; authored mapping</x:v>
      </x:c>
    </x:row>
    <x:row r="2413" ht="58" customHeight="1">
      <x:c r="A2413" s="9" t="str">
        <x:v>E2408</x:v>
      </x:c>
      <x:c r="B2413" s="9" t="str">
        <x:v>T32.06</x:v>
      </x:c>
      <x:c r="C2413" s="9" t="str">
        <x:v>Policy rates, reserve requirements, and open-market operations</x:v>
      </x:c>
      <x:c r="D2413" s="15" t="str">
        <x:v>INFLUENCES</x:v>
      </x:c>
      <x:c r="E2413" s="9" t="str">
        <x:v>T20.08</x:v>
      </x:c>
      <x:c r="F2413" s="9" t="str">
        <x:v>Yield curves and term-structure theories</x:v>
      </x:c>
      <x:c r="G2413" s="9" t="str">
        <x:v>Policy and expectations affect yield-curve levels and shape.</x:v>
      </x:c>
      <x:c r="H2413" s="9" t="str">
        <x:v>Transmission is market-dependent, not a fixed mechanical equality.</x:v>
      </x:c>
      <x:c r="I2413" s="9" t="str">
        <x:v>Finance mechanism / application; authored mapping</x:v>
      </x:c>
    </x:row>
    <x:row r="2414" ht="58" customHeight="1">
      <x:c r="A2414" s="10" t="str">
        <x:v>E2409</x:v>
      </x:c>
      <x:c r="B2414" s="10" t="str">
        <x:v>T32.08</x:v>
      </x:c>
      <x:c r="C2414" s="10" t="str">
        <x:v>Fiscal policy, taxation, and government spending</x:v>
      </x:c>
      <x:c r="D2414" s="14" t="str">
        <x:v>IMPLEMENTED_THROUGH</x:v>
      </x:c>
      <x:c r="E2414" s="10" t="str">
        <x:v>T31.04</x:v>
      </x:c>
      <x:c r="F2414" s="10" t="str">
        <x:v>Individual and corporate taxation</x:v>
      </x:c>
      <x:c r="G2414" s="10" t="str">
        <x:v>Taxation is one channel of fiscal policy.</x:v>
      </x:c>
      <x:c r="H2414" s="10" t="str"/>
      <x:c r="I2414" s="10" t="str">
        <x:v>Finance mechanism / application; authored mapping</x:v>
      </x:c>
    </x:row>
    <x:row r="2415" ht="58" customHeight="1">
      <x:c r="A2415" s="9" t="str">
        <x:v>E2410</x:v>
      </x:c>
      <x:c r="B2415" s="9" t="str">
        <x:v>T32.09</x:v>
      </x:c>
      <x:c r="C2415" s="9" t="str">
        <x:v>Fiscal deficits and public debt</x:v>
      </x:c>
      <x:c r="D2415" s="15" t="str">
        <x:v>FUNDED_THROUGH</x:v>
      </x:c>
      <x:c r="E2415" s="9" t="str">
        <x:v>T32.10</x:v>
      </x:c>
      <x:c r="F2415" s="9" t="str">
        <x:v>Sovereign borrowing and debt sustainability</x:v>
      </x:c>
      <x:c r="G2415" s="9" t="str">
        <x:v>Government deficits contribute to borrowing needs alongside other financing flows.</x:v>
      </x:c>
      <x:c r="H2415" s="9" t="str"/>
      <x:c r="I2415" s="9" t="str">
        <x:v>Finance mechanism / application; authored mapping</x:v>
      </x:c>
    </x:row>
    <x:row r="2416" ht="58" customHeight="1">
      <x:c r="A2416" s="10" t="str">
        <x:v>E2411</x:v>
      </x:c>
      <x:c r="B2416" s="10" t="str">
        <x:v>T32.11</x:v>
      </x:c>
      <x:c r="C2416" s="10" t="str">
        <x:v>Balance of payments and international capital flows</x:v>
      </x:c>
      <x:c r="D2416" s="14" t="str">
        <x:v>LINKS_TO</x:v>
      </x:c>
      <x:c r="E2416" s="10" t="str">
        <x:v>T33.01</x:v>
      </x:c>
      <x:c r="F2416" s="10" t="str">
        <x:v>Currency quotations and cross-rates</x:v>
      </x:c>
      <x:c r="G2416" s="10" t="str">
        <x:v>Cross-border flows and currency markets connect international financing conditions.</x:v>
      </x:c>
      <x:c r="H2416" s="10" t="str"/>
      <x:c r="I2416" s="10" t="str">
        <x:v>Finance mechanism / application; authored mapping</x:v>
      </x:c>
    </x:row>
    <x:row r="2417" ht="58" customHeight="1">
      <x:c r="A2417" s="9" t="str">
        <x:v>E2412</x:v>
      </x:c>
      <x:c r="B2417" s="9" t="str">
        <x:v>T32.13</x:v>
      </x:c>
      <x:c r="C2417" s="9" t="str">
        <x:v>Sovereign credit risk</x:v>
      </x:c>
      <x:c r="D2417" s="15" t="str">
        <x:v>AFFECTS</x:v>
      </x:c>
      <x:c r="E2417" s="9" t="str">
        <x:v>T20.01</x:v>
      </x:c>
      <x:c r="F2417" s="9" t="str">
        <x:v>Government securities, treasury bills, and corporate bonds</x:v>
      </x:c>
      <x:c r="G2417" s="9" t="str">
        <x:v>Sovereign credit risk affects government debt pricing.</x:v>
      </x:c>
      <x:c r="H2417" s="9" t="str"/>
      <x:c r="I2417" s="9" t="str">
        <x:v>Finance mechanism / application; authored mapping</x:v>
      </x:c>
    </x:row>
    <x:row r="2418" ht="58" customHeight="1">
      <x:c r="A2418" s="10" t="str">
        <x:v>E2413</x:v>
      </x:c>
      <x:c r="B2418" s="10" t="str">
        <x:v>T32.16</x:v>
      </x:c>
      <x:c r="C2418" s="10" t="str">
        <x:v>How macroeconomic changes affect companies, valuations, and portfolios</x:v>
      </x:c>
      <x:c r="D2418" s="14" t="str">
        <x:v>INFORMS</x:v>
      </x:c>
      <x:c r="E2418" s="10" t="str">
        <x:v>T16.10</x:v>
      </x:c>
      <x:c r="F2418" s="10" t="str">
        <x:v>Scenario and sensitivity models</x:v>
      </x:c>
      <x:c r="G2418" s="10" t="str">
        <x:v>Macro scenarios can be translated into company-model assumptions.</x:v>
      </x:c>
      <x:c r="H2418" s="10" t="str"/>
      <x:c r="I2418" s="10" t="str">
        <x:v>Finance mechanism / application; authored mapping</x:v>
      </x:c>
    </x:row>
    <x:row r="2419" ht="58" customHeight="1">
      <x:c r="A2419" s="9" t="str">
        <x:v>E2414</x:v>
      </x:c>
      <x:c r="B2419" s="9" t="str">
        <x:v>T33.03</x:v>
      </x:c>
      <x:c r="C2419" s="9" t="str">
        <x:v>Purchasing power parity</x:v>
      </x:c>
      <x:c r="D2419" s="15" t="str">
        <x:v>RELATES_TO</x:v>
      </x:c>
      <x:c r="E2419" s="9" t="str">
        <x:v>T03.09</x:v>
      </x:c>
      <x:c r="F2419" s="9" t="str">
        <x:v>Real versus nominal interest rates</x:v>
      </x:c>
      <x:c r="G2419" s="9" t="str">
        <x:v>Purchasing-power comparisons relate price levels and exchange rates.</x:v>
      </x:c>
      <x:c r="H2419" s="9" t="str">
        <x:v>PPP is not a guaranteed short-run trading rule.</x:v>
      </x:c>
      <x:c r="I2419" s="9" t="str">
        <x:v>Finance mechanism / application; authored mapping</x:v>
      </x:c>
    </x:row>
    <x:row r="2420" ht="58" customHeight="1">
      <x:c r="A2420" s="10" t="str">
        <x:v>E2415</x:v>
      </x:c>
      <x:c r="B2420" s="10" t="str">
        <x:v>T33.04</x:v>
      </x:c>
      <x:c r="C2420" s="10" t="str">
        <x:v>Covered and uncovered interest-rate parity</x:v>
      </x:c>
      <x:c r="D2420" s="14" t="str">
        <x:v>EXPLAINS</x:v>
      </x:c>
      <x:c r="E2420" s="10" t="str">
        <x:v>T33.05</x:v>
      </x:c>
      <x:c r="F2420" s="10" t="str">
        <x:v>Forward premiums and discounts</x:v>
      </x:c>
      <x:c r="G2420" s="10" t="str">
        <x:v>Covered interest parity links spot, forward and interest-rate terms under arbitrage assumptions.</x:v>
      </x:c>
      <x:c r="H2420" s="10" t="str"/>
      <x:c r="I2420" s="10" t="str">
        <x:v>Finance mechanism / application; authored mapping</x:v>
      </x:c>
    </x:row>
    <x:row r="2421" ht="58" customHeight="1">
      <x:c r="A2421" s="9" t="str">
        <x:v>E2416</x:v>
      </x:c>
      <x:c r="B2421" s="9" t="str">
        <x:v>T33.06</x:v>
      </x:c>
      <x:c r="C2421" s="9" t="str">
        <x:v>Carry trades</x:v>
      </x:c>
      <x:c r="D2421" s="15" t="str">
        <x:v>CREATES_EXPOSURE</x:v>
      </x:c>
      <x:c r="E2421" s="9" t="str">
        <x:v>T25.01</x:v>
      </x:c>
      <x:c r="F2421" s="9" t="str">
        <x:v>Market, credit, liquidity, and operational risk</x:v>
      </x:c>
      <x:c r="G2421" s="9" t="str">
        <x:v>Carry strategies create currency and funding exposure.</x:v>
      </x:c>
      <x:c r="H2421" s="9" t="str"/>
      <x:c r="I2421" s="9" t="str">
        <x:v>Finance mechanism / application; authored mapping</x:v>
      </x:c>
    </x:row>
    <x:row r="2422" ht="58" customHeight="1">
      <x:c r="A2422" s="10" t="str">
        <x:v>E2417</x:v>
      </x:c>
      <x:c r="B2422" s="10" t="str">
        <x:v>T33.07</x:v>
      </x:c>
      <x:c r="C2422" s="10" t="str">
        <x:v>Transaction, translation, and economic exposure</x:v>
      </x:c>
      <x:c r="D2422" s="14" t="str">
        <x:v>CONTRASTS_WITH</x:v>
      </x:c>
      <x:c r="E2422" s="10" t="str">
        <x:v>T08.09</x:v>
      </x:c>
      <x:c r="F2422" s="10" t="str">
        <x:v>Foreign-currency transactions and translation</x:v>
      </x:c>
      <x:c r="G2422" s="10" t="str">
        <x:v>Economic currency exposure differs from accounting translation effects.</x:v>
      </x:c>
      <x:c r="H2422" s="10" t="str"/>
      <x:c r="I2422" s="10" t="str">
        <x:v>Finance mechanism / application; authored mapping</x:v>
      </x:c>
    </x:row>
    <x:row r="2423" ht="58" customHeight="1">
      <x:c r="A2423" s="9" t="str">
        <x:v>E2418</x:v>
      </x:c>
      <x:c r="B2423" s="9" t="str">
        <x:v>T33.08</x:v>
      </x:c>
      <x:c r="C2423" s="9" t="str">
        <x:v>Currency hedging</x:v>
      </x:c>
      <x:c r="D2423" s="15" t="str">
        <x:v>IMPLEMENTED_WITH</x:v>
      </x:c>
      <x:c r="E2423" s="9" t="str">
        <x:v>T21.01</x:v>
      </x:c>
      <x:c r="F2423" s="9" t="str">
        <x:v>Forwards and futures</x:v>
      </x:c>
      <x:c r="G2423" s="9" t="str">
        <x:v>Forwards and other derivatives can hedge specified currency exposures.</x:v>
      </x:c>
      <x:c r="H2423" s="9" t="str"/>
      <x:c r="I2423" s="9" t="str">
        <x:v>Finance mechanism / application; authored mapping</x:v>
      </x:c>
    </x:row>
    <x:row r="2424" ht="58" customHeight="1">
      <x:c r="A2424" s="10" t="str">
        <x:v>E2419</x:v>
      </x:c>
      <x:c r="B2424" s="10" t="str">
        <x:v>T33.10</x:v>
      </x:c>
      <x:c r="C2424" s="10" t="str">
        <x:v>International cost of capital</x:v>
      </x:c>
      <x:c r="D2424" s="14" t="str">
        <x:v>REQUIRES_CONSISTENCY</x:v>
      </x:c>
      <x:c r="E2424" s="10" t="str">
        <x:v>T03.15</x:v>
      </x:c>
      <x:c r="F2424" s="10" t="str">
        <x:v>Matching cash-flow frequency, currency, and discount rates</x:v>
      </x:c>
      <x:c r="G2424" s="10" t="str">
        <x:v>International valuation must match currency and real or nominal discount conventions.</x:v>
      </x:c>
      <x:c r="H2424" s="10" t="str"/>
      <x:c r="I2424" s="10" t="str">
        <x:v>Finance mechanism / application; authored mapping</x:v>
      </x:c>
    </x:row>
    <x:row r="2425" ht="58" customHeight="1">
      <x:c r="A2425" s="9" t="str">
        <x:v>E2420</x:v>
      </x:c>
      <x:c r="B2425" s="9" t="str">
        <x:v>T33.12</x:v>
      </x:c>
      <x:c r="C2425" s="9" t="str">
        <x:v>Multinational capital budgeting</x:v>
      </x:c>
      <x:c r="D2425" s="15" t="str">
        <x:v>APPLIES</x:v>
      </x:c>
      <x:c r="E2425" s="9" t="str">
        <x:v>T12.05</x:v>
      </x:c>
      <x:c r="F2425" s="9" t="str">
        <x:v>Incremental cash flows</x:v>
      </x:c>
      <x:c r="G2425" s="9" t="str">
        <x:v>Multinational capital budgeting uses relevant cross-border incremental cash flows.</x:v>
      </x:c>
      <x:c r="H2425" s="9" t="str"/>
      <x:c r="I2425" s="9" t="str">
        <x:v>Finance mechanism / application; authored mapping</x:v>
      </x:c>
    </x:row>
    <x:row r="2426" ht="58" customHeight="1">
      <x:c r="A2426" s="10" t="str">
        <x:v>E2421</x:v>
      </x:c>
      <x:c r="B2426" s="10" t="str">
        <x:v>T33.13</x:v>
      </x:c>
      <x:c r="C2426" s="10" t="str">
        <x:v>Trade finance, letters of credit, and documentary collections</x:v>
      </x:c>
      <x:c r="D2426" s="14" t="str">
        <x:v>SUPPORTS</x:v>
      </x:c>
      <x:c r="E2426" s="10" t="str">
        <x:v>T14.05</x:v>
      </x:c>
      <x:c r="F2426" s="10" t="str">
        <x:v>Customer credit policy and collections</x:v>
      </x:c>
      <x:c r="G2426" s="10" t="str">
        <x:v>Trade-finance arrangements support collection and payment assurance.</x:v>
      </x:c>
      <x:c r="H2426" s="10" t="str"/>
      <x:c r="I2426" s="10" t="str">
        <x:v>Finance mechanism / application; authored mapping</x:v>
      </x:c>
    </x:row>
    <x:row r="2427" ht="58" customHeight="1">
      <x:c r="A2427" s="9" t="str">
        <x:v>E2422</x:v>
      </x:c>
      <x:c r="B2427" s="9" t="str">
        <x:v>T33.15</x:v>
      </x:c>
      <x:c r="C2427" s="9" t="str">
        <x:v>Offshore funding and foreign-currency debt</x:v>
      </x:c>
      <x:c r="D2427" s="15" t="str">
        <x:v>CREATES_EXPOSURE</x:v>
      </x:c>
      <x:c r="E2427" s="9" t="str">
        <x:v>T25.11</x:v>
      </x:c>
      <x:c r="F2427" s="9" t="str">
        <x:v>Asset-liability mismatches</x:v>
      </x:c>
      <x:c r="G2427" s="9" t="str">
        <x:v>Foreign-currency debt can create currency and maturity mismatches.</x:v>
      </x:c>
      <x:c r="H2427" s="9" t="str"/>
      <x:c r="I2427" s="9" t="str">
        <x:v>Finance mechanism / application; authored mapping</x:v>
      </x:c>
    </x:row>
    <x:row r="2428" ht="58" customHeight="1">
      <x:c r="A2428" s="10" t="str">
        <x:v>E2423</x:v>
      </x:c>
      <x:c r="B2428" s="10" t="str">
        <x:v>T33.16</x:v>
      </x:c>
      <x:c r="C2428" s="10" t="str">
        <x:v>Global portfolio diversification</x:v>
      </x:c>
      <x:c r="D2428" s="14" t="str">
        <x:v>APPLIES</x:v>
      </x:c>
      <x:c r="E2428" s="10" t="str">
        <x:v>T22.04</x:v>
      </x:c>
      <x:c r="F2428" s="10" t="str">
        <x:v>Diversification and correlation</x:v>
      </x:c>
      <x:c r="G2428" s="10" t="str">
        <x:v>Global investment adds currency, market and country dimensions to diversification.</x:v>
      </x:c>
      <x:c r="H2428" s="10" t="str"/>
      <x:c r="I2428" s="10" t="str">
        <x:v>Finance mechanism / application; authored mapping</x:v>
      </x:c>
    </x:row>
    <x:row r="2429" ht="58" customHeight="1">
      <x:c r="A2429" s="9" t="str">
        <x:v>E2424</x:v>
      </x:c>
      <x:c r="B2429" s="9" t="str">
        <x:v>T34.03</x:v>
      </x:c>
      <x:c r="C2429" s="9" t="str">
        <x:v>Trade execution, clearing, and settlement</x:v>
      </x:c>
      <x:c r="D2429" s="15" t="str">
        <x:v>CREATES_EXPOSURE</x:v>
      </x:c>
      <x:c r="E2429" s="9" t="str">
        <x:v>T25.03</x:v>
      </x:c>
      <x:c r="F2429" s="9" t="str">
        <x:v>Counterparty and settlement risk</x:v>
      </x:c>
      <x:c r="G2429" s="9" t="str">
        <x:v>Settlement processes create operational and counterparty exposures.</x:v>
      </x:c>
      <x:c r="H2429" s="9" t="str"/>
      <x:c r="I2429" s="9" t="str">
        <x:v>Finance mechanism / application; authored mapping</x:v>
      </x:c>
    </x:row>
    <x:row r="2430" ht="58" customHeight="1">
      <x:c r="A2430" s="10" t="str">
        <x:v>E2425</x:v>
      </x:c>
      <x:c r="B2430" s="10" t="str">
        <x:v>T34.05</x:v>
      </x:c>
      <x:c r="C2430" s="10" t="str">
        <x:v>Market impact and transaction costs</x:v>
      </x:c>
      <x:c r="D2430" s="14" t="str">
        <x:v>CALCULATION_INPUT</x:v>
      </x:c>
      <x:c r="E2430" s="10" t="str">
        <x:v>T38.11</x:v>
      </x:c>
      <x:c r="F2430" s="10" t="str">
        <x:v>Transaction costs and realistic strategy testing</x:v>
      </x:c>
      <x:c r="G2430" s="10" t="str">
        <x:v>Trading costs and market impact must be reflected in realistic strategy testing.</x:v>
      </x:c>
      <x:c r="H2430" s="10" t="str"/>
      <x:c r="I2430" s="10" t="str">
        <x:v>Finance mechanism / application; authored mapping</x:v>
      </x:c>
    </x:row>
    <x:row r="2431" ht="58" customHeight="1">
      <x:c r="A2431" s="9" t="str">
        <x:v>E2426</x:v>
      </x:c>
      <x:c r="B2431" s="9" t="str">
        <x:v>T34.07</x:v>
      </x:c>
      <x:c r="C2431" s="9" t="str">
        <x:v>Securities issuance and disclosure requirements</x:v>
      </x:c>
      <x:c r="D2431" s="15" t="str">
        <x:v>IMPLEMENTED_THROUGH</x:v>
      </x:c>
      <x:c r="E2431" s="9" t="str">
        <x:v>T04.16</x:v>
      </x:c>
      <x:c r="F2431" s="9" t="str">
        <x:v>Annual reports, interim reports, and regulatory filings</x:v>
      </x:c>
      <x:c r="G2431" s="9" t="str">
        <x:v>Required disclosures appear in securities filings and reports.</x:v>
      </x:c>
      <x:c r="H2431" s="9" t="str"/>
      <x:c r="I2431" s="9" t="str">
        <x:v>Finance mechanism / application; authored mapping</x:v>
      </x:c>
    </x:row>
    <x:row r="2432" ht="58" customHeight="1">
      <x:c r="A2432" s="10" t="str">
        <x:v>E2427</x:v>
      </x:c>
      <x:c r="B2432" s="10" t="str">
        <x:v>T34.08</x:v>
      </x:c>
      <x:c r="C2432" s="10" t="str">
        <x:v>Insider trading and market manipulation</x:v>
      </x:c>
      <x:c r="D2432" s="14" t="str">
        <x:v>GOVERNED_BY</x:v>
      </x:c>
      <x:c r="E2432" s="10" t="str">
        <x:v>T34.14</x:v>
      </x:c>
      <x:c r="F2432" s="10" t="str">
        <x:v>Financial ethics and professional conduct</x:v>
      </x:c>
      <x:c r="G2432" s="10" t="str">
        <x:v>Market abuse rules and professional conduct shape permissible behaviour.</x:v>
      </x:c>
      <x:c r="H2432" s="10" t="str"/>
      <x:c r="I2432" s="10" t="str">
        <x:v>Finance mechanism / application; authored mapping</x:v>
      </x:c>
    </x:row>
    <x:row r="2433" ht="58" customHeight="1">
      <x:c r="A2433" s="9" t="str">
        <x:v>E2428</x:v>
      </x:c>
      <x:c r="B2433" s="9" t="str">
        <x:v>T34.10</x:v>
      </x:c>
      <x:c r="C2433" s="9" t="str">
        <x:v>Know-your-customer and anti-money-laundering frameworks</x:v>
      </x:c>
      <x:c r="D2433" s="15" t="str">
        <x:v>SUPPORTED_BY</x:v>
      </x:c>
      <x:c r="E2433" s="9" t="str">
        <x:v>T36.11</x:v>
      </x:c>
      <x:c r="F2433" s="9" t="str">
        <x:v>Fraud detection and financial identity</x:v>
      </x:c>
      <x:c r="G2433" s="9" t="str">
        <x:v>Financial identity checks and monitoring support anti-fraud and AML controls.</x:v>
      </x:c>
      <x:c r="H2433" s="9" t="str"/>
      <x:c r="I2433" s="9" t="str">
        <x:v>Finance mechanism / application; authored mapping</x:v>
      </x:c>
    </x:row>
    <x:row r="2434" ht="58" customHeight="1">
      <x:c r="A2434" s="10" t="str">
        <x:v>E2429</x:v>
      </x:c>
      <x:c r="B2434" s="10" t="str">
        <x:v>T34.11</x:v>
      </x:c>
      <x:c r="C2434" s="10" t="str">
        <x:v>Corporate boards, audit committees, and governance</x:v>
      </x:c>
      <x:c r="D2434" s="14" t="str">
        <x:v>ADDRESSES</x:v>
      </x:c>
      <x:c r="E2434" s="10" t="str">
        <x:v>T01.14</x:v>
      </x:c>
      <x:c r="F2434" s="10" t="str">
        <x:v>Agency problems, incentives, information asymmetry, and moral hazard</x:v>
      </x:c>
      <x:c r="G2434" s="10" t="str">
        <x:v>Governance mechanisms address agency problems and accountability.</x:v>
      </x:c>
      <x:c r="H2434" s="10" t="str"/>
      <x:c r="I2434" s="10" t="str">
        <x:v>Finance mechanism / application; authored mapping</x:v>
      </x:c>
    </x:row>
    <x:row r="2435" ht="58" customHeight="1">
      <x:c r="A2435" s="9" t="str">
        <x:v>E2430</x:v>
      </x:c>
      <x:c r="B2435" s="9" t="str">
        <x:v>T34.12</x:v>
      </x:c>
      <x:c r="C2435" s="9" t="str">
        <x:v>Shareholder rights and stewardship</x:v>
      </x:c>
      <x:c r="D2435" s="15" t="str">
        <x:v>IMPLEMENTED_THROUGH</x:v>
      </x:c>
      <x:c r="E2435" s="9" t="str">
        <x:v>T37.09</x:v>
      </x:c>
      <x:c r="F2435" s="9" t="str">
        <x:v>Stewardship and engagement</x:v>
      </x:c>
      <x:c r="G2435" s="9" t="str">
        <x:v>Stewardship includes exercising rights and engaging with investees.</x:v>
      </x:c>
      <x:c r="H2435" s="9" t="str"/>
      <x:c r="I2435" s="9" t="str">
        <x:v>Finance mechanism / application; authored mapping</x:v>
      </x:c>
    </x:row>
    <x:row r="2436" ht="58" customHeight="1">
      <x:c r="A2436" s="10" t="str">
        <x:v>E2431</x:v>
      </x:c>
      <x:c r="B2436" s="10" t="str">
        <x:v>T34.13</x:v>
      </x:c>
      <x:c r="C2436" s="10" t="str">
        <x:v>Credit-rating agencies and conflicts of interest</x:v>
      </x:c>
      <x:c r="D2436" s="14" t="str">
        <x:v>QUALIFIES</x:v>
      </x:c>
      <x:c r="E2436" s="10" t="str">
        <x:v>T24.11</x:v>
      </x:c>
      <x:c r="F2436" s="10" t="str">
        <x:v>Credit ratings and credit scoring</x:v>
      </x:c>
      <x:c r="G2436" s="10" t="str">
        <x:v>Rating-agency incentives matter when using external credit assessments.</x:v>
      </x:c>
      <x:c r="H2436" s="10" t="str"/>
      <x:c r="I2436" s="10" t="str">
        <x:v>Finance mechanism / application; authored mapping</x:v>
      </x:c>
    </x:row>
    <x:row r="2437" ht="58" customHeight="1">
      <x:c r="A2437" s="9" t="str">
        <x:v>E2432</x:v>
      </x:c>
      <x:c r="B2437" s="9" t="str">
        <x:v>T35.02</x:v>
      </x:c>
      <x:c r="C2437" s="9" t="str">
        <x:v>Prospect theory and loss aversion</x:v>
      </x:c>
      <x:c r="D2437" s="15" t="str">
        <x:v>AFFECTS</x:v>
      </x:c>
      <x:c r="E2437" s="9" t="str">
        <x:v>T22.03</x:v>
      </x:c>
      <x:c r="F2437" s="9" t="str">
        <x:v>Risk tolerance, risk capacity, and investment horizon</x:v>
      </x:c>
      <x:c r="G2437" s="9" t="str">
        <x:v>Loss aversion can influence stated risk preferences and investment behaviour.</x:v>
      </x:c>
      <x:c r="H2437" s="9" t="str"/>
      <x:c r="I2437" s="9" t="str">
        <x:v>Finance mechanism / application; authored mapping</x:v>
      </x:c>
    </x:row>
    <x:row r="2438" ht="58" customHeight="1">
      <x:c r="A2438" s="10" t="str">
        <x:v>E2433</x:v>
      </x:c>
      <x:c r="B2438" s="10" t="str">
        <x:v>T35.03</x:v>
      </x:c>
      <x:c r="C2438" s="10" t="str">
        <x:v>Anchoring and framing</x:v>
      </x:c>
      <x:c r="D2438" s="14" t="str">
        <x:v>CAN_BIAS</x:v>
      </x:c>
      <x:c r="E2438" s="10" t="str">
        <x:v>T17.18</x:v>
      </x:c>
      <x:c r="F2438" s="10" t="str">
        <x:v>Sensitivity analysis, scenarios, and reverse DCF</x:v>
      </x:c>
      <x:c r="G2438" s="10" t="str">
        <x:v>Anchoring can distort valuation assumptions and scenario interpretation.</x:v>
      </x:c>
      <x:c r="H2438" s="10" t="str"/>
      <x:c r="I2438" s="10" t="str">
        <x:v>Finance mechanism / application; authored mapping</x:v>
      </x:c>
    </x:row>
    <x:row r="2439" ht="58" customHeight="1">
      <x:c r="A2439" s="9" t="str">
        <x:v>E2434</x:v>
      </x:c>
      <x:c r="B2439" s="9" t="str">
        <x:v>T35.04</x:v>
      </x:c>
      <x:c r="C2439" s="9" t="str">
        <x:v>Mental accounting</x:v>
      </x:c>
      <x:c r="D2439" s="15" t="str">
        <x:v>AFFECTS</x:v>
      </x:c>
      <x:c r="E2439" s="9" t="str">
        <x:v>T30.02</x:v>
      </x:c>
      <x:c r="F2439" s="9" t="str">
        <x:v>Budgeting and expense tracking</x:v>
      </x:c>
      <x:c r="G2439" s="9" t="str">
        <x:v>Mental accounting can influence household budget and spending choices.</x:v>
      </x:c>
      <x:c r="H2439" s="9" t="str"/>
      <x:c r="I2439" s="9" t="str">
        <x:v>Finance mechanism / application; authored mapping</x:v>
      </x:c>
    </x:row>
    <x:row r="2440" ht="58" customHeight="1">
      <x:c r="A2440" s="10" t="str">
        <x:v>E2435</x:v>
      </x:c>
      <x:c r="B2440" s="10" t="str">
        <x:v>T35.05</x:v>
      </x:c>
      <x:c r="C2440" s="10" t="str">
        <x:v>Overconfidence and self-attribution</x:v>
      </x:c>
      <x:c r="D2440" s="14" t="str">
        <x:v>CAN_BIAS</x:v>
      </x:c>
      <x:c r="E2440" s="10" t="str">
        <x:v>T19.12</x:v>
      </x:c>
      <x:c r="F2440" s="10" t="str">
        <x:v>Investment theses, catalysts, and risk factors</x:v>
      </x:c>
      <x:c r="G2440" s="10" t="str">
        <x:v>Overconfidence can weaken thesis testing and position discipline.</x:v>
      </x:c>
      <x:c r="H2440" s="10" t="str"/>
      <x:c r="I2440" s="10" t="str">
        <x:v>Finance mechanism / application; authored mapping</x:v>
      </x:c>
    </x:row>
    <x:row r="2441" ht="58" customHeight="1">
      <x:c r="A2441" s="9" t="str">
        <x:v>E2436</x:v>
      </x:c>
      <x:c r="B2441" s="9" t="str">
        <x:v>T35.06</x:v>
      </x:c>
      <x:c r="C2441" s="9" t="str">
        <x:v>Confirmation and availability biases</x:v>
      </x:c>
      <x:c r="D2441" s="15" t="str">
        <x:v>CAN_BIAS</x:v>
      </x:c>
      <x:c r="E2441" s="9" t="str">
        <x:v>T40.18</x:v>
      </x:c>
      <x:c r="F2441" s="9" t="str">
        <x:v>Comparing an investment thesis with the outcome</x:v>
      </x:c>
      <x:c r="G2441" s="9" t="str">
        <x:v>Confirmation bias can distort review of an investment thesis.</x:v>
      </x:c>
      <x:c r="H2441" s="9" t="str"/>
      <x:c r="I2441" s="9" t="str">
        <x:v>Finance mechanism / application; authored mapping</x:v>
      </x:c>
    </x:row>
    <x:row r="2442" ht="58" customHeight="1">
      <x:c r="A2442" s="10" t="str">
        <x:v>E2437</x:v>
      </x:c>
      <x:c r="B2442" s="10" t="str">
        <x:v>T35.07</x:v>
      </x:c>
      <x:c r="C2442" s="10" t="str">
        <x:v>Herding and social influence</x:v>
      </x:c>
      <x:c r="D2442" s="14" t="str">
        <x:v>CAN_CONTRIBUTE_TO</x:v>
      </x:c>
      <x:c r="E2442" s="10" t="str">
        <x:v>T35.11</x:v>
      </x:c>
      <x:c r="F2442" s="10" t="str">
        <x:v>Bubbles, panics, and speculative cycles</x:v>
      </x:c>
      <x:c r="G2442" s="10" t="str">
        <x:v>Herding can contribute to speculative dynamics.</x:v>
      </x:c>
      <x:c r="H2442" s="10" t="str">
        <x:v>It is one possible mechanism, not a sufficient explanation for every price move.</x:v>
      </x:c>
      <x:c r="I2442" s="10" t="str">
        <x:v>Finance mechanism / application; authored mapping</x:v>
      </x:c>
    </x:row>
    <x:row r="2443" ht="58" customHeight="1">
      <x:c r="A2443" s="9" t="str">
        <x:v>E2438</x:v>
      </x:c>
      <x:c r="B2443" s="9" t="str">
        <x:v>T35.08</x:v>
      </x:c>
      <x:c r="C2443" s="9" t="str">
        <x:v>Recency bias and extrapolation</x:v>
      </x:c>
      <x:c r="D2443" s="15" t="str">
        <x:v>CAN_BIAS</x:v>
      </x:c>
      <x:c r="E2443" s="9" t="str">
        <x:v>T17.11</x:v>
      </x:c>
      <x:c r="F2443" s="9" t="str">
        <x:v>Reinvestment, growth, and return on capital</x:v>
      </x:c>
      <x:c r="G2443" s="9" t="str">
        <x:v>Recent growth can be extrapolated into unrealistic long-term forecasts.</x:v>
      </x:c>
      <x:c r="H2443" s="9" t="str"/>
      <x:c r="I2443" s="9" t="str">
        <x:v>Finance mechanism / application; authored mapping</x:v>
      </x:c>
    </x:row>
    <x:row r="2444" ht="58" customHeight="1">
      <x:c r="A2444" s="10" t="str">
        <x:v>E2439</x:v>
      </x:c>
      <x:c r="B2444" s="10" t="str">
        <x:v>T35.09</x:v>
      </x:c>
      <x:c r="C2444" s="10" t="str">
        <x:v>Disposition effect</x:v>
      </x:c>
      <x:c r="D2444" s="14" t="str">
        <x:v>AFFECTS</x:v>
      </x:c>
      <x:c r="E2444" s="10" t="str">
        <x:v>T22.13</x:v>
      </x:c>
      <x:c r="F2444" s="10" t="str">
        <x:v>Rebalancing</x:v>
      </x:c>
      <x:c r="G2444" s="10" t="str">
        <x:v>The disposition effect can interfere with disciplined portfolio decisions.</x:v>
      </x:c>
      <x:c r="H2444" s="10" t="str"/>
      <x:c r="I2444" s="10" t="str">
        <x:v>Finance mechanism / application; authored mapping</x:v>
      </x:c>
    </x:row>
    <x:row r="2445" ht="58" customHeight="1">
      <x:c r="A2445" s="9" t="str">
        <x:v>E2440</x:v>
      </x:c>
      <x:c r="B2445" s="9" t="str">
        <x:v>T35.10</x:v>
      </x:c>
      <x:c r="C2445" s="9" t="str">
        <x:v>Present bias and self-control</x:v>
      </x:c>
      <x:c r="D2445" s="15" t="str">
        <x:v>AFFECTS</x:v>
      </x:c>
      <x:c r="E2445" s="9" t="str">
        <x:v>T30.06</x:v>
      </x:c>
      <x:c r="F2445" s="9" t="str">
        <x:v>Financial goals and savings plans</x:v>
      </x:c>
      <x:c r="G2445" s="9" t="str">
        <x:v>Present bias can weaken saving for future goals.</x:v>
      </x:c>
      <x:c r="H2445" s="9" t="str"/>
      <x:c r="I2445" s="9" t="str">
        <x:v>Finance mechanism / application; authored mapping</x:v>
      </x:c>
    </x:row>
    <x:row r="2446" ht="58" customHeight="1">
      <x:c r="A2446" s="10" t="str">
        <x:v>E2441</x:v>
      </x:c>
      <x:c r="B2446" s="10" t="str">
        <x:v>T35.12</x:v>
      </x:c>
      <x:c r="C2446" s="10" t="str">
        <x:v>Behavioural corporate finance</x:v>
      </x:c>
      <x:c r="D2446" s="14" t="str">
        <x:v>AFFECTS</x:v>
      </x:c>
      <x:c r="E2446" s="10" t="str">
        <x:v>T12.15</x:v>
      </x:c>
      <x:c r="F2446" s="10" t="str">
        <x:v>Capital allocation performance and management incentives</x:v>
      </x:c>
      <x:c r="G2446" s="10" t="str">
        <x:v>Managerial biases can influence capital-allocation decisions.</x:v>
      </x:c>
      <x:c r="H2446" s="10" t="str"/>
      <x:c r="I2446" s="10" t="str">
        <x:v>Finance mechanism / application; authored mapping</x:v>
      </x:c>
    </x:row>
    <x:row r="2447" ht="58" customHeight="1">
      <x:c r="A2447" s="9" t="str">
        <x:v>E2442</x:v>
      </x:c>
      <x:c r="B2447" s="9" t="str">
        <x:v>T35.13</x:v>
      </x:c>
      <x:c r="C2447" s="9" t="str">
        <x:v>Decision journals, checklists, and pre-mortems</x:v>
      </x:c>
      <x:c r="D2447" s="15" t="str">
        <x:v>SUPPORTS</x:v>
      </x:c>
      <x:c r="E2447" s="9" t="str">
        <x:v>T38.18</x:v>
      </x:c>
      <x:c r="F2447" s="9" t="str">
        <x:v>Reproducibility, model governance, and human verification</x:v>
      </x:c>
      <x:c r="G2447" s="9" t="str">
        <x:v>Decision records and checklists improve inspectability and review.</x:v>
      </x:c>
      <x:c r="H2447" s="9" t="str"/>
      <x:c r="I2447" s="9" t="str">
        <x:v>Finance mechanism / application; authored mapping</x:v>
      </x:c>
    </x:row>
    <x:row r="2448" ht="58" customHeight="1">
      <x:c r="A2448" s="10" t="str">
        <x:v>E2443</x:v>
      </x:c>
      <x:c r="B2448" s="10" t="str">
        <x:v>T35.14</x:v>
      </x:c>
      <x:c r="C2448" s="10" t="str">
        <x:v>Incentive design and decision quality</x:v>
      </x:c>
      <x:c r="D2448" s="14" t="str">
        <x:v>ADDRESSES</x:v>
      </x:c>
      <x:c r="E2448" s="10" t="str">
        <x:v>T01.14</x:v>
      </x:c>
      <x:c r="F2448" s="10" t="str">
        <x:v>Agency problems, incentives, information asymmetry, and moral hazard</x:v>
      </x:c>
      <x:c r="G2448" s="10" t="str">
        <x:v>Incentive design connects agency problems with decision quality.</x:v>
      </x:c>
      <x:c r="H2448" s="10" t="str"/>
      <x:c r="I2448" s="10" t="str">
        <x:v>Finance mechanism / application; authored mapping</x:v>
      </x:c>
    </x:row>
    <x:row r="2449" ht="58" customHeight="1">
      <x:c r="A2449" s="9" t="str">
        <x:v>E2444</x:v>
      </x:c>
      <x:c r="B2449" s="9" t="str">
        <x:v>T36.01</x:v>
      </x:c>
      <x:c r="C2449" s="9" t="str">
        <x:v>Payment systems and payment processing</x:v>
      </x:c>
      <x:c r="D2449" s="15" t="str">
        <x:v>RELATES_TO</x:v>
      </x:c>
      <x:c r="E2449" s="9" t="str">
        <x:v>T34.03</x:v>
      </x:c>
      <x:c r="F2449" s="9" t="str">
        <x:v>Trade execution, clearing, and settlement</x:v>
      </x:c>
      <x:c r="G2449" s="9" t="str">
        <x:v>Payment processing and securities settlement both require secure transfer and reconciliation.</x:v>
      </x:c>
      <x:c r="H2449" s="9" t="str">
        <x:v>They use different rails and legal arrangements.</x:v>
      </x:c>
      <x:c r="I2449" s="9" t="str">
        <x:v>Finance mechanism / application; authored mapping</x:v>
      </x:c>
    </x:row>
    <x:row r="2450" ht="58" customHeight="1">
      <x:c r="A2450" s="10" t="str">
        <x:v>E2445</x:v>
      </x:c>
      <x:c r="B2450" s="10" t="str">
        <x:v>T36.02</x:v>
      </x:c>
      <x:c r="C2450" s="10" t="str">
        <x:v>Cards, acquiring, issuing, and interchange</x:v>
      </x:c>
      <x:c r="D2450" s="14" t="str">
        <x:v>HAS_ECONOMICS</x:v>
      </x:c>
      <x:c r="E2450" s="10" t="str">
        <x:v>T11.01</x:v>
      </x:c>
      <x:c r="F2450" s="10" t="str">
        <x:v>Revenue models and cost structures</x:v>
      </x:c>
      <x:c r="G2450" s="10" t="str">
        <x:v>Card payments distribute fees and responsibilities across participants.</x:v>
      </x:c>
      <x:c r="H2450" s="10" t="str"/>
      <x:c r="I2450" s="10" t="str">
        <x:v>Finance mechanism / application; authored mapping</x:v>
      </x:c>
    </x:row>
    <x:row r="2451" ht="58" customHeight="1">
      <x:c r="A2451" s="9" t="str">
        <x:v>E2446</x:v>
      </x:c>
      <x:c r="B2451" s="9" t="str">
        <x:v>T36.03</x:v>
      </x:c>
      <x:c r="C2451" s="9" t="str">
        <x:v>UPI and account-to-account payments</x:v>
      </x:c>
      <x:c r="D2451" s="15" t="str">
        <x:v>IMPLEMENTATION_OF</x:v>
      </x:c>
      <x:c r="E2451" s="9" t="str">
        <x:v>T36.01</x:v>
      </x:c>
      <x:c r="F2451" s="9" t="str">
        <x:v>Payment systems and payment processing</x:v>
      </x:c>
      <x:c r="G2451" s="9" t="str">
        <x:v>UPI is an account-to-account payment arrangement within the broader payments landscape.</x:v>
      </x:c>
      <x:c r="H2451" s="9" t="str"/>
      <x:c r="I2451" s="9" t="str">
        <x:v>Finance mechanism / application; authored mapping</x:v>
      </x:c>
    </x:row>
    <x:row r="2452" ht="58" customHeight="1">
      <x:c r="A2452" s="10" t="str">
        <x:v>E2447</x:v>
      </x:c>
      <x:c r="B2452" s="10" t="str">
        <x:v>T36.04</x:v>
      </x:c>
      <x:c r="C2452" s="10" t="str">
        <x:v>Wallets, remittances, and cross-border payments</x:v>
      </x:c>
      <x:c r="D2452" s="14" t="str">
        <x:v>USES</x:v>
      </x:c>
      <x:c r="E2452" s="10" t="str">
        <x:v>T33.01</x:v>
      </x:c>
      <x:c r="F2452" s="10" t="str">
        <x:v>Currency quotations and cross-rates</x:v>
      </x:c>
      <x:c r="G2452" s="10" t="str">
        <x:v>Cross-border payments may require currency conversion and international settlement.</x:v>
      </x:c>
      <x:c r="H2452" s="10" t="str"/>
      <x:c r="I2452" s="10" t="str">
        <x:v>Finance mechanism / application; authored mapping</x:v>
      </x:c>
    </x:row>
    <x:row r="2453" ht="58" customHeight="1">
      <x:c r="A2453" s="9" t="str">
        <x:v>E2448</x:v>
      </x:c>
      <x:c r="B2453" s="9" t="str">
        <x:v>T36.06</x:v>
      </x:c>
      <x:c r="C2453" s="9" t="str">
        <x:v>Digital lending and alternative underwriting</x:v>
      </x:c>
      <x:c r="D2453" s="15" t="str">
        <x:v>APPLIES</x:v>
      </x:c>
      <x:c r="E2453" s="9" t="str">
        <x:v>T24.09</x:v>
      </x:c>
      <x:c r="F2453" s="9" t="str">
        <x:v>Loan origination and underwriting</x:v>
      </x:c>
      <x:c r="G2453" s="9" t="str">
        <x:v>Digital lending still requires underwriting and repayment assessment.</x:v>
      </x:c>
      <x:c r="H2453" s="9" t="str"/>
      <x:c r="I2453" s="9" t="str">
        <x:v>Finance mechanism / application; authored mapping</x:v>
      </x:c>
    </x:row>
    <x:row r="2454" ht="58" customHeight="1">
      <x:c r="A2454" s="10" t="str">
        <x:v>E2449</x:v>
      </x:c>
      <x:c r="B2454" s="10" t="str">
        <x:v>T36.07</x:v>
      </x:c>
      <x:c r="C2454" s="10" t="str">
        <x:v>Embedded finance and banking-as-a-service</x:v>
      </x:c>
      <x:c r="D2454" s="14" t="str">
        <x:v>DEPENDS_ON</x:v>
      </x:c>
      <x:c r="E2454" s="10" t="str">
        <x:v>T24.03</x:v>
      </x:c>
      <x:c r="F2454" s="10" t="str">
        <x:v>Deposits, lending, and wholesale funding</x:v>
      </x:c>
      <x:c r="G2454" s="10" t="str">
        <x:v>Embedded financial services depend on the underlying regulated funding or service arrangements.</x:v>
      </x:c>
      <x:c r="H2454" s="10" t="str"/>
      <x:c r="I2454" s="10" t="str">
        <x:v>Finance mechanism / application; authored mapping</x:v>
      </x:c>
    </x:row>
    <x:row r="2455" ht="58" customHeight="1">
      <x:c r="A2455" s="9" t="str">
        <x:v>E2450</x:v>
      </x:c>
      <x:c r="B2455" s="9" t="str">
        <x:v>T36.08</x:v>
      </x:c>
      <x:c r="C2455" s="9" t="str">
        <x:v>Open banking and account aggregation</x:v>
      </x:c>
      <x:c r="D2455" s="15" t="str">
        <x:v>USES</x:v>
      </x:c>
      <x:c r="E2455" s="9" t="str">
        <x:v>T38.07</x:v>
      </x:c>
      <x:c r="F2455" s="9" t="str">
        <x:v>APIs and financial data pipelines</x:v>
      </x:c>
      <x:c r="G2455" s="9" t="str">
        <x:v>Account aggregation and open-banking services use permissioned data connections.</x:v>
      </x:c>
      <x:c r="H2455" s="9" t="str"/>
      <x:c r="I2455" s="9" t="str">
        <x:v>Finance mechanism / application; authored mapping</x:v>
      </x:c>
    </x:row>
    <x:row r="2456" ht="58" customHeight="1">
      <x:c r="A2456" s="10" t="str">
        <x:v>E2451</x:v>
      </x:c>
      <x:c r="B2456" s="10" t="str">
        <x:v>T36.09</x:v>
      </x:c>
      <x:c r="C2456" s="10" t="str">
        <x:v>Robo-advisory and automated wealth management</x:v>
      </x:c>
      <x:c r="D2456" s="14" t="str">
        <x:v>IMPLEMENTS</x:v>
      </x:c>
      <x:c r="E2456" s="10" t="str">
        <x:v>T22.02</x:v>
      </x:c>
      <x:c r="F2456" s="10" t="str">
        <x:v>Investment policy statements</x:v>
      </x:c>
      <x:c r="G2456" s="10" t="str">
        <x:v>Automated advice should translate investor objectives and constraints into implementation.</x:v>
      </x:c>
      <x:c r="H2456" s="10" t="str"/>
      <x:c r="I2456" s="10" t="str">
        <x:v>Finance mechanism / application; authored mapping</x:v>
      </x:c>
    </x:row>
    <x:row r="2457" ht="58" customHeight="1">
      <x:c r="A2457" s="9" t="str">
        <x:v>E2452</x:v>
      </x:c>
      <x:c r="B2457" s="9" t="str">
        <x:v>T36.10</x:v>
      </x:c>
      <x:c r="C2457" s="9" t="str">
        <x:v>Insurtech, regtech, and wealthtech</x:v>
      </x:c>
      <x:c r="D2457" s="15" t="str">
        <x:v>APPLIES</x:v>
      </x:c>
      <x:c r="E2457" s="9" t="str">
        <x:v>T29.05</x:v>
      </x:c>
      <x:c r="F2457" s="9" t="str">
        <x:v>Underwriting and adverse selection</x:v>
      </x:c>
      <x:c r="G2457" s="9" t="str">
        <x:v>Insurance technology can support underwriting and servicing processes.</x:v>
      </x:c>
      <x:c r="H2457" s="9" t="str"/>
      <x:c r="I2457" s="9" t="str">
        <x:v>Finance mechanism / application; authored mapping</x:v>
      </x:c>
    </x:row>
    <x:row r="2458" ht="58" customHeight="1">
      <x:c r="A2458" s="10" t="str">
        <x:v>E2453</x:v>
      </x:c>
      <x:c r="B2458" s="10" t="str">
        <x:v>T36.11</x:v>
      </x:c>
      <x:c r="C2458" s="10" t="str">
        <x:v>Fraud detection and financial identity</x:v>
      </x:c>
      <x:c r="D2458" s="14" t="str">
        <x:v>MANAGES</x:v>
      </x:c>
      <x:c r="E2458" s="10" t="str">
        <x:v>T25.13</x:v>
      </x:c>
      <x:c r="F2458" s="10" t="str">
        <x:v>Operational losses, cyber risk, and fraud risk</x:v>
      </x:c>
      <x:c r="G2458" s="10" t="str">
        <x:v>Identity and detection controls mitigate selected operational and fraud exposures.</x:v>
      </x:c>
      <x:c r="H2458" s="10" t="str"/>
      <x:c r="I2458" s="10" t="str">
        <x:v>Finance mechanism / application; authored mapping</x:v>
      </x:c>
    </x:row>
    <x:row r="2459" ht="58" customHeight="1">
      <x:c r="A2459" s="9" t="str">
        <x:v>E2454</x:v>
      </x:c>
      <x:c r="B2459" s="9" t="str">
        <x:v>T36.13</x:v>
      </x:c>
      <x:c r="C2459" s="9" t="str">
        <x:v>Cryptoassets and token economics</x:v>
      </x:c>
      <x:c r="D2459" s="15" t="str">
        <x:v>CREATES_EXPOSURE</x:v>
      </x:c>
      <x:c r="E2459" s="9" t="str">
        <x:v>T25.01</x:v>
      </x:c>
      <x:c r="F2459" s="9" t="str">
        <x:v>Market, credit, liquidity, and operational risk</x:v>
      </x:c>
      <x:c r="G2459" s="9" t="str">
        <x:v>Cryptoassets create market and other instrument-specific risks.</x:v>
      </x:c>
      <x:c r="H2459" s="9" t="str"/>
      <x:c r="I2459" s="9" t="str">
        <x:v>Finance mechanism / application; authored mapping</x:v>
      </x:c>
    </x:row>
    <x:row r="2460" ht="58" customHeight="1">
      <x:c r="A2460" s="10" t="str">
        <x:v>E2455</x:v>
      </x:c>
      <x:c r="B2460" s="10" t="str">
        <x:v>T36.14</x:v>
      </x:c>
      <x:c r="C2460" s="10" t="str">
        <x:v>Stablecoins and central bank digital currencies</x:v>
      </x:c>
      <x:c r="D2460" s="14" t="str">
        <x:v>USED_IN</x:v>
      </x:c>
      <x:c r="E2460" s="10" t="str">
        <x:v>T36.01</x:v>
      </x:c>
      <x:c r="F2460" s="10" t="str">
        <x:v>Payment systems and payment processing</x:v>
      </x:c>
      <x:c r="G2460" s="10" t="str">
        <x:v>Digital currency arrangements can support payment use cases.</x:v>
      </x:c>
      <x:c r="H2460" s="10" t="str">
        <x:v>Stablecoins and central bank digital currencies have different claims and backing.</x:v>
      </x:c>
      <x:c r="I2460" s="10" t="str">
        <x:v>Finance mechanism / application; authored mapping</x:v>
      </x:c>
    </x:row>
    <x:row r="2461" ht="58" customHeight="1">
      <x:c r="A2461" s="9" t="str">
        <x:v>E2456</x:v>
      </x:c>
      <x:c r="B2461" s="9" t="str">
        <x:v>T36.15</x:v>
      </x:c>
      <x:c r="C2461" s="9" t="str">
        <x:v>Decentralised finance, lending, and automated market makers</x:v>
      </x:c>
      <x:c r="D2461" s="15" t="str">
        <x:v>CONTRASTS_WITH</x:v>
      </x:c>
      <x:c r="E2461" s="9" t="str">
        <x:v>T21.18</x:v>
      </x:c>
      <x:c r="F2461" s="9" t="str">
        <x:v>Margin, collateral, clearing, and counterparty risk</x:v>
      </x:c>
      <x:c r="G2461" s="9" t="str">
        <x:v>DeFi collateral and liquidation mechanisms differ from conventional clearing arrangements.</x:v>
      </x:c>
      <x:c r="H2461" s="9" t="str">
        <x:v>Protocol, oracle, liquidity and contract risks need separate treatment.</x:v>
      </x:c>
      <x:c r="I2461" s="9" t="str">
        <x:v>Finance mechanism / application; authored mapping</x:v>
      </x:c>
    </x:row>
    <x:row r="2462" ht="58" customHeight="1">
      <x:c r="A2462" s="10" t="str">
        <x:v>E2457</x:v>
      </x:c>
      <x:c r="B2462" s="10" t="str">
        <x:v>T36.16</x:v>
      </x:c>
      <x:c r="C2462" s="10" t="str">
        <x:v>Tokenisation of financial assets</x:v>
      </x:c>
      <x:c r="D2462" s="14" t="str">
        <x:v>REQUIRES_STRUCTURE</x:v>
      </x:c>
      <x:c r="E2462" s="10" t="str">
        <x:v>T34.02</x:v>
      </x:c>
      <x:c r="F2462" s="10" t="str">
        <x:v>Custodians, depositories, and clearing houses</x:v>
      </x:c>
      <x:c r="G2462" s="10" t="str">
        <x:v>Tokenisation requires clear ownership, custody and settlement arrangements.</x:v>
      </x:c>
      <x:c r="H2462" s="10" t="str"/>
      <x:c r="I2462" s="10" t="str">
        <x:v>Finance mechanism / application; authored mapping</x:v>
      </x:c>
    </x:row>
    <x:row r="2463" ht="58" customHeight="1">
      <x:c r="A2463" s="9" t="str">
        <x:v>E2458</x:v>
      </x:c>
      <x:c r="B2463" s="9" t="str">
        <x:v>T36.17</x:v>
      </x:c>
      <x:c r="C2463" s="9" t="str">
        <x:v>Fintech business models, unit economics, and risks</x:v>
      </x:c>
      <x:c r="D2463" s="15" t="str">
        <x:v>USES</x:v>
      </x:c>
      <x:c r="E2463" s="9" t="str">
        <x:v>T11.15</x:v>
      </x:c>
      <x:c r="F2463" s="9" t="str">
        <x:v>Linking business drivers to financial results</x:v>
      </x:c>
      <x:c r="G2463" s="9" t="str">
        <x:v>Fintech economics need transaction, credit-loss and customer drivers.</x:v>
      </x:c>
      <x:c r="H2463" s="9" t="str"/>
      <x:c r="I2463" s="9" t="str">
        <x:v>Finance mechanism / application; authored mapping</x:v>
      </x:c>
    </x:row>
    <x:row r="2464" ht="58" customHeight="1">
      <x:c r="A2464" s="10" t="str">
        <x:v>E2459</x:v>
      </x:c>
      <x:c r="B2464" s="10" t="str">
        <x:v>T37.01</x:v>
      </x:c>
      <x:c r="C2464" s="10" t="str">
        <x:v>ESG integration in investment decisions</x:v>
      </x:c>
      <x:c r="D2464" s="14" t="str">
        <x:v>INFORMS</x:v>
      </x:c>
      <x:c r="E2464" s="10" t="str">
        <x:v>T22.02</x:v>
      </x:c>
      <x:c r="F2464" s="10" t="str">
        <x:v>Investment policy statements</x:v>
      </x:c>
      <x:c r="G2464" s="10" t="str">
        <x:v>ESG objectives and risks can be reflected in investment policy and analysis.</x:v>
      </x:c>
      <x:c r="H2464" s="10" t="str"/>
      <x:c r="I2464" s="10" t="str">
        <x:v>Finance mechanism / application; authored mapping</x:v>
      </x:c>
    </x:row>
    <x:row r="2465" ht="58" customHeight="1">
      <x:c r="A2465" s="9" t="str">
        <x:v>E2460</x:v>
      </x:c>
      <x:c r="B2465" s="9" t="str">
        <x:v>T37.02</x:v>
      </x:c>
      <x:c r="C2465" s="9" t="str">
        <x:v>Sustainability reporting and materiality</x:v>
      </x:c>
      <x:c r="D2465" s="15" t="str">
        <x:v>USES</x:v>
      </x:c>
      <x:c r="E2465" s="9" t="str">
        <x:v>T04.11</x:v>
      </x:c>
      <x:c r="F2465" s="9" t="str">
        <x:v>Materiality, prudence, consistency, and going concern</x:v>
      </x:c>
      <x:c r="G2465" s="9" t="str">
        <x:v>Sustainability reporting also requires materiality judgements.</x:v>
      </x:c>
      <x:c r="H2465" s="9" t="str">
        <x:v>Financial and impact materiality are distinct and framework-specific.</x:v>
      </x:c>
      <x:c r="I2465" s="9" t="str">
        <x:v>Finance mechanism / application; authored mapping</x:v>
      </x:c>
    </x:row>
    <x:row r="2466" ht="58" customHeight="1">
      <x:c r="A2466" s="10" t="str">
        <x:v>E2461</x:v>
      </x:c>
      <x:c r="B2466" s="10" t="str">
        <x:v>T37.03</x:v>
      </x:c>
      <x:c r="C2466" s="10" t="str">
        <x:v>Climate transition risk and physical risk</x:v>
      </x:c>
      <x:c r="D2466" s="14" t="str">
        <x:v>TESTED_WITH</x:v>
      </x:c>
      <x:c r="E2466" s="10" t="str">
        <x:v>T25.07</x:v>
      </x:c>
      <x:c r="F2466" s="10" t="str">
        <x:v>Stress testing and reverse stress testing</x:v>
      </x:c>
      <x:c r="G2466" s="10" t="str">
        <x:v>Physical and transition climate scenarios can inform stress analysis.</x:v>
      </x:c>
      <x:c r="H2466" s="10" t="str"/>
      <x:c r="I2466" s="10" t="str">
        <x:v>Finance mechanism / application; authored mapping</x:v>
      </x:c>
    </x:row>
    <x:row r="2467" ht="58" customHeight="1">
      <x:c r="A2467" s="9" t="str">
        <x:v>E2462</x:v>
      </x:c>
      <x:c r="B2467" s="9" t="str">
        <x:v>T37.04</x:v>
      </x:c>
      <x:c r="C2467" s="9" t="str">
        <x:v>Green bonds and sustainability-linked finance</x:v>
      </x:c>
      <x:c r="D2467" s="15" t="str">
        <x:v>STRUCTURED_AS</x:v>
      </x:c>
      <x:c r="E2467" s="9" t="str">
        <x:v>T20.03</x:v>
      </x:c>
      <x:c r="F2467" s="9" t="str">
        <x:v>Coupon structures and payment conventions</x:v>
      </x:c>
      <x:c r="G2467" s="9" t="str">
        <x:v>Sustainable debt instruments retain bond cash-flow structures with additional terms or use-of-proceeds commitments.</x:v>
      </x:c>
      <x:c r="H2467" s="9" t="str"/>
      <x:c r="I2467" s="9" t="str">
        <x:v>Finance mechanism / application; authored mapping</x:v>
      </x:c>
    </x:row>
    <x:row r="2468" ht="58" customHeight="1">
      <x:c r="A2468" s="10" t="str">
        <x:v>E2463</x:v>
      </x:c>
      <x:c r="B2468" s="10" t="str">
        <x:v>T37.05</x:v>
      </x:c>
      <x:c r="C2468" s="10" t="str">
        <x:v>Carbon markets and carbon pricing</x:v>
      </x:c>
      <x:c r="D2468" s="14" t="str">
        <x:v>AFFECTS</x:v>
      </x:c>
      <x:c r="E2468" s="10" t="str">
        <x:v>T16.04</x:v>
      </x:c>
      <x:c r="F2468" s="10" t="str">
        <x:v>Revenue and operating-cost schedules</x:v>
      </x:c>
      <x:c r="G2468" s="10" t="str">
        <x:v>Carbon pricing can alter cost and revenue assumptions in exposed businesses.</x:v>
      </x:c>
      <x:c r="H2468" s="10" t="str"/>
      <x:c r="I2468" s="10" t="str">
        <x:v>Finance mechanism / application; authored mapping</x:v>
      </x:c>
    </x:row>
    <x:row r="2469" ht="58" customHeight="1">
      <x:c r="A2469" s="9" t="str">
        <x:v>E2464</x:v>
      </x:c>
      <x:c r="B2469" s="9" t="str">
        <x:v>T37.06</x:v>
      </x:c>
      <x:c r="C2469" s="9" t="str">
        <x:v>Impact investing and impact measurement</x:v>
      </x:c>
      <x:c r="D2469" s="15" t="str">
        <x:v>ASSESSED_WITH</x:v>
      </x:c>
      <x:c r="E2469" s="9" t="str">
        <x:v>T37.10</x:v>
      </x:c>
      <x:c r="F2469" s="9" t="str">
        <x:v>Greenwashing and data-quality limitations</x:v>
      </x:c>
      <x:c r="G2469" s="9" t="str">
        <x:v>Impact claims require measurement and data-quality assessment.</x:v>
      </x:c>
      <x:c r="H2469" s="9" t="str"/>
      <x:c r="I2469" s="9" t="str">
        <x:v>Finance mechanism / application; authored mapping</x:v>
      </x:c>
    </x:row>
    <x:row r="2470" ht="58" customHeight="1">
      <x:c r="A2470" s="10" t="str">
        <x:v>E2465</x:v>
      </x:c>
      <x:c r="B2470" s="10" t="str">
        <x:v>T37.07</x:v>
      </x:c>
      <x:c r="C2470" s="10" t="str">
        <x:v>Blended finance and development finance</x:v>
      </x:c>
      <x:c r="D2470" s="14" t="str">
        <x:v>APPLIED_IN</x:v>
      </x:c>
      <x:c r="E2470" s="10" t="str">
        <x:v>T28.13</x:v>
      </x:c>
      <x:c r="F2470" s="10" t="str">
        <x:v>Concessions, offtake agreements, and public-private partnerships</x:v>
      </x:c>
      <x:c r="G2470" s="10" t="str">
        <x:v>Blended and development finance can support infrastructure arrangements.</x:v>
      </x:c>
      <x:c r="H2470" s="10" t="str"/>
      <x:c r="I2470" s="10" t="str">
        <x:v>Finance mechanism / application; authored mapping</x:v>
      </x:c>
    </x:row>
    <x:row r="2471" ht="58" customHeight="1">
      <x:c r="A2471" s="9" t="str">
        <x:v>E2466</x:v>
      </x:c>
      <x:c r="B2471" s="9" t="str">
        <x:v>T37.08</x:v>
      </x:c>
      <x:c r="C2471" s="9" t="str">
        <x:v>Social finance and financial inclusion</x:v>
      </x:c>
      <x:c r="D2471" s="15" t="str">
        <x:v>RELATES_TO</x:v>
      </x:c>
      <x:c r="E2471" s="9" t="str">
        <x:v>T24.18</x:v>
      </x:c>
      <x:c r="F2471" s="9" t="str">
        <x:v>NBFCs, microfinance, and housing finance</x:v>
      </x:c>
      <x:c r="G2471" s="9" t="str">
        <x:v>Microfinance and community structures can pursue inclusion objectives.</x:v>
      </x:c>
      <x:c r="H2471" s="9" t="str"/>
      <x:c r="I2471" s="9" t="str">
        <x:v>Finance mechanism / application; authored mapping</x:v>
      </x:c>
    </x:row>
    <x:row r="2472" ht="58" customHeight="1">
      <x:c r="A2472" s="10" t="str">
        <x:v>E2467</x:v>
      </x:c>
      <x:c r="B2472" s="10" t="str">
        <x:v>T37.11</x:v>
      </x:c>
      <x:c r="C2472" s="10" t="str">
        <x:v>Islamic finance principles</x:v>
      </x:c>
      <x:c r="D2472" s="14" t="str">
        <x:v>IMPLEMENTED_THROUGH</x:v>
      </x:c>
      <x:c r="E2472" s="10" t="str">
        <x:v>T37.12</x:v>
      </x:c>
      <x:c r="F2472" s="10" t="str">
        <x:v>Murabaha, ijara, musharaka, mudaraba, and sukuk</x:v>
      </x:c>
      <x:c r="G2472" s="10" t="str">
        <x:v>Islamic finance principles are applied through specific contractual structures.</x:v>
      </x:c>
      <x:c r="H2472" s="10" t="str">
        <x:v>Product substance and jurisdiction-specific interpretation matter.</x:v>
      </x:c>
      <x:c r="I2472" s="10" t="str">
        <x:v>Finance mechanism / application; authored mapping</x:v>
      </x:c>
    </x:row>
    <x:row r="2473" ht="58" customHeight="1">
      <x:c r="A2473" s="9" t="str">
        <x:v>E2468</x:v>
      </x:c>
      <x:c r="B2473" s="9" t="str">
        <x:v>T37.14</x:v>
      </x:c>
      <x:c r="C2473" s="9" t="str">
        <x:v>Nonprofit and endowment finance</x:v>
      </x:c>
      <x:c r="D2473" s="15" t="str">
        <x:v>APPLIES</x:v>
      </x:c>
      <x:c r="E2473" s="9" t="str">
        <x:v>T22.19</x:v>
      </x:c>
      <x:c r="F2473" s="9" t="str">
        <x:v>Endowment, pension, and institutional portfolios</x:v>
      </x:c>
      <x:c r="G2473" s="9" t="str">
        <x:v>Nonprofits and endowments manage assets against spending objectives and constraints.</x:v>
      </x:c>
      <x:c r="H2473" s="9" t="str"/>
      <x:c r="I2473" s="9" t="str">
        <x:v>Finance mechanism / application; authored mapping</x:v>
      </x:c>
    </x:row>
    <x:row r="2474" ht="58" customHeight="1">
      <x:c r="A2474" s="10" t="str">
        <x:v>E2469</x:v>
      </x:c>
      <x:c r="B2474" s="10" t="str">
        <x:v>T38.03</x:v>
      </x:c>
      <x:c r="C2474" s="10" t="str">
        <x:v>Corporate-action-adjusted prices</x:v>
      </x:c>
      <x:c r="D2474" s="14" t="str">
        <x:v>ADJUSTS_FOR</x:v>
      </x:c>
      <x:c r="E2474" s="10" t="str">
        <x:v>T19.06</x:v>
      </x:c>
      <x:c r="F2474" s="10" t="str">
        <x:v>Dividends, splits, bonus issues, and buybacks</x:v>
      </x:c>
      <x:c r="G2474" s="10" t="str">
        <x:v>Price histories need corporate-action treatment consistent with the return calculation.</x:v>
      </x:c>
      <x:c r="H2474" s="10" t="str"/>
      <x:c r="I2474" s="10" t="str">
        <x:v>Finance mechanism / application; authored mapping</x:v>
      </x:c>
    </x:row>
    <x:row r="2475" ht="58" customHeight="1">
      <x:c r="A2475" s="9" t="str">
        <x:v>E2470</x:v>
      </x:c>
      <x:c r="B2475" s="9" t="str">
        <x:v>T38.04</x:v>
      </x:c>
      <x:c r="C2475" s="9" t="str">
        <x:v>Point-in-time data and survivorship bias</x:v>
      </x:c>
      <x:c r="D2475" s="15" t="str">
        <x:v>REQUIRED_FOR</x:v>
      </x:c>
      <x:c r="E2475" s="9" t="str">
        <x:v>T38.09</x:v>
      </x:c>
      <x:c r="F2475" s="9" t="str">
        <x:v>Factor research and backtesting</x:v>
      </x:c>
      <x:c r="G2475" s="9" t="str">
        <x:v>Historical research should use information available at the time.</x:v>
      </x:c>
      <x:c r="H2475" s="9" t="str"/>
      <x:c r="I2475" s="9" t="str">
        <x:v>Finance mechanism / application; authored mapping</x:v>
      </x:c>
    </x:row>
    <x:row r="2476" ht="58" customHeight="1">
      <x:c r="A2476" s="10" t="str">
        <x:v>E2471</x:v>
      </x:c>
      <x:c r="B2476" s="10" t="str">
        <x:v>T38.08</x:v>
      </x:c>
      <x:c r="C2476" s="10" t="str">
        <x:v>Econometrics and financial forecasting</x:v>
      </x:c>
      <x:c r="D2476" s="14" t="str">
        <x:v>USES</x:v>
      </x:c>
      <x:c r="E2476" s="10" t="str">
        <x:v>T02.13</x:v>
      </x:c>
      <x:c r="F2476" s="10" t="str">
        <x:v>Time-series foundations, stationarity, autocorrelation, and volatility</x:v>
      </x:c>
      <x:c r="G2476" s="10" t="str">
        <x:v>Forecasting uses time-series and econometric methods.</x:v>
      </x:c>
      <x:c r="H2476" s="10" t="str"/>
      <x:c r="I2476" s="10" t="str">
        <x:v>Finance mechanism / application; authored mapping</x:v>
      </x:c>
    </x:row>
    <x:row r="2477" ht="58" customHeight="1">
      <x:c r="A2477" s="9" t="str">
        <x:v>E2472</x:v>
      </x:c>
      <x:c r="B2477" s="9" t="str">
        <x:v>T38.09</x:v>
      </x:c>
      <x:c r="C2477" s="9" t="str">
        <x:v>Factor research and backtesting</x:v>
      </x:c>
      <x:c r="D2477" s="15" t="str">
        <x:v>TESTS</x:v>
      </x:c>
      <x:c r="E2477" s="9" t="str">
        <x:v>T22.08</x:v>
      </x:c>
      <x:c r="F2477" s="9" t="str">
        <x:v>CAPM, arbitrage pricing theory, and factor models</x:v>
      </x:c>
      <x:c r="G2477" s="9" t="str">
        <x:v>Factor research tests common return exposures and strategy behaviour.</x:v>
      </x:c>
      <x:c r="H2477" s="9" t="str"/>
      <x:c r="I2477" s="9" t="str">
        <x:v>Finance mechanism / application; authored mapping</x:v>
      </x:c>
    </x:row>
    <x:row r="2478" ht="58" customHeight="1">
      <x:c r="A2478" s="10" t="str">
        <x:v>E2473</x:v>
      </x:c>
      <x:c r="B2478" s="10" t="str">
        <x:v>T38.10</x:v>
      </x:c>
      <x:c r="C2478" s="10" t="str">
        <x:v>Look-ahead bias, overfitting, and data snooping</x:v>
      </x:c>
      <x:c r="D2478" s="14" t="str">
        <x:v>QUALIFIES</x:v>
      </x:c>
      <x:c r="E2478" s="10" t="str">
        <x:v>T38.09</x:v>
      </x:c>
      <x:c r="F2478" s="10" t="str">
        <x:v>Factor research and backtesting</x:v>
      </x:c>
      <x:c r="G2478" s="10" t="str">
        <x:v>Leakage, repeated testing and overfitting can invalidate backtest conclusions.</x:v>
      </x:c>
      <x:c r="H2478" s="10" t="str"/>
      <x:c r="I2478" s="10" t="str">
        <x:v>Finance mechanism / application; authored mapping</x:v>
      </x:c>
    </x:row>
    <x:row r="2479" ht="58" customHeight="1">
      <x:c r="A2479" s="9" t="str">
        <x:v>E2474</x:v>
      </x:c>
      <x:c r="B2479" s="9" t="str">
        <x:v>T38.11</x:v>
      </x:c>
      <x:c r="C2479" s="9" t="str">
        <x:v>Transaction costs and realistic strategy testing</x:v>
      </x:c>
      <x:c r="D2479" s="15" t="str">
        <x:v>USES</x:v>
      </x:c>
      <x:c r="E2479" s="9" t="str">
        <x:v>T34.05</x:v>
      </x:c>
      <x:c r="F2479" s="9" t="str">
        <x:v>Market impact and transaction costs</x:v>
      </x:c>
      <x:c r="G2479" s="9" t="str">
        <x:v>Realistic backtests model execution costs and market impact.</x:v>
      </x:c>
      <x:c r="H2479" s="9" t="str"/>
      <x:c r="I2479" s="9" t="str">
        <x:v>Finance mechanism / application; authored mapping</x:v>
      </x:c>
    </x:row>
    <x:row r="2480" ht="58" customHeight="1">
      <x:c r="A2480" s="10" t="str">
        <x:v>E2475</x:v>
      </x:c>
      <x:c r="B2480" s="10" t="str">
        <x:v>T38.12</x:v>
      </x:c>
      <x:c r="C2480" s="10" t="str">
        <x:v>Monte Carlo simulation</x:v>
      </x:c>
      <x:c r="D2480" s="14" t="str">
        <x:v>PRICES_OR_SIMULATES</x:v>
      </x:c>
      <x:c r="E2480" s="10" t="str">
        <x:v>T21.15</x:v>
      </x:c>
      <x:c r="F2480" s="10" t="str">
        <x:v>Exotic options and path-dependent payoffs</x:v>
      </x:c>
      <x:c r="G2480" s="10" t="str">
        <x:v>Simulation can model path-dependent instrument outcomes.</x:v>
      </x:c>
      <x:c r="H2480" s="10" t="str">
        <x:v>The model and risk-neutral versus real-world measure must match the use case.</x:v>
      </x:c>
      <x:c r="I2480" s="10" t="str">
        <x:v>Finance mechanism / application; authored mapping</x:v>
      </x:c>
    </x:row>
    <x:row r="2481" ht="58" customHeight="1">
      <x:c r="A2481" s="9" t="str">
        <x:v>E2476</x:v>
      </x:c>
      <x:c r="B2481" s="9" t="str">
        <x:v>T38.13</x:v>
      </x:c>
      <x:c r="C2481" s="9" t="str">
        <x:v>Numerical pricing and optimisation</x:v>
      </x:c>
      <x:c r="D2481" s="15" t="str">
        <x:v>CALCULATES</x:v>
      </x:c>
      <x:c r="E2481" s="9" t="str">
        <x:v>T22.06</x:v>
      </x:c>
      <x:c r="F2481" s="9" t="str">
        <x:v>Efficient frontier and minimum-variance portfolios</x:v>
      </x:c>
      <x:c r="G2481" s="9" t="str">
        <x:v>Numerical optimisation can generate constrained portfolio solutions.</x:v>
      </x:c>
      <x:c r="H2481" s="9" t="str"/>
      <x:c r="I2481" s="9" t="str">
        <x:v>Finance mechanism / application; authored mapping</x:v>
      </x:c>
    </x:row>
    <x:row r="2482" ht="58" customHeight="1">
      <x:c r="A2482" s="10" t="str">
        <x:v>E2477</x:v>
      </x:c>
      <x:c r="B2482" s="10" t="str">
        <x:v>T38.14</x:v>
      </x:c>
      <x:c r="C2482" s="10" t="str">
        <x:v>Algorithmic execution and systematic investing</x:v>
      </x:c>
      <x:c r="D2482" s="14" t="str">
        <x:v>IMPLEMENTED_THROUGH</x:v>
      </x:c>
      <x:c r="E2482" s="10" t="str">
        <x:v>T19.07</x:v>
      </x:c>
      <x:c r="F2482" s="10" t="str">
        <x:v>Order types and execution basics</x:v>
      </x:c>
      <x:c r="G2482" s="10" t="str">
        <x:v>Systematic investing requires order execution and implementation rules.</x:v>
      </x:c>
      <x:c r="H2482" s="10" t="str"/>
      <x:c r="I2482" s="10" t="str">
        <x:v>Finance mechanism / application; authored mapping</x:v>
      </x:c>
    </x:row>
    <x:row r="2483" ht="58" customHeight="1">
      <x:c r="A2483" s="9" t="str">
        <x:v>E2478</x:v>
      </x:c>
      <x:c r="B2483" s="9" t="str">
        <x:v>T38.15</x:v>
      </x:c>
      <x:c r="C2483" s="9" t="str">
        <x:v>Machine learning for credit, fraud, and forecasting</x:v>
      </x:c>
      <x:c r="D2483" s="15" t="str">
        <x:v>SUPPORTS</x:v>
      </x:c>
      <x:c r="E2483" s="9" t="str">
        <x:v>T24.11</x:v>
      </x:c>
      <x:c r="F2483" s="9" t="str">
        <x:v>Credit ratings and credit scoring</x:v>
      </x:c>
      <x:c r="G2483" s="9" t="str">
        <x:v>Machine learning can support credit assessment subject to validation and governance.</x:v>
      </x:c>
      <x:c r="H2483" s="9" t="str"/>
      <x:c r="I2483" s="9" t="str">
        <x:v>Finance mechanism / application; authored mapping</x:v>
      </x:c>
    </x:row>
    <x:row r="2484" ht="58" customHeight="1">
      <x:c r="A2484" s="10" t="str">
        <x:v>E2479</x:v>
      </x:c>
      <x:c r="B2484" s="10" t="str">
        <x:v>T38.16</x:v>
      </x:c>
      <x:c r="C2484" s="10" t="str">
        <x:v>Natural-language processing for financial disclosures</x:v>
      </x:c>
      <x:c r="D2484" s="14" t="str">
        <x:v>ANALYSES</x:v>
      </x:c>
      <x:c r="E2484" s="10" t="str">
        <x:v>T04.16</x:v>
      </x:c>
      <x:c r="F2484" s="10" t="str">
        <x:v>Annual reports, interim reports, and regulatory filings</x:v>
      </x:c>
      <x:c r="G2484" s="10" t="str">
        <x:v>Text methods can analyse financial disclosures and filings.</x:v>
      </x:c>
      <x:c r="H2484" s="10" t="str"/>
      <x:c r="I2484" s="10" t="str">
        <x:v>Finance mechanism / application; authored mapping</x:v>
      </x:c>
    </x:row>
    <x:row r="2485" ht="58" customHeight="1">
      <x:c r="A2485" s="9" t="str">
        <x:v>E2480</x:v>
      </x:c>
      <x:c r="B2485" s="9" t="str">
        <x:v>T38.17</x:v>
      </x:c>
      <x:c r="C2485" s="9" t="str">
        <x:v>AI-assisted research and financial modelling</x:v>
      </x:c>
      <x:c r="D2485" s="15" t="str">
        <x:v>REQUIRES_REVIEW</x:v>
      </x:c>
      <x:c r="E2485" s="9" t="str">
        <x:v>T16.16</x:v>
      </x:c>
      <x:c r="F2485" s="9" t="str">
        <x:v>Model auditing, error checks, and documentation</x:v>
      </x:c>
      <x:c r="G2485" s="9" t="str">
        <x:v>AI-supported models and research need source checking and financial validation.</x:v>
      </x:c>
      <x:c r="H2485" s="9" t="str"/>
      <x:c r="I2485" s="9" t="str">
        <x:v>Finance mechanism / application; authored mapping</x:v>
      </x:c>
    </x:row>
    <x:row r="2486" ht="58" customHeight="1">
      <x:c r="A2486" s="10" t="str">
        <x:v>E2481</x:v>
      </x:c>
      <x:c r="B2486" s="10" t="str">
        <x:v>T39.01</x:v>
      </x:c>
      <x:c r="C2486" s="10" t="str">
        <x:v>Banks</x:v>
      </x:c>
      <x:c r="D2486" s="14" t="str">
        <x:v>USES_SECTOR_MODEL</x:v>
      </x:c>
      <x:c r="E2486" s="10" t="str">
        <x:v>T24.02</x:v>
      </x:c>
      <x:c r="F2486" s="10" t="str">
        <x:v>Bank balance sheets and income statements</x:v>
      </x:c>
      <x:c r="G2486" s="10" t="str">
        <x:v>Bank analysis uses sector-specific statements and banking economics.</x:v>
      </x:c>
      <x:c r="H2486" s="10" t="str"/>
      <x:c r="I2486" s="10" t="str">
        <x:v>Finance mechanism / application; authored mapping</x:v>
      </x:c>
    </x:row>
    <x:row r="2487" ht="58" customHeight="1">
      <x:c r="A2487" s="9" t="str">
        <x:v>E2482</x:v>
      </x:c>
      <x:c r="B2487" s="9" t="str">
        <x:v>T39.02</x:v>
      </x:c>
      <x:c r="C2487" s="9" t="str">
        <x:v>NBFCs and housing finance</x:v>
      </x:c>
      <x:c r="D2487" s="15" t="str">
        <x:v>USES_SECTOR_MODEL</x:v>
      </x:c>
      <x:c r="E2487" s="9" t="str">
        <x:v>T24.18</x:v>
      </x:c>
      <x:c r="F2487" s="9" t="str">
        <x:v>NBFCs, microfinance, and housing finance</x:v>
      </x:c>
      <x:c r="G2487" s="9" t="str">
        <x:v>NBFC and housing-finance analysis uses lender-specific funding and asset-quality measures.</x:v>
      </x:c>
      <x:c r="H2487" s="9" t="str"/>
      <x:c r="I2487" s="9" t="str">
        <x:v>Finance mechanism / application; authored mapping</x:v>
      </x:c>
    </x:row>
    <x:row r="2488" ht="58" customHeight="1">
      <x:c r="A2488" s="10" t="str">
        <x:v>E2483</x:v>
      </x:c>
      <x:c r="B2488" s="10" t="str">
        <x:v>T39.03</x:v>
      </x:c>
      <x:c r="C2488" s="10" t="str">
        <x:v>Insurance</x:v>
      </x:c>
      <x:c r="D2488" s="14" t="str">
        <x:v>USES_SECTOR_MODEL</x:v>
      </x:c>
      <x:c r="E2488" s="10" t="str">
        <x:v>T29.11</x:v>
      </x:c>
      <x:c r="F2488" s="10" t="str">
        <x:v>Embedded value and value of new business</x:v>
      </x:c>
      <x:c r="G2488" s="10" t="str">
        <x:v>Insurance analysis uses insurer-specific profitability and liability measures.</x:v>
      </x:c>
      <x:c r="H2488" s="10" t="str"/>
      <x:c r="I2488" s="10" t="str">
        <x:v>Finance mechanism / application; authored mapping</x:v>
      </x:c>
    </x:row>
    <x:row r="2489" ht="58" customHeight="1">
      <x:c r="A2489" s="9" t="str">
        <x:v>E2484</x:v>
      </x:c>
      <x:c r="B2489" s="9" t="str">
        <x:v>T39.04</x:v>
      </x:c>
      <x:c r="C2489" s="9" t="str">
        <x:v>Asset management and brokerage</x:v>
      </x:c>
      <x:c r="D2489" s="15" t="str">
        <x:v>USES_SECTOR_MODEL</x:v>
      </x:c>
      <x:c r="E2489" s="9" t="str">
        <x:v>T23.04</x:v>
      </x:c>
      <x:c r="F2489" s="9" t="str">
        <x:v>Fund NAV, expense ratios, and tracking differences</x:v>
      </x:c>
      <x:c r="G2489" s="9" t="str">
        <x:v>Asset-management economics depend on assets, fees, flows and costs.</x:v>
      </x:c>
      <x:c r="H2489" s="9" t="str"/>
      <x:c r="I2489" s="9" t="str">
        <x:v>Finance mechanism / application; authored mapping</x:v>
      </x:c>
    </x:row>
    <x:row r="2490" ht="58" customHeight="1">
      <x:c r="A2490" s="10" t="str">
        <x:v>E2485</x:v>
      </x:c>
      <x:c r="B2490" s="10" t="str">
        <x:v>T39.05</x:v>
      </x:c>
      <x:c r="C2490" s="10" t="str">
        <x:v>Financial exchanges and market infrastructure</x:v>
      </x:c>
      <x:c r="D2490" s="14" t="str">
        <x:v>USES_SECTOR_MODEL</x:v>
      </x:c>
      <x:c r="E2490" s="10" t="str">
        <x:v>T34.01</x:v>
      </x:c>
      <x:c r="F2490" s="10" t="str">
        <x:v>Exchanges, brokers, dealers, and market makers</x:v>
      </x:c>
      <x:c r="G2490" s="10" t="str">
        <x:v>Exchange economics connect trading, clearing, listings and market infrastructure.</x:v>
      </x:c>
      <x:c r="H2490" s="10" t="str"/>
      <x:c r="I2490" s="10" t="str">
        <x:v>Finance mechanism / application; authored mapping</x:v>
      </x:c>
    </x:row>
    <x:row r="2491" ht="58" customHeight="1">
      <x:c r="A2491" s="9" t="str">
        <x:v>E2486</x:v>
      </x:c>
      <x:c r="B2491" s="9" t="str">
        <x:v>T39.06</x:v>
      </x:c>
      <x:c r="C2491" s="9" t="str">
        <x:v>Software, SaaS, and IT services</x:v>
      </x:c>
      <x:c r="D2491" s="15" t="str">
        <x:v>USES_SECTOR_MODEL</x:v>
      </x:c>
      <x:c r="E2491" s="9" t="str">
        <x:v>T27.15</x:v>
      </x:c>
      <x:c r="F2491" s="9" t="str">
        <x:v>SaaS, marketplace, consumer, and fintech economics</x:v>
      </x:c>
      <x:c r="G2491" s="9" t="str">
        <x:v>Software and SaaS analysis uses recurring revenue and relevant customer economics.</x:v>
      </x:c>
      <x:c r="H2491" s="9" t="str"/>
      <x:c r="I2491" s="9" t="str">
        <x:v>Finance mechanism / application; authored mapping</x:v>
      </x:c>
    </x:row>
    <x:row r="2492" ht="58" customHeight="1">
      <x:c r="A2492" s="10" t="str">
        <x:v>E2487</x:v>
      </x:c>
      <x:c r="B2492" s="10" t="str">
        <x:v>T39.07</x:v>
      </x:c>
      <x:c r="C2492" s="10" t="str">
        <x:v>E-commerce and marketplaces</x:v>
      </x:c>
      <x:c r="D2492" s="14" t="str">
        <x:v>USES_SECTOR_MODEL</x:v>
      </x:c>
      <x:c r="E2492" s="10" t="str">
        <x:v>T11.10</x:v>
      </x:c>
      <x:c r="F2492" s="10" t="str">
        <x:v>Customer and product profitability</x:v>
      </x:c>
      <x:c r="G2492" s="10" t="str">
        <x:v>Marketplace analysis requires customer, transaction and take-rate economics.</x:v>
      </x:c>
      <x:c r="H2492" s="10" t="str"/>
      <x:c r="I2492" s="10" t="str">
        <x:v>Finance mechanism / application; authored mapping</x:v>
      </x:c>
    </x:row>
    <x:row r="2493" ht="58" customHeight="1">
      <x:c r="A2493" s="9" t="str">
        <x:v>E2488</x:v>
      </x:c>
      <x:c r="B2493" s="9" t="str">
        <x:v>T39.08</x:v>
      </x:c>
      <x:c r="C2493" s="9" t="str">
        <x:v>Consumer goods and retail</x:v>
      </x:c>
      <x:c r="D2493" s="15" t="str">
        <x:v>USES_SECTOR_MODEL</x:v>
      </x:c>
      <x:c r="E2493" s="9" t="str">
        <x:v>T14.02</x:v>
      </x:c>
      <x:c r="F2493" s="9" t="str">
        <x:v>Cash conversion cycle</x:v>
      </x:c>
      <x:c r="G2493" s="9" t="str">
        <x:v>Retail and consumer analysis connects inventory, margins and cash conversion.</x:v>
      </x:c>
      <x:c r="H2493" s="9" t="str"/>
      <x:c r="I2493" s="9" t="str">
        <x:v>Finance mechanism / application; authored mapping</x:v>
      </x:c>
    </x:row>
    <x:row r="2494" ht="58" customHeight="1">
      <x:c r="A2494" s="10" t="str">
        <x:v>E2489</x:v>
      </x:c>
      <x:c r="B2494" s="10" t="str">
        <x:v>T39.09</x:v>
      </x:c>
      <x:c r="C2494" s="10" t="str">
        <x:v>Automotive and electric vehicles</x:v>
      </x:c>
      <x:c r="D2494" s="14" t="str">
        <x:v>USES_SECTOR_MODEL</x:v>
      </x:c>
      <x:c r="E2494" s="10" t="str">
        <x:v>T11.05</x:v>
      </x:c>
      <x:c r="F2494" s="10" t="str">
        <x:v>Capacity utilisation and operating leverage</x:v>
      </x:c>
      <x:c r="G2494" s="10" t="str">
        <x:v>Automotive analysis connects capacity, fixed costs and investment cycles.</x:v>
      </x:c>
      <x:c r="H2494" s="10" t="str"/>
      <x:c r="I2494" s="10" t="str">
        <x:v>Finance mechanism / application; authored mapping</x:v>
      </x:c>
    </x:row>
    <x:row r="2495" ht="58" customHeight="1">
      <x:c r="A2495" s="9" t="str">
        <x:v>E2490</x:v>
      </x:c>
      <x:c r="B2495" s="9" t="str">
        <x:v>T39.10</x:v>
      </x:c>
      <x:c r="C2495" s="9" t="str">
        <x:v>Manufacturing and capital goods</x:v>
      </x:c>
      <x:c r="D2495" s="15" t="str">
        <x:v>USES_SECTOR_MODEL</x:v>
      </x:c>
      <x:c r="E2495" s="9" t="str">
        <x:v>T11.12</x:v>
      </x:c>
      <x:c r="F2495" s="9" t="str">
        <x:v>Working-capital intensity and capital intensity</x:v>
      </x:c>
      <x:c r="G2495" s="9" t="str">
        <x:v>Manufacturing analysis considers operating assets and working-capital intensity.</x:v>
      </x:c>
      <x:c r="H2495" s="9" t="str"/>
      <x:c r="I2495" s="9" t="str">
        <x:v>Finance mechanism / application; authored mapping</x:v>
      </x:c>
    </x:row>
    <x:row r="2496" ht="58" customHeight="1">
      <x:c r="A2496" s="10" t="str">
        <x:v>E2491</x:v>
      </x:c>
      <x:c r="B2496" s="10" t="str">
        <x:v>T39.11</x:v>
      </x:c>
      <x:c r="C2496" s="10" t="str">
        <x:v>Metals, mining, and commodities</x:v>
      </x:c>
      <x:c r="D2496" s="14" t="str">
        <x:v>USES_SECTOR_MODEL</x:v>
      </x:c>
      <x:c r="E2496" s="10" t="str">
        <x:v>T18.14</x:v>
      </x:c>
      <x:c r="F2496" s="10" t="str">
        <x:v>Cyclical, commodity, and distressed-company valuation</x:v>
      </x:c>
      <x:c r="G2496" s="10" t="str">
        <x:v>Commodity and mining valuation considers cycle-normalised earnings and prices.</x:v>
      </x:c>
      <x:c r="H2496" s="10" t="str"/>
      <x:c r="I2496" s="10" t="str">
        <x:v>Finance mechanism / application; authored mapping</x:v>
      </x:c>
    </x:row>
    <x:row r="2497" ht="58" customHeight="1">
      <x:c r="A2497" s="9" t="str">
        <x:v>E2492</x:v>
      </x:c>
      <x:c r="B2497" s="9" t="str">
        <x:v>T39.12</x:v>
      </x:c>
      <x:c r="C2497" s="9" t="str">
        <x:v>Oil, gas, and petrochemicals</x:v>
      </x:c>
      <x:c r="D2497" s="15" t="str">
        <x:v>USES_SECTOR_MODEL</x:v>
      </x:c>
      <x:c r="E2497" s="9" t="str">
        <x:v>T18.14</x:v>
      </x:c>
      <x:c r="F2497" s="9" t="str">
        <x:v>Cyclical, commodity, and distressed-company valuation</x:v>
      </x:c>
      <x:c r="G2497" s="9" t="str">
        <x:v>Oil and gas analysis considers commodity exposure and asset reinvestment.</x:v>
      </x:c>
      <x:c r="H2497" s="9" t="str"/>
      <x:c r="I2497" s="9" t="str">
        <x:v>Finance mechanism / application; authored mapping</x:v>
      </x:c>
    </x:row>
    <x:row r="2498" ht="58" customHeight="1">
      <x:c r="A2498" s="10" t="str">
        <x:v>E2493</x:v>
      </x:c>
      <x:c r="B2498" s="10" t="str">
        <x:v>T39.13</x:v>
      </x:c>
      <x:c r="C2498" s="10" t="str">
        <x:v>Power, utilities, and renewable energy</x:v>
      </x:c>
      <x:c r="D2498" s="14" t="str">
        <x:v>USES_SECTOR_MODEL</x:v>
      </x:c>
      <x:c r="E2498" s="10" t="str">
        <x:v>T28.13</x:v>
      </x:c>
      <x:c r="F2498" s="10" t="str">
        <x:v>Concessions, offtake agreements, and public-private partnerships</x:v>
      </x:c>
      <x:c r="G2498" s="10" t="str">
        <x:v>Power and renewables analysis considers contracts, regulation and financing.</x:v>
      </x:c>
      <x:c r="H2498" s="10" t="str"/>
      <x:c r="I2498" s="10" t="str">
        <x:v>Finance mechanism / application; authored mapping</x:v>
      </x:c>
    </x:row>
    <x:row r="2499" ht="58" customHeight="1">
      <x:c r="A2499" s="9" t="str">
        <x:v>E2494</x:v>
      </x:c>
      <x:c r="B2499" s="9" t="str">
        <x:v>T39.14</x:v>
      </x:c>
      <x:c r="C2499" s="9" t="str">
        <x:v>Telecom and digital infrastructure</x:v>
      </x:c>
      <x:c r="D2499" s="15" t="str">
        <x:v>USES_SECTOR_MODEL</x:v>
      </x:c>
      <x:c r="E2499" s="9" t="str">
        <x:v>A07</x:v>
      </x:c>
      <x:c r="F2499" s="9" t="str">
        <x:v>Capital expenditure</x:v>
      </x:c>
      <x:c r="G2499" s="9" t="str">
        <x:v>Telecom and digital infrastructure require capital-intensity and reinvestment analysis.</x:v>
      </x:c>
      <x:c r="H2499" s="9" t="str"/>
      <x:c r="I2499" s="9" t="str">
        <x:v>Finance mechanism / application; authored mapping</x:v>
      </x:c>
    </x:row>
    <x:row r="2500" ht="58" customHeight="1">
      <x:c r="A2500" s="10" t="str">
        <x:v>E2495</x:v>
      </x:c>
      <x:c r="B2500" s="10" t="str">
        <x:v>T39.15</x:v>
      </x:c>
      <x:c r="C2500" s="10" t="str">
        <x:v>Pharmaceuticals, biotechnology, and healthcare</x:v>
      </x:c>
      <x:c r="D2500" s="14" t="str">
        <x:v>USES_SECTOR_MODEL</x:v>
      </x:c>
      <x:c r="E2500" s="10" t="str">
        <x:v>T05.09</x:v>
      </x:c>
      <x:c r="F2500" s="10" t="str">
        <x:v>Research and development expenses</x:v>
      </x:c>
      <x:c r="G2500" s="10" t="str">
        <x:v>Healthcare and pharmaceutical analysis considers R&amp;D, approvals and business-model differences.</x:v>
      </x:c>
      <x:c r="H2500" s="10" t="str"/>
      <x:c r="I2500" s="10" t="str">
        <x:v>Finance mechanism / application; authored mapping</x:v>
      </x:c>
    </x:row>
    <x:row r="2501" ht="58" customHeight="1">
      <x:c r="A2501" s="9" t="str">
        <x:v>E2496</x:v>
      </x:c>
      <x:c r="B2501" s="9" t="str">
        <x:v>T39.16</x:v>
      </x:c>
      <x:c r="C2501" s="9" t="str">
        <x:v>Real estate and construction</x:v>
      </x:c>
      <x:c r="D2501" s="15" t="str">
        <x:v>USES_SECTOR_MODEL</x:v>
      </x:c>
      <x:c r="E2501" s="9" t="str">
        <x:v>T28.05</x:v>
      </x:c>
      <x:c r="F2501" s="9" t="str">
        <x:v>Development feasibility and construction cash flows</x:v>
      </x:c>
      <x:c r="G2501" s="9" t="str">
        <x:v>Real estate and construction analysis uses development and project cash flows.</x:v>
      </x:c>
      <x:c r="H2501" s="9" t="str"/>
      <x:c r="I2501" s="9" t="str">
        <x:v>Finance mechanism / application; authored mapping</x:v>
      </x:c>
    </x:row>
    <x:row r="2502" ht="58" customHeight="1">
      <x:c r="A2502" s="10" t="str">
        <x:v>E2497</x:v>
      </x:c>
      <x:c r="B2502" s="10" t="str">
        <x:v>T39.17</x:v>
      </x:c>
      <x:c r="C2502" s="10" t="str">
        <x:v>Airports, airlines, ports, and logistics</x:v>
      </x:c>
      <x:c r="D2502" s="14" t="str">
        <x:v>USES_SECTOR_MODEL</x:v>
      </x:c>
      <x:c r="E2502" s="10" t="str">
        <x:v>T11.05</x:v>
      </x:c>
      <x:c r="F2502" s="10" t="str">
        <x:v>Capacity utilisation and operating leverage</x:v>
      </x:c>
      <x:c r="G2502" s="10" t="str">
        <x:v>Transport businesses require utilisation, operating leverage and asset economics.</x:v>
      </x:c>
      <x:c r="H2502" s="10" t="str"/>
      <x:c r="I2502" s="10" t="str">
        <x:v>Finance mechanism / application; authored mapping</x:v>
      </x:c>
    </x:row>
    <x:row r="2503" ht="58" customHeight="1">
      <x:c r="A2503" s="9" t="str">
        <x:v>E2498</x:v>
      </x:c>
      <x:c r="B2503" s="9" t="str">
        <x:v>T39.18</x:v>
      </x:c>
      <x:c r="C2503" s="9" t="str">
        <x:v>Hotels, travel, and restaurants</x:v>
      </x:c>
      <x:c r="D2503" s="15" t="str">
        <x:v>USES_SECTOR_MODEL</x:v>
      </x:c>
      <x:c r="E2503" s="9" t="str">
        <x:v>T11.03</x:v>
      </x:c>
      <x:c r="F2503" s="9" t="str">
        <x:v>Contribution margin and break-even analysis</x:v>
      </x:c>
      <x:c r="G2503" s="9" t="str">
        <x:v>Hospitality analysis connects occupancy or throughput to contribution and fixed costs.</x:v>
      </x:c>
      <x:c r="H2503" s="9" t="str"/>
      <x:c r="I2503" s="9" t="str">
        <x:v>Finance mechanism / application; authored mapping</x:v>
      </x:c>
    </x:row>
    <x:row r="2504" ht="58" customHeight="1">
      <x:c r="A2504" s="10" t="str">
        <x:v>E2499</x:v>
      </x:c>
      <x:c r="B2504" s="10" t="str">
        <x:v>T39.19</x:v>
      </x:c>
      <x:c r="C2504" s="10" t="str">
        <x:v>Agriculture and agribusiness</x:v>
      </x:c>
      <x:c r="D2504" s="14" t="str">
        <x:v>USES_SECTOR_MODEL</x:v>
      </x:c>
      <x:c r="E2504" s="10" t="str">
        <x:v>T09.17</x:v>
      </x:c>
      <x:c r="F2504" s="10" t="str">
        <x:v>Seasonality, cyclicality, and base effects</x:v>
      </x:c>
      <x:c r="G2504" s="10" t="str">
        <x:v>Agribusiness analysis considers seasonality and commodity exposure.</x:v>
      </x:c>
      <x:c r="H2504" s="10" t="str"/>
      <x:c r="I2504" s="10" t="str">
        <x:v>Finance mechanism / application; authored mapping</x:v>
      </x:c>
    </x:row>
    <x:row r="2505" ht="58" customHeight="1">
      <x:c r="A2505" s="9" t="str">
        <x:v>E2500</x:v>
      </x:c>
      <x:c r="B2505" s="9" t="str">
        <x:v>T39.20</x:v>
      </x:c>
      <x:c r="C2505" s="9" t="str">
        <x:v>Media, entertainment, and sports</x:v>
      </x:c>
      <x:c r="D2505" s="15" t="str">
        <x:v>USES_SECTOR_MODEL</x:v>
      </x:c>
      <x:c r="E2505" s="9" t="str">
        <x:v>T06.10</x:v>
      </x:c>
      <x:c r="F2505" s="9" t="str">
        <x:v>Intangible assets and goodwill</x:v>
      </x:c>
      <x:c r="G2505" s="9" t="str">
        <x:v>Media and sports analysis considers rights, intangible assets and revenue timing.</x:v>
      </x:c>
      <x:c r="H2505" s="9" t="str"/>
      <x:c r="I2505" s="9" t="str">
        <x:v>Finance mechanism / application; authored mapping</x:v>
      </x:c>
    </x:row>
    <x:row r="2506" ht="58" customHeight="1">
      <x:c r="A2506" s="10" t="str">
        <x:v>E2501</x:v>
      </x:c>
      <x:c r="B2506" s="10" t="str">
        <x:v>T39.21</x:v>
      </x:c>
      <x:c r="C2506" s="10" t="str">
        <x:v>Education and professional services</x:v>
      </x:c>
      <x:c r="D2506" s="14" t="str">
        <x:v>USES_SECTOR_MODEL</x:v>
      </x:c>
      <x:c r="E2506" s="10" t="str">
        <x:v>T15.06</x:v>
      </x:c>
      <x:c r="F2506" s="10" t="str">
        <x:v>Revenue, cost, headcount, and capital expenditure forecasting</x:v>
      </x:c>
      <x:c r="G2506" s="10" t="str">
        <x:v>Education and services analysis considers capacity, people costs and revenue recognition.</x:v>
      </x:c>
      <x:c r="H2506" s="10" t="str"/>
      <x:c r="I2506" s="10" t="str">
        <x:v>Finance mechanism / application; authored mapping</x:v>
      </x:c>
    </x:row>
    <x:row r="2507" ht="58" customHeight="1">
      <x:c r="A2507" s="9" t="str">
        <x:v>E2502</x:v>
      </x:c>
      <x:c r="B2507" s="9" t="str">
        <x:v>T39.22</x:v>
      </x:c>
      <x:c r="C2507" s="9" t="str">
        <x:v>Government enterprises and regulated businesses</x:v>
      </x:c>
      <x:c r="D2507" s="15" t="str">
        <x:v>USES_SECTOR_MODEL</x:v>
      </x:c>
      <x:c r="E2507" s="9" t="str">
        <x:v>T32.08</x:v>
      </x:c>
      <x:c r="F2507" s="9" t="str">
        <x:v>Fiscal policy, taxation, and government spending</x:v>
      </x:c>
      <x:c r="G2507" s="9" t="str">
        <x:v>Government enterprises and regulated businesses require policy and tariff context.</x:v>
      </x:c>
      <x:c r="H2507" s="9" t="str"/>
      <x:c r="I2507" s="9" t="str">
        <x:v>Finance mechanism / application; authored mapping</x:v>
      </x:c>
    </x:row>
    <x:row r="2508" ht="58" customHeight="1">
      <x:c r="A2508" s="10" t="str">
        <x:v>E2503</x:v>
      </x:c>
      <x:c r="B2508" s="10" t="str">
        <x:v>T40.01</x:v>
      </x:c>
      <x:c r="C2508" s="10" t="str">
        <x:v>Reading a real annual report from beginning to end</x:v>
      </x:c>
      <x:c r="D2508" s="14" t="str">
        <x:v>PRACTISES</x:v>
      </x:c>
      <x:c r="E2508" s="10" t="str">
        <x:v>T04.16</x:v>
      </x:c>
      <x:c r="F2508" s="10" t="str">
        <x:v>Annual reports, interim reports, and regulatory filings</x:v>
      </x:c>
      <x:c r="G2508" s="10" t="str">
        <x:v>Read disclosures and connect the accounting policies to the statements.</x:v>
      </x:c>
      <x:c r="H2508" s="10" t="str"/>
      <x:c r="I2508" s="10" t="str">
        <x:v>Finance mechanism / application; authored mapping</x:v>
      </x:c>
    </x:row>
    <x:row r="2509" ht="58" customHeight="1">
      <x:c r="A2509" s="9" t="str">
        <x:v>E2504</x:v>
      </x:c>
      <x:c r="B2509" s="9" t="str">
        <x:v>T40.02</x:v>
      </x:c>
      <x:c r="C2509" s="9" t="str">
        <x:v>Tracing one transaction through all three statements</x:v>
      </x:c>
      <x:c r="D2509" s="15" t="str">
        <x:v>PRACTISES</x:v>
      </x:c>
      <x:c r="E2509" s="9" t="str">
        <x:v>T07.14</x:v>
      </x:c>
      <x:c r="F2509" s="9" t="str">
        <x:v>How transactions move through all three statements</x:v>
      </x:c>
      <x:c r="G2509" s="9" t="str">
        <x:v>Trace the same transaction through all three statements.</x:v>
      </x:c>
      <x:c r="H2509" s="9" t="str"/>
      <x:c r="I2509" s="9" t="str">
        <x:v>Finance mechanism / application; authored mapping</x:v>
      </x:c>
    </x:row>
    <x:row r="2510" ht="58" customHeight="1">
      <x:c r="A2510" s="10" t="str">
        <x:v>E2505</x:v>
      </x:c>
      <x:c r="B2510" s="10" t="str">
        <x:v>T40.03</x:v>
      </x:c>
      <x:c r="C2510" s="10" t="str">
        <x:v>Diagnosing a profitable company with a cash shortage</x:v>
      </x:c>
      <x:c r="D2510" s="14" t="str">
        <x:v>PRACTISES</x:v>
      </x:c>
      <x:c r="E2510" s="10" t="str">
        <x:v>T07.15</x:v>
      </x:c>
      <x:c r="F2510" s="10" t="str">
        <x:v>Why profitable companies can run out of cash</x:v>
      </x:c>
      <x:c r="G2510" s="10" t="str">
        <x:v>Diagnose the timing and funding drivers of a cash shortage.</x:v>
      </x:c>
      <x:c r="H2510" s="10" t="str"/>
      <x:c r="I2510" s="10" t="str">
        <x:v>Finance mechanism / application; authored mapping</x:v>
      </x:c>
    </x:row>
    <x:row r="2511" ht="58" customHeight="1">
      <x:c r="A2511" s="9" t="str">
        <x:v>E2506</x:v>
      </x:c>
      <x:c r="B2511" s="9" t="str">
        <x:v>T40.04</x:v>
      </x:c>
      <x:c r="C2511" s="9" t="str">
        <x:v>Assessing whether growth creates value</x:v>
      </x:c>
      <x:c r="D2511" s="15" t="str">
        <x:v>PRACTISES</x:v>
      </x:c>
      <x:c r="E2511" s="9" t="str">
        <x:v>T17.11</x:v>
      </x:c>
      <x:c r="F2511" s="9" t="str">
        <x:v>Reinvestment, growth, and return on capital</x:v>
      </x:c>
      <x:c r="G2511" s="9" t="str">
        <x:v>Test growth against reinvestment needs and incremental returns.</x:v>
      </x:c>
      <x:c r="H2511" s="9" t="str"/>
      <x:c r="I2511" s="9" t="str">
        <x:v>Finance mechanism / application; authored mapping</x:v>
      </x:c>
    </x:row>
    <x:row r="2512" ht="58" customHeight="1">
      <x:c r="A2512" s="10" t="str">
        <x:v>E2507</x:v>
      </x:c>
      <x:c r="B2512" s="10" t="str">
        <x:v>T40.05</x:v>
      </x:c>
      <x:c r="C2512" s="10" t="str">
        <x:v>Building a three-statement forecast</x:v>
      </x:c>
      <x:c r="D2512" s="14" t="str">
        <x:v>PRACTISES</x:v>
      </x:c>
      <x:c r="E2512" s="10" t="str">
        <x:v>T16.03</x:v>
      </x:c>
      <x:c r="F2512" s="10" t="str">
        <x:v>Three-statement models</x:v>
      </x:c>
      <x:c r="G2512" s="10" t="str">
        <x:v>Build and reconcile an integrated forecast.</x:v>
      </x:c>
      <x:c r="H2512" s="10" t="str"/>
      <x:c r="I2512" s="10" t="str">
        <x:v>Finance mechanism / application; authored mapping</x:v>
      </x:c>
    </x:row>
    <x:row r="2513" ht="58" customHeight="1">
      <x:c r="A2513" s="9" t="str">
        <x:v>E2508</x:v>
      </x:c>
      <x:c r="B2513" s="9" t="str">
        <x:v>T40.06</x:v>
      </x:c>
      <x:c r="C2513" s="9" t="str">
        <x:v>Valuing a listed company</x:v>
      </x:c>
      <x:c r="D2513" s="15" t="str">
        <x:v>PRACTISES</x:v>
      </x:c>
      <x:c r="E2513" s="9" t="str">
        <x:v>T17.07</x:v>
      </x:c>
      <x:c r="F2513" s="9" t="str">
        <x:v>Discounted cash-flow valuation</x:v>
      </x:c>
      <x:c r="G2513" s="9" t="str">
        <x:v>Build a valuation with matching cash flows and discount rates.</x:v>
      </x:c>
      <x:c r="H2513" s="9" t="str"/>
      <x:c r="I2513" s="9" t="str">
        <x:v>Finance mechanism / application; authored mapping</x:v>
      </x:c>
    </x:row>
    <x:row r="2514" ht="58" customHeight="1">
      <x:c r="A2514" s="10" t="str">
        <x:v>E2509</x:v>
      </x:c>
      <x:c r="B2514" s="10" t="str">
        <x:v>T40.07</x:v>
      </x:c>
      <x:c r="C2514" s="10" t="str">
        <x:v>Writing an equity research report</x:v>
      </x:c>
      <x:c r="D2514" s="14" t="str">
        <x:v>PRACTISES</x:v>
      </x:c>
      <x:c r="E2514" s="10" t="str">
        <x:v>T19.14</x:v>
      </x:c>
      <x:c r="F2514" s="10" t="str">
        <x:v>Equity research reports</x:v>
      </x:c>
      <x:c r="G2514" s="10" t="str">
        <x:v>Write an evidence-based thesis with valuation and downside cases.</x:v>
      </x:c>
      <x:c r="H2514" s="10" t="str"/>
      <x:c r="I2514" s="10" t="str">
        <x:v>Finance mechanism / application; authored mapping</x:v>
      </x:c>
    </x:row>
    <x:row r="2515" ht="58" customHeight="1">
      <x:c r="A2515" s="9" t="str">
        <x:v>E2510</x:v>
      </x:c>
      <x:c r="B2515" s="9" t="str">
        <x:v>T40.08</x:v>
      </x:c>
      <x:c r="C2515" s="9" t="str">
        <x:v>Underwriting a corporate loan</x:v>
      </x:c>
      <x:c r="D2515" s="15" t="str">
        <x:v>PRACTISES</x:v>
      </x:c>
      <x:c r="E2515" s="9" t="str">
        <x:v>T24.09</x:v>
      </x:c>
      <x:c r="F2515" s="9" t="str">
        <x:v>Loan origination and underwriting</x:v>
      </x:c>
      <x:c r="G2515" s="9" t="str">
        <x:v>Assess cash repayment, downside coverage and lender protections.</x:v>
      </x:c>
      <x:c r="H2515" s="9" t="str"/>
      <x:c r="I2515" s="9" t="str">
        <x:v>Finance mechanism / application; authored mapping</x:v>
      </x:c>
    </x:row>
    <x:row r="2516" ht="58" customHeight="1">
      <x:c r="A2516" s="10" t="str">
        <x:v>E2511</x:v>
      </x:c>
      <x:c r="B2516" s="10" t="str">
        <x:v>T40.09</x:v>
      </x:c>
      <x:c r="C2516" s="10" t="str">
        <x:v>Evaluating a capital expenditure proposal</x:v>
      </x:c>
      <x:c r="D2516" s="14" t="str">
        <x:v>PRACTISES</x:v>
      </x:c>
      <x:c r="E2516" s="10" t="str">
        <x:v>T12.04</x:v>
      </x:c>
      <x:c r="F2516" s="10" t="str">
        <x:v>Capital budgeting</x:v>
      </x:c>
      <x:c r="G2516" s="10" t="str">
        <x:v>Evaluate incremental project cash flows and capital constraints.</x:v>
      </x:c>
      <x:c r="H2516" s="10" t="str"/>
      <x:c r="I2516" s="10" t="str">
        <x:v>Finance mechanism / application; authored mapping</x:v>
      </x:c>
    </x:row>
    <x:row r="2517" ht="58" customHeight="1">
      <x:c r="A2517" s="9" t="str">
        <x:v>E2512</x:v>
      </x:c>
      <x:c r="B2517" s="9" t="str">
        <x:v>T40.10</x:v>
      </x:c>
      <x:c r="C2517" s="9" t="str">
        <x:v>Comparing debt versus equity financing</x:v>
      </x:c>
      <x:c r="D2517" s="15" t="str">
        <x:v>PRACTISES</x:v>
      </x:c>
      <x:c r="E2517" s="9" t="str">
        <x:v>T13.16</x:v>
      </x:c>
      <x:c r="F2517" s="9" t="str">
        <x:v>Financial distress costs and optimal leverage</x:v>
      </x:c>
      <x:c r="G2517" s="9" t="str">
        <x:v>Compare financing costs, flexibility, dilution and distress risk.</x:v>
      </x:c>
      <x:c r="H2517" s="9" t="str"/>
      <x:c r="I2517" s="9" t="str">
        <x:v>Finance mechanism / application; authored mapping</x:v>
      </x:c>
    </x:row>
    <x:row r="2518" ht="58" customHeight="1">
      <x:c r="A2518" s="10" t="str">
        <x:v>E2513</x:v>
      </x:c>
      <x:c r="B2518" s="10" t="str">
        <x:v>T40.11</x:v>
      </x:c>
      <x:c r="C2518" s="10" t="str">
        <x:v>Analysing an acquisition</x:v>
      </x:c>
      <x:c r="D2518" s="14" t="str">
        <x:v>PRACTISES</x:v>
      </x:c>
      <x:c r="E2518" s="10" t="str">
        <x:v>T26.11</x:v>
      </x:c>
      <x:c r="F2518" s="10" t="str">
        <x:v>Merger models</x:v>
      </x:c>
      <x:c r="G2518" s="10" t="str">
        <x:v>Analyse operating value, deal terms, financing and integration.</x:v>
      </x:c>
      <x:c r="H2518" s="10" t="str"/>
      <x:c r="I2518" s="10" t="str">
        <x:v>Finance mechanism / application; authored mapping</x:v>
      </x:c>
    </x:row>
    <x:row r="2519" ht="58" customHeight="1">
      <x:c r="A2519" s="9" t="str">
        <x:v>E2514</x:v>
      </x:c>
      <x:c r="B2519" s="9" t="str">
        <x:v>T40.12</x:v>
      </x:c>
      <x:c r="C2519" s="9" t="str">
        <x:v>Building a startup fundraising and dilution model</x:v>
      </x:c>
      <x:c r="D2519" s="15" t="str">
        <x:v>PRACTISES</x:v>
      </x:c>
      <x:c r="E2519" s="9" t="str">
        <x:v>T27.06</x:v>
      </x:c>
      <x:c r="F2519" s="9" t="str">
        <x:v>Cap tables and dilution</x:v>
      </x:c>
      <x:c r="G2519" s="9" t="str">
        <x:v>Model funding cash flows, cap tables and distribution rights.</x:v>
      </x:c>
      <x:c r="H2519" s="9" t="str"/>
      <x:c r="I2519" s="9" t="str">
        <x:v>Finance mechanism / application; authored mapping</x:v>
      </x:c>
    </x:row>
    <x:row r="2520" ht="58" customHeight="1">
      <x:c r="A2520" s="10" t="str">
        <x:v>E2515</x:v>
      </x:c>
      <x:c r="B2520" s="10" t="str">
        <x:v>T40.13</x:v>
      </x:c>
      <x:c r="C2520" s="10" t="str">
        <x:v>Evaluating a property investment</x:v>
      </x:c>
      <x:c r="D2520" s="14" t="str">
        <x:v>PRACTISES</x:v>
      </x:c>
      <x:c r="E2520" s="10" t="str">
        <x:v>T28.04</x:v>
      </x:c>
      <x:c r="F2520" s="10" t="str">
        <x:v>Property valuation</x:v>
      </x:c>
      <x:c r="G2520" s="10" t="str">
        <x:v>Evaluate property cash flows, leverage and downside scenarios.</x:v>
      </x:c>
      <x:c r="H2520" s="10" t="str"/>
      <x:c r="I2520" s="10" t="str">
        <x:v>Finance mechanism / application; authored mapping</x:v>
      </x:c>
    </x:row>
    <x:row r="2521" ht="58" customHeight="1">
      <x:c r="A2521" s="9" t="str">
        <x:v>E2516</x:v>
      </x:c>
      <x:c r="B2521" s="9" t="str">
        <x:v>T40.14</x:v>
      </x:c>
      <x:c r="C2521" s="9" t="str">
        <x:v>Designing and evaluating a portfolio</x:v>
      </x:c>
      <x:c r="D2521" s="15" t="str">
        <x:v>PRACTISES</x:v>
      </x:c>
      <x:c r="E2521" s="9" t="str">
        <x:v>T22.12</x:v>
      </x:c>
      <x:c r="F2521" s="9" t="str">
        <x:v>Portfolio construction and position sizing</x:v>
      </x:c>
      <x:c r="G2521" s="9" t="str">
        <x:v>Construct a portfolio and assess it against goals and a benchmark.</x:v>
      </x:c>
      <x:c r="H2521" s="9" t="str"/>
      <x:c r="I2521" s="9" t="str">
        <x:v>Finance mechanism / application; authored mapping</x:v>
      </x:c>
    </x:row>
    <x:row r="2522" ht="58" customHeight="1">
      <x:c r="A2522" s="10" t="str">
        <x:v>E2517</x:v>
      </x:c>
      <x:c r="B2522" s="10" t="str">
        <x:v>T40.15</x:v>
      </x:c>
      <x:c r="C2522" s="10" t="str">
        <x:v>Stress-testing a bank or business</x:v>
      </x:c>
      <x:c r="D2522" s="14" t="str">
        <x:v>PRACTISES</x:v>
      </x:c>
      <x:c r="E2522" s="10" t="str">
        <x:v>T25.07</x:v>
      </x:c>
      <x:c r="F2522" s="10" t="str">
        <x:v>Stress testing and reverse stress testing</x:v>
      </x:c>
      <x:c r="G2522" s="10" t="str">
        <x:v>Translate shocks into funding, earnings and capital consequences.</x:v>
      </x:c>
      <x:c r="H2522" s="10" t="str"/>
      <x:c r="I2522" s="10" t="str">
        <x:v>Finance mechanism / application; authored mapping</x:v>
      </x:c>
    </x:row>
    <x:row r="2523" ht="58" customHeight="1">
      <x:c r="A2523" s="9" t="str">
        <x:v>E2518</x:v>
      </x:c>
      <x:c r="B2523" s="9" t="str">
        <x:v>T40.16</x:v>
      </x:c>
      <x:c r="C2523" s="9" t="str">
        <x:v>Investigating an accounting failure</x:v>
      </x:c>
      <x:c r="D2523" s="15" t="str">
        <x:v>PRACTISES</x:v>
      </x:c>
      <x:c r="E2523" s="9" t="str">
        <x:v>T10.15</x:v>
      </x:c>
      <x:c r="F2523" s="9" t="str">
        <x:v>Financial footnote investigation</x:v>
      </x:c>
      <x:c r="G2523" s="9" t="str">
        <x:v>Investigate evidence across cash flow, balances and disclosures.</x:v>
      </x:c>
      <x:c r="H2523" s="9" t="str"/>
      <x:c r="I2523" s="9" t="str">
        <x:v>Finance mechanism / application; authored mapping</x:v>
      </x:c>
    </x:row>
    <x:row r="2524" ht="58" customHeight="1">
      <x:c r="A2524" s="10" t="str">
        <x:v>E2519</x:v>
      </x:c>
      <x:c r="B2524" s="10" t="str">
        <x:v>T40.17</x:v>
      </x:c>
      <x:c r="C2524" s="10" t="str">
        <x:v>Studying financial crises, bubbles, and corporate collapses</x:v>
      </x:c>
      <x:c r="D2524" s="14" t="str">
        <x:v>PRACTISES</x:v>
      </x:c>
      <x:c r="E2524" s="10" t="str">
        <x:v>T25.16</x:v>
      </x:c>
      <x:c r="F2524" s="10" t="str">
        <x:v>Systemic risk and financial crises</x:v>
      </x:c>
      <x:c r="G2524" s="10" t="str">
        <x:v>Trace leverage, liquidity, incentives and contagion through a historical case.</x:v>
      </x:c>
      <x:c r="H2524" s="10" t="str"/>
      <x:c r="I2524" s="10" t="str">
        <x:v>Finance mechanism / application; authored mapping</x:v>
      </x:c>
    </x:row>
    <x:row r="2525" ht="58" customHeight="1">
      <x:c r="A2525" s="9" t="str">
        <x:v>E2520</x:v>
      </x:c>
      <x:c r="B2525" s="9" t="str">
        <x:v>T40.18</x:v>
      </x:c>
      <x:c r="C2525" s="9" t="str">
        <x:v>Comparing an investment thesis with the outcome</x:v>
      </x:c>
      <x:c r="D2525" s="15" t="str">
        <x:v>PRACTISES</x:v>
      </x:c>
      <x:c r="E2525" s="9" t="str">
        <x:v>T19.12</x:v>
      </x:c>
      <x:c r="F2525" s="9" t="str">
        <x:v>Investment theses, catalysts, and risk factors</x:v>
      </x:c>
      <x:c r="G2525" s="9" t="str">
        <x:v>Compare the original thesis, assumptions and catalysts with later outcomes.</x:v>
      </x:c>
      <x:c r="H2525" s="9" t="str"/>
      <x:c r="I2525" s="9" t="str">
        <x:v>Finance mechanism / application; authored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0307ba9147584e25"/>
  </x:tableParts>
</x: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55F8A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10.5600004196167" hidden="0" customWidth="1"/>
    <col min="2" max="2" width="36.66999816894531" hidden="0" customWidth="1"/>
    <col min="3" max="3" width="7.78000020980835" hidden="0" customWidth="1"/>
    <col min="4" max="4" width="11.109999656677246" hidden="0" customWidth="1"/>
    <col min="5" max="5" width="38.88999938964844" hidden="0" customWidth="1"/>
    <col min="6" max="6" width="48.88999938964844" hidden="0" customWidth="1"/>
    <col min="7" max="7" width="43.33000183105469" hidden="0" customWidth="1"/>
    <col min="8" max="8" width="12.779999732971191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3" t="str">
        <v>Question-led learning journeys</v>
      </c>
      <c r="B2" s="2"/>
      <c r="C2" s="2"/>
      <c r="D2" s="2"/>
      <c r="E2" s="2"/>
      <c r="F2" s="2"/>
      <c r="G2" s="2"/>
      <c r="H2" s="2"/>
    </row>
    <row r="3">
      <c r="A3" s="4" t="str">
        <v>Suggested exploration sequences; these prompts are not completed lessons or validated assessments.</v>
      </c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 ht="32" customHeight="1">
      <c r="A5" s="8" t="str">
        <v>Journey ID</v>
      </c>
      <c r="B5" s="8" t="str">
        <v>Journey</v>
      </c>
      <c r="C5" s="8" t="str">
        <v>Step</v>
      </c>
      <c r="D5" s="8" t="str">
        <v>Concept ID</v>
      </c>
      <c r="E5" s="8" t="str">
        <v>Concept</v>
      </c>
      <c r="F5" s="8" t="str">
        <v>Driving question</v>
      </c>
      <c r="G5" s="8" t="str">
        <v>Learner action</v>
      </c>
      <c r="H5" s="8" t="str">
        <v>Next concept ID</v>
      </c>
    </row>
    <row r="6" ht="58" customHeight="1">
      <c r="A6" s="10" t="str">
        <v>P01</v>
      </c>
      <c r="B6" s="10" t="str">
        <v>From a balance sheet to valuation</v>
      </c>
      <c r="C6" s="18" t="n">
        <v>1</v>
      </c>
      <c r="D6" s="16" t="str">
        <v>T04.01</v>
      </c>
      <c r="E6" s="10" t="str">
        <v>The accounting equation</v>
      </c>
      <c r="F6" s="10" t="str">
        <v>Where does a receivable end up in company value?</v>
      </c>
      <c r="G6" s="10" t="str">
        <v>Start from the question</v>
      </c>
      <c r="H6" s="10" t="str">
        <v>T06.04</v>
      </c>
    </row>
    <row r="7" ht="58" customHeight="1">
      <c r="A7" s="9" t="str">
        <v>P01</v>
      </c>
      <c r="B7" s="9" t="str">
        <v>From a balance sheet to valuation</v>
      </c>
      <c r="C7" s="19" t="n">
        <v>2</v>
      </c>
      <c r="D7" s="17" t="str">
        <v>T06.04</v>
      </c>
      <c r="E7" s="9" t="str">
        <v>Trade receivables and expected credit losses</v>
      </c>
      <c r="F7" s="9" t="str">
        <v>Where does a receivable end up in company value?</v>
      </c>
      <c r="G7" s="9" t="str">
        <v>Inspect the concept, then explain the next connection</v>
      </c>
      <c r="H7" s="9" t="str">
        <v>A02</v>
      </c>
    </row>
    <row r="8" ht="58" customHeight="1">
      <c r="A8" s="10" t="str">
        <v>P01</v>
      </c>
      <c r="B8" s="10" t="str">
        <v>From a balance sheet to valuation</v>
      </c>
      <c r="C8" s="18" t="n">
        <v>3</v>
      </c>
      <c r="D8" s="16" t="str">
        <v>A02</v>
      </c>
      <c r="E8" s="10" t="str">
        <v>Trade receivables</v>
      </c>
      <c r="F8" s="10" t="str">
        <v>Where does a receivable end up in company value?</v>
      </c>
      <c r="G8" s="10" t="str">
        <v>Inspect the concept, then explain the next connection</v>
      </c>
      <c r="H8" s="10" t="str">
        <v>T04.05</v>
      </c>
    </row>
    <row r="9" ht="58" customHeight="1">
      <c r="A9" s="9" t="str">
        <v>P01</v>
      </c>
      <c r="B9" s="9" t="str">
        <v>From a balance sheet to valuation</v>
      </c>
      <c r="C9" s="19" t="n">
        <v>4</v>
      </c>
      <c r="D9" s="17" t="str">
        <v>T04.05</v>
      </c>
      <c r="E9" s="9" t="str">
        <v>Cash accounting versus accrual accounting</v>
      </c>
      <c r="F9" s="9" t="str">
        <v>Where does a receivable end up in company value?</v>
      </c>
      <c r="G9" s="9" t="str">
        <v>Inspect the concept, then explain the next connection</v>
      </c>
      <c r="H9" s="9" t="str">
        <v>A05</v>
      </c>
    </row>
    <row r="10" ht="58" customHeight="1">
      <c r="A10" s="10" t="str">
        <v>P01</v>
      </c>
      <c r="B10" s="10" t="str">
        <v>From a balance sheet to valuation</v>
      </c>
      <c r="C10" s="18" t="n">
        <v>5</v>
      </c>
      <c r="D10" s="16" t="str">
        <v>A05</v>
      </c>
      <c r="E10" s="10" t="str">
        <v>Operating working capital</v>
      </c>
      <c r="F10" s="10" t="str">
        <v>Where does a receivable end up in company value?</v>
      </c>
      <c r="G10" s="10" t="str">
        <v>Inspect the concept, then explain the next connection</v>
      </c>
      <c r="H10" s="10" t="str">
        <v>A06</v>
      </c>
    </row>
    <row r="11" ht="58" customHeight="1">
      <c r="A11" s="9" t="str">
        <v>P01</v>
      </c>
      <c r="B11" s="9" t="str">
        <v>From a balance sheet to valuation</v>
      </c>
      <c r="C11" s="19" t="n">
        <v>6</v>
      </c>
      <c r="D11" s="17" t="str">
        <v>A06</v>
      </c>
      <c r="E11" s="9" t="str">
        <v>Operating cash flow</v>
      </c>
      <c r="F11" s="9" t="str">
        <v>Where does a receivable end up in company value?</v>
      </c>
      <c r="G11" s="9" t="str">
        <v>Inspect the concept, then explain the next connection</v>
      </c>
      <c r="H11" s="9" t="str">
        <v>A11</v>
      </c>
    </row>
    <row r="12" ht="58" customHeight="1">
      <c r="A12" s="10" t="str">
        <v>P01</v>
      </c>
      <c r="B12" s="10" t="str">
        <v>From a balance sheet to valuation</v>
      </c>
      <c r="C12" s="18" t="n">
        <v>7</v>
      </c>
      <c r="D12" s="16" t="str">
        <v>A11</v>
      </c>
      <c r="E12" s="10" t="str">
        <v>Free cash flow to the firm (FCFF)</v>
      </c>
      <c r="F12" s="10" t="str">
        <v>Where does a receivable end up in company value?</v>
      </c>
      <c r="G12" s="10" t="str">
        <v>Inspect the concept, then explain the next connection</v>
      </c>
      <c r="H12" s="10" t="str">
        <v>A13</v>
      </c>
    </row>
    <row r="13" ht="58" customHeight="1">
      <c r="A13" s="9" t="str">
        <v>P01</v>
      </c>
      <c r="B13" s="9" t="str">
        <v>From a balance sheet to valuation</v>
      </c>
      <c r="C13" s="19" t="n">
        <v>8</v>
      </c>
      <c r="D13" s="17" t="str">
        <v>A13</v>
      </c>
      <c r="E13" s="9" t="str">
        <v>Weighted average cost of capital (WACC)</v>
      </c>
      <c r="F13" s="9" t="str">
        <v>Where does a receivable end up in company value?</v>
      </c>
      <c r="G13" s="9" t="str">
        <v>Inspect the concept, then explain the next connection</v>
      </c>
      <c r="H13" s="9" t="str">
        <v>A19</v>
      </c>
    </row>
    <row r="14" ht="58" customHeight="1">
      <c r="A14" s="10" t="str">
        <v>P01</v>
      </c>
      <c r="B14" s="10" t="str">
        <v>From a balance sheet to valuation</v>
      </c>
      <c r="C14" s="18" t="n">
        <v>9</v>
      </c>
      <c r="D14" s="16" t="str">
        <v>A19</v>
      </c>
      <c r="E14" s="10" t="str">
        <v>Discounted cash flow (DCF)</v>
      </c>
      <c r="F14" s="10" t="str">
        <v>Where does a receivable end up in company value?</v>
      </c>
      <c r="G14" s="10" t="str">
        <v>Inspect the concept, then explain the next connection</v>
      </c>
      <c r="H14" s="10" t="str">
        <v>A15</v>
      </c>
    </row>
    <row r="15" ht="58" customHeight="1">
      <c r="A15" s="9" t="str">
        <v>P01</v>
      </c>
      <c r="B15" s="9" t="str">
        <v>From a balance sheet to valuation</v>
      </c>
      <c r="C15" s="19" t="n">
        <v>10</v>
      </c>
      <c r="D15" s="17" t="str">
        <v>A15</v>
      </c>
      <c r="E15" s="9" t="str">
        <v>Enterprise value</v>
      </c>
      <c r="F15" s="9" t="str">
        <v>Where does a receivable end up in company value?</v>
      </c>
      <c r="G15" s="9" t="str">
        <v>Inspect the concept, then explain the next connection</v>
      </c>
      <c r="H15" s="9" t="str">
        <v>A16</v>
      </c>
    </row>
    <row r="16" ht="58" customHeight="1">
      <c r="A16" s="10" t="str">
        <v>P01</v>
      </c>
      <c r="B16" s="10" t="str">
        <v>From a balance sheet to valuation</v>
      </c>
      <c r="C16" s="18" t="n">
        <v>11</v>
      </c>
      <c r="D16" s="16" t="str">
        <v>A16</v>
      </c>
      <c r="E16" s="10" t="str">
        <v>Equity value</v>
      </c>
      <c r="F16" s="10" t="str">
        <v>Where does a receivable end up in company value?</v>
      </c>
      <c r="G16" s="10" t="str">
        <v>Explain how the concepts fit together</v>
      </c>
      <c r="H16" s="10" t="str">
        <v>Complete</v>
      </c>
    </row>
    <row r="17" ht="58" customHeight="1">
      <c r="A17" s="9" t="str">
        <v>P02</v>
      </c>
      <c r="B17" s="9" t="str">
        <v>The profitable company with no cash</v>
      </c>
      <c r="C17" s="19" t="n">
        <v>1</v>
      </c>
      <c r="D17" s="17" t="str">
        <v>T05.01</v>
      </c>
      <c r="E17" s="9" t="str">
        <v>Revenue, sales, and other operating income</v>
      </c>
      <c r="F17" s="9" t="str">
        <v>How can growing sales create a funding gap?</v>
      </c>
      <c r="G17" s="9" t="str">
        <v>Start from the question</v>
      </c>
      <c r="H17" s="9" t="str">
        <v>T04.05</v>
      </c>
    </row>
    <row r="18" ht="58" customHeight="1">
      <c r="A18" s="10" t="str">
        <v>P02</v>
      </c>
      <c r="B18" s="10" t="str">
        <v>The profitable company with no cash</v>
      </c>
      <c r="C18" s="18" t="n">
        <v>2</v>
      </c>
      <c r="D18" s="16" t="str">
        <v>T04.05</v>
      </c>
      <c r="E18" s="10" t="str">
        <v>Cash accounting versus accrual accounting</v>
      </c>
      <c r="F18" s="10" t="str">
        <v>How can growing sales create a funding gap?</v>
      </c>
      <c r="G18" s="10" t="str">
        <v>Inspect the concept, then explain the next connection</v>
      </c>
      <c r="H18" s="10" t="str">
        <v>A02</v>
      </c>
    </row>
    <row r="19" ht="58" customHeight="1">
      <c r="A19" s="9" t="str">
        <v>P02</v>
      </c>
      <c r="B19" s="9" t="str">
        <v>The profitable company with no cash</v>
      </c>
      <c r="C19" s="19" t="n">
        <v>3</v>
      </c>
      <c r="D19" s="17" t="str">
        <v>A02</v>
      </c>
      <c r="E19" s="9" t="str">
        <v>Trade receivables</v>
      </c>
      <c r="F19" s="9" t="str">
        <v>How can growing sales create a funding gap?</v>
      </c>
      <c r="G19" s="9" t="str">
        <v>Inspect the concept, then explain the next connection</v>
      </c>
      <c r="H19" s="9" t="str">
        <v>T14.03</v>
      </c>
    </row>
    <row r="20" ht="58" customHeight="1">
      <c r="A20" s="10" t="str">
        <v>P02</v>
      </c>
      <c r="B20" s="10" t="str">
        <v>The profitable company with no cash</v>
      </c>
      <c r="C20" s="18" t="n">
        <v>4</v>
      </c>
      <c r="D20" s="16" t="str">
        <v>T14.03</v>
      </c>
      <c r="E20" s="10" t="str">
        <v>Inventory days, receivable days, and payable days</v>
      </c>
      <c r="F20" s="10" t="str">
        <v>How can growing sales create a funding gap?</v>
      </c>
      <c r="G20" s="10" t="str">
        <v>Inspect the concept, then explain the next connection</v>
      </c>
      <c r="H20" s="10" t="str">
        <v>T14.02</v>
      </c>
    </row>
    <row r="21" ht="58" customHeight="1">
      <c r="A21" s="9" t="str">
        <v>P02</v>
      </c>
      <c r="B21" s="9" t="str">
        <v>The profitable company with no cash</v>
      </c>
      <c r="C21" s="19" t="n">
        <v>5</v>
      </c>
      <c r="D21" s="17" t="str">
        <v>T14.02</v>
      </c>
      <c r="E21" s="9" t="str">
        <v>Cash conversion cycle</v>
      </c>
      <c r="F21" s="9" t="str">
        <v>How can growing sales create a funding gap?</v>
      </c>
      <c r="G21" s="9" t="str">
        <v>Inspect the concept, then explain the next connection</v>
      </c>
      <c r="H21" s="9" t="str">
        <v>T07.03</v>
      </c>
    </row>
    <row r="22" ht="58" customHeight="1">
      <c r="A22" s="10" t="str">
        <v>P02</v>
      </c>
      <c r="B22" s="10" t="str">
        <v>The profitable company with no cash</v>
      </c>
      <c r="C22" s="18" t="n">
        <v>6</v>
      </c>
      <c r="D22" s="16" t="str">
        <v>T07.03</v>
      </c>
      <c r="E22" s="10" t="str">
        <v>Reconciling profit to operating cash flow</v>
      </c>
      <c r="F22" s="10" t="str">
        <v>How can growing sales create a funding gap?</v>
      </c>
      <c r="G22" s="10" t="str">
        <v>Inspect the concept, then explain the next connection</v>
      </c>
      <c r="H22" s="10" t="str">
        <v>T14.04</v>
      </c>
    </row>
    <row r="23" ht="58" customHeight="1">
      <c r="A23" s="9" t="str">
        <v>P02</v>
      </c>
      <c r="B23" s="9" t="str">
        <v>The profitable company with no cash</v>
      </c>
      <c r="C23" s="19" t="n">
        <v>7</v>
      </c>
      <c r="D23" s="17" t="str">
        <v>T14.04</v>
      </c>
      <c r="E23" s="9" t="str">
        <v>Cash budgeting and short-term liquidity forecasting</v>
      </c>
      <c r="F23" s="9" t="str">
        <v>How can growing sales create a funding gap?</v>
      </c>
      <c r="G23" s="9" t="str">
        <v>Inspect the concept, then explain the next connection</v>
      </c>
      <c r="H23" s="9" t="str">
        <v>T14.15</v>
      </c>
    </row>
    <row r="24" ht="58" customHeight="1">
      <c r="A24" s="10" t="str">
        <v>P02</v>
      </c>
      <c r="B24" s="10" t="str">
        <v>The profitable company with no cash</v>
      </c>
      <c r="C24" s="18" t="n">
        <v>8</v>
      </c>
      <c r="D24" s="16" t="str">
        <v>T14.15</v>
      </c>
      <c r="E24" s="10" t="str">
        <v>Liquidity buffers and contingency funding</v>
      </c>
      <c r="F24" s="10" t="str">
        <v>How can growing sales create a funding gap?</v>
      </c>
      <c r="G24" s="10" t="str">
        <v>Explain how the concepts fit together</v>
      </c>
      <c r="H24" s="10" t="str">
        <v>Complete</v>
      </c>
    </row>
    <row r="25" ht="58" customHeight="1">
      <c r="A25" s="9" t="str">
        <v>P03</v>
      </c>
      <c r="B25" s="9" t="str">
        <v>Follow a machine through the statements</v>
      </c>
      <c r="C25" s="19" t="n">
        <v>1</v>
      </c>
      <c r="D25" s="17" t="str">
        <v>T04.08</v>
      </c>
      <c r="E25" s="9" t="str">
        <v>Capital expenditure versus operating expenditure</v>
      </c>
      <c r="F25" s="9" t="str">
        <v>Why is buying a machine different from recording depreciation?</v>
      </c>
      <c r="G25" s="9" t="str">
        <v>Start from the question</v>
      </c>
      <c r="H25" s="9" t="str">
        <v>A07</v>
      </c>
    </row>
    <row r="26" ht="58" customHeight="1">
      <c r="A26" s="10" t="str">
        <v>P03</v>
      </c>
      <c r="B26" s="10" t="str">
        <v>Follow a machine through the statements</v>
      </c>
      <c r="C26" s="18" t="n">
        <v>2</v>
      </c>
      <c r="D26" s="16" t="str">
        <v>A07</v>
      </c>
      <c r="E26" s="10" t="str">
        <v>Capital expenditure</v>
      </c>
      <c r="F26" s="10" t="str">
        <v>Why is buying a machine different from recording depreciation?</v>
      </c>
      <c r="G26" s="10" t="str">
        <v>Inspect the concept, then explain the next connection</v>
      </c>
      <c r="H26" s="10" t="str">
        <v>T06.07</v>
      </c>
    </row>
    <row r="27" ht="58" customHeight="1">
      <c r="A27" s="9" t="str">
        <v>P03</v>
      </c>
      <c r="B27" s="9" t="str">
        <v>Follow a machine through the statements</v>
      </c>
      <c r="C27" s="19" t="n">
        <v>3</v>
      </c>
      <c r="D27" s="17" t="str">
        <v>T06.07</v>
      </c>
      <c r="E27" s="9" t="str">
        <v>Property, plant, and equipment</v>
      </c>
      <c r="F27" s="9" t="str">
        <v>Why is buying a machine different from recording depreciation?</v>
      </c>
      <c r="G27" s="9" t="str">
        <v>Inspect the concept, then explain the next connection</v>
      </c>
      <c r="H27" s="9" t="str">
        <v>A08</v>
      </c>
    </row>
    <row r="28" ht="58" customHeight="1">
      <c r="A28" s="10" t="str">
        <v>P03</v>
      </c>
      <c r="B28" s="10" t="str">
        <v>Follow a machine through the statements</v>
      </c>
      <c r="C28" s="18" t="n">
        <v>4</v>
      </c>
      <c r="D28" s="16" t="str">
        <v>A08</v>
      </c>
      <c r="E28" s="10" t="str">
        <v>Depreciation</v>
      </c>
      <c r="F28" s="10" t="str">
        <v>Why is buying a machine different from recording depreciation?</v>
      </c>
      <c r="G28" s="10" t="str">
        <v>Inspect the concept, then explain the next connection</v>
      </c>
      <c r="H28" s="10" t="str">
        <v>A09</v>
      </c>
    </row>
    <row r="29" ht="58" customHeight="1">
      <c r="A29" s="9" t="str">
        <v>P03</v>
      </c>
      <c r="B29" s="9" t="str">
        <v>Follow a machine through the statements</v>
      </c>
      <c r="C29" s="19" t="n">
        <v>5</v>
      </c>
      <c r="D29" s="17" t="str">
        <v>A09</v>
      </c>
      <c r="E29" s="9" t="str">
        <v>EBIT</v>
      </c>
      <c r="F29" s="9" t="str">
        <v>Why is buying a machine different from recording depreciation?</v>
      </c>
      <c r="G29" s="9" t="str">
        <v>Inspect the concept, then explain the next connection</v>
      </c>
      <c r="H29" s="9" t="str">
        <v>A10</v>
      </c>
    </row>
    <row r="30" ht="58" customHeight="1">
      <c r="A30" s="10" t="str">
        <v>P03</v>
      </c>
      <c r="B30" s="10" t="str">
        <v>Follow a machine through the statements</v>
      </c>
      <c r="C30" s="18" t="n">
        <v>6</v>
      </c>
      <c r="D30" s="16" t="str">
        <v>A10</v>
      </c>
      <c r="E30" s="10" t="str">
        <v>NOPAT</v>
      </c>
      <c r="F30" s="10" t="str">
        <v>Why is buying a machine different from recording depreciation?</v>
      </c>
      <c r="G30" s="10" t="str">
        <v>Inspect the concept, then explain the next connection</v>
      </c>
      <c r="H30" s="10" t="str">
        <v>A11</v>
      </c>
    </row>
    <row r="31" ht="58" customHeight="1">
      <c r="A31" s="9" t="str">
        <v>P03</v>
      </c>
      <c r="B31" s="9" t="str">
        <v>Follow a machine through the statements</v>
      </c>
      <c r="C31" s="19" t="n">
        <v>7</v>
      </c>
      <c r="D31" s="17" t="str">
        <v>A11</v>
      </c>
      <c r="E31" s="9" t="str">
        <v>Free cash flow to the firm (FCFF)</v>
      </c>
      <c r="F31" s="9" t="str">
        <v>Why is buying a machine different from recording depreciation?</v>
      </c>
      <c r="G31" s="9" t="str">
        <v>Inspect the concept, then explain the next connection</v>
      </c>
      <c r="H31" s="9" t="str">
        <v>T16.06</v>
      </c>
    </row>
    <row r="32" ht="58" customHeight="1">
      <c r="A32" s="10" t="str">
        <v>P03</v>
      </c>
      <c r="B32" s="10" t="str">
        <v>Follow a machine through the statements</v>
      </c>
      <c r="C32" s="18" t="n">
        <v>8</v>
      </c>
      <c r="D32" s="16" t="str">
        <v>T16.06</v>
      </c>
      <c r="E32" s="10" t="str">
        <v>Fixed-asset and depreciation schedules</v>
      </c>
      <c r="F32" s="10" t="str">
        <v>Why is buying a machine different from recording depreciation?</v>
      </c>
      <c r="G32" s="10" t="str">
        <v>Explain how the concepts fit together</v>
      </c>
      <c r="H32" s="10" t="str">
        <v>Complete</v>
      </c>
    </row>
    <row r="33" ht="58" customHeight="1">
      <c r="A33" s="9" t="str">
        <v>P04</v>
      </c>
      <c r="B33" s="9" t="str">
        <v>Who gets the cash: firm versus equity</v>
      </c>
      <c r="C33" s="19" t="n">
        <v>1</v>
      </c>
      <c r="D33" s="17" t="str">
        <v>T17.03</v>
      </c>
      <c r="E33" s="9" t="str">
        <v>Enterprise value versus equity value</v>
      </c>
      <c r="F33" s="9" t="str">
        <v>Why is net borrowing in FCFE but outside operating FCFF?</v>
      </c>
      <c r="G33" s="9" t="str">
        <v>Start from the question</v>
      </c>
      <c r="H33" s="9" t="str">
        <v>A11</v>
      </c>
    </row>
    <row r="34" ht="58" customHeight="1">
      <c r="A34" s="10" t="str">
        <v>P04</v>
      </c>
      <c r="B34" s="10" t="str">
        <v>Who gets the cash: firm versus equity</v>
      </c>
      <c r="C34" s="18" t="n">
        <v>2</v>
      </c>
      <c r="D34" s="16" t="str">
        <v>A11</v>
      </c>
      <c r="E34" s="10" t="str">
        <v>Free cash flow to the firm (FCFF)</v>
      </c>
      <c r="F34" s="10" t="str">
        <v>Why is net borrowing in FCFE but outside operating FCFF?</v>
      </c>
      <c r="G34" s="10" t="str">
        <v>Inspect the concept, then explain the next connection</v>
      </c>
      <c r="H34" s="10" t="str">
        <v>A12</v>
      </c>
    </row>
    <row r="35" ht="58" customHeight="1">
      <c r="A35" s="9" t="str">
        <v>P04</v>
      </c>
      <c r="B35" s="9" t="str">
        <v>Who gets the cash: firm versus equity</v>
      </c>
      <c r="C35" s="19" t="n">
        <v>3</v>
      </c>
      <c r="D35" s="17" t="str">
        <v>A12</v>
      </c>
      <c r="E35" s="9" t="str">
        <v>Free cash flow to equity (FCFE)</v>
      </c>
      <c r="F35" s="9" t="str">
        <v>Why is net borrowing in FCFE but outside operating FCFF?</v>
      </c>
      <c r="G35" s="9" t="str">
        <v>Inspect the concept, then explain the next connection</v>
      </c>
      <c r="H35" s="9" t="str">
        <v>A18</v>
      </c>
    </row>
    <row r="36" ht="58" customHeight="1">
      <c r="A36" s="10" t="str">
        <v>P04</v>
      </c>
      <c r="B36" s="10" t="str">
        <v>Who gets the cash: firm versus equity</v>
      </c>
      <c r="C36" s="18" t="n">
        <v>4</v>
      </c>
      <c r="D36" s="16" t="str">
        <v>A18</v>
      </c>
      <c r="E36" s="10" t="str">
        <v>Net borrowing</v>
      </c>
      <c r="F36" s="10" t="str">
        <v>Why is net borrowing in FCFE but outside operating FCFF?</v>
      </c>
      <c r="G36" s="10" t="str">
        <v>Inspect the concept, then explain the next connection</v>
      </c>
      <c r="H36" s="10" t="str">
        <v>A13</v>
      </c>
    </row>
    <row r="37" ht="58" customHeight="1">
      <c r="A37" s="9" t="str">
        <v>P04</v>
      </c>
      <c r="B37" s="9" t="str">
        <v>Who gets the cash: firm versus equity</v>
      </c>
      <c r="C37" s="19" t="n">
        <v>5</v>
      </c>
      <c r="D37" s="17" t="str">
        <v>A13</v>
      </c>
      <c r="E37" s="9" t="str">
        <v>Weighted average cost of capital (WACC)</v>
      </c>
      <c r="F37" s="9" t="str">
        <v>Why is net borrowing in FCFE but outside operating FCFF?</v>
      </c>
      <c r="G37" s="9" t="str">
        <v>Inspect the concept, then explain the next connection</v>
      </c>
      <c r="H37" s="9" t="str">
        <v>A14</v>
      </c>
    </row>
    <row r="38" ht="58" customHeight="1">
      <c r="A38" s="10" t="str">
        <v>P04</v>
      </c>
      <c r="B38" s="10" t="str">
        <v>Who gets the cash: firm versus equity</v>
      </c>
      <c r="C38" s="18" t="n">
        <v>6</v>
      </c>
      <c r="D38" s="16" t="str">
        <v>A14</v>
      </c>
      <c r="E38" s="10" t="str">
        <v>Cost of equity</v>
      </c>
      <c r="F38" s="10" t="str">
        <v>Why is net borrowing in FCFE but outside operating FCFF?</v>
      </c>
      <c r="G38" s="10" t="str">
        <v>Inspect the concept, then explain the next connection</v>
      </c>
      <c r="H38" s="10" t="str">
        <v>T17.04</v>
      </c>
    </row>
    <row r="39" ht="58" customHeight="1">
      <c r="A39" s="9" t="str">
        <v>P04</v>
      </c>
      <c r="B39" s="9" t="str">
        <v>Who gets the cash: firm versus equity</v>
      </c>
      <c r="C39" s="19" t="n">
        <v>7</v>
      </c>
      <c r="D39" s="17" t="str">
        <v>T17.04</v>
      </c>
      <c r="E39" s="9" t="str">
        <v>The enterprise-to-equity value bridge</v>
      </c>
      <c r="F39" s="9" t="str">
        <v>Why is net borrowing in FCFE but outside operating FCFF?</v>
      </c>
      <c r="G39" s="9" t="str">
        <v>Explain how the concepts fit together</v>
      </c>
      <c r="H39" s="9" t="str">
        <v>Complete</v>
      </c>
    </row>
    <row r="40" ht="58" customHeight="1">
      <c r="A40" s="10" t="str">
        <v>P05</v>
      </c>
      <c r="B40" s="10" t="str">
        <v>Is growth creating value?</v>
      </c>
      <c r="C40" s="18" t="n">
        <v>1</v>
      </c>
      <c r="D40" s="16" t="str">
        <v>T11.15</v>
      </c>
      <c r="E40" s="10" t="str">
        <v>Linking business drivers to financial results</v>
      </c>
      <c r="F40" s="10" t="str">
        <v>Can a faster-growing company be worth less?</v>
      </c>
      <c r="G40" s="10" t="str">
        <v>Start from the question</v>
      </c>
      <c r="H40" s="10" t="str">
        <v>T11.12</v>
      </c>
    </row>
    <row r="41" ht="58" customHeight="1">
      <c r="A41" s="9" t="str">
        <v>P05</v>
      </c>
      <c r="B41" s="9" t="str">
        <v>Is growth creating value?</v>
      </c>
      <c r="C41" s="19" t="n">
        <v>2</v>
      </c>
      <c r="D41" s="17" t="str">
        <v>T11.12</v>
      </c>
      <c r="E41" s="9" t="str">
        <v>Working-capital intensity and capital intensity</v>
      </c>
      <c r="F41" s="9" t="str">
        <v>Can a faster-growing company be worth less?</v>
      </c>
      <c r="G41" s="9" t="str">
        <v>Inspect the concept, then explain the next connection</v>
      </c>
      <c r="H41" s="9" t="str">
        <v>T17.11</v>
      </c>
    </row>
    <row r="42" ht="58" customHeight="1">
      <c r="A42" s="10" t="str">
        <v>P05</v>
      </c>
      <c r="B42" s="10" t="str">
        <v>Is growth creating value?</v>
      </c>
      <c r="C42" s="18" t="n">
        <v>3</v>
      </c>
      <c r="D42" s="16" t="str">
        <v>T17.11</v>
      </c>
      <c r="E42" s="10" t="str">
        <v>Reinvestment, growth, and return on capital</v>
      </c>
      <c r="F42" s="10" t="str">
        <v>Can a faster-growing company be worth less?</v>
      </c>
      <c r="G42" s="10" t="str">
        <v>Inspect the concept, then explain the next connection</v>
      </c>
      <c r="H42" s="10" t="str">
        <v>A20</v>
      </c>
    </row>
    <row r="43" ht="58" customHeight="1">
      <c r="A43" s="9" t="str">
        <v>P05</v>
      </c>
      <c r="B43" s="9" t="str">
        <v>Is growth creating value?</v>
      </c>
      <c r="C43" s="19" t="n">
        <v>4</v>
      </c>
      <c r="D43" s="17" t="str">
        <v>A20</v>
      </c>
      <c r="E43" s="9" t="str">
        <v>Return on invested capital (ROIC)</v>
      </c>
      <c r="F43" s="9" t="str">
        <v>Can a faster-growing company be worth less?</v>
      </c>
      <c r="G43" s="9" t="str">
        <v>Inspect the concept, then explain the next connection</v>
      </c>
      <c r="H43" s="9" t="str">
        <v>A13</v>
      </c>
    </row>
    <row r="44" ht="58" customHeight="1">
      <c r="A44" s="10" t="str">
        <v>P05</v>
      </c>
      <c r="B44" s="10" t="str">
        <v>Is growth creating value?</v>
      </c>
      <c r="C44" s="18" t="n">
        <v>5</v>
      </c>
      <c r="D44" s="16" t="str">
        <v>A13</v>
      </c>
      <c r="E44" s="10" t="str">
        <v>Weighted average cost of capital (WACC)</v>
      </c>
      <c r="F44" s="10" t="str">
        <v>Can a faster-growing company be worth less?</v>
      </c>
      <c r="G44" s="10" t="str">
        <v>Inspect the concept, then explain the next connection</v>
      </c>
      <c r="H44" s="10" t="str">
        <v>T17.12</v>
      </c>
    </row>
    <row r="45" ht="58" customHeight="1">
      <c r="A45" s="9" t="str">
        <v>P05</v>
      </c>
      <c r="B45" s="9" t="str">
        <v>Is growth creating value?</v>
      </c>
      <c r="C45" s="19" t="n">
        <v>6</v>
      </c>
      <c r="D45" s="17" t="str">
        <v>T17.12</v>
      </c>
      <c r="E45" s="9" t="str">
        <v>Terminal growth and terminal value</v>
      </c>
      <c r="F45" s="9" t="str">
        <v>Can a faster-growing company be worth less?</v>
      </c>
      <c r="G45" s="9" t="str">
        <v>Inspect the concept, then explain the next connection</v>
      </c>
      <c r="H45" s="9" t="str">
        <v>T17.18</v>
      </c>
    </row>
    <row r="46" ht="58" customHeight="1">
      <c r="A46" s="10" t="str">
        <v>P05</v>
      </c>
      <c r="B46" s="10" t="str">
        <v>Is growth creating value?</v>
      </c>
      <c r="C46" s="18" t="n">
        <v>7</v>
      </c>
      <c r="D46" s="16" t="str">
        <v>T17.18</v>
      </c>
      <c r="E46" s="10" t="str">
        <v>Sensitivity analysis, scenarios, and reverse DCF</v>
      </c>
      <c r="F46" s="10" t="str">
        <v>Can a faster-growing company be worth less?</v>
      </c>
      <c r="G46" s="10" t="str">
        <v>Explain how the concepts fit together</v>
      </c>
      <c r="H46" s="10" t="str">
        <v>Complete</v>
      </c>
    </row>
    <row r="47" ht="58" customHeight="1">
      <c r="A47" s="9" t="str">
        <v>P06</v>
      </c>
      <c r="B47" s="9" t="str">
        <v>Read and challenge reported earnings</v>
      </c>
      <c r="C47" s="19" t="n">
        <v>1</v>
      </c>
      <c r="D47" s="17" t="str">
        <v>T04.16</v>
      </c>
      <c r="E47" s="9" t="str">
        <v>Annual reports, interim reports, and regulatory filings</v>
      </c>
      <c r="F47" s="9" t="str">
        <v>Which reported number needs further investigation?</v>
      </c>
      <c r="G47" s="9" t="str">
        <v>Start from the question</v>
      </c>
      <c r="H47" s="9" t="str">
        <v>T04.06</v>
      </c>
    </row>
    <row r="48" ht="58" customHeight="1">
      <c r="A48" s="10" t="str">
        <v>P06</v>
      </c>
      <c r="B48" s="10" t="str">
        <v>Read and challenge reported earnings</v>
      </c>
      <c r="C48" s="18" t="n">
        <v>2</v>
      </c>
      <c r="D48" s="16" t="str">
        <v>T04.06</v>
      </c>
      <c r="E48" s="10" t="str">
        <v>Revenue recognition and expense recognition</v>
      </c>
      <c r="F48" s="10" t="str">
        <v>Which reported number needs further investigation?</v>
      </c>
      <c r="G48" s="10" t="str">
        <v>Inspect the concept, then explain the next connection</v>
      </c>
      <c r="H48" s="10" t="str">
        <v>T10.02</v>
      </c>
    </row>
    <row r="49" ht="58" customHeight="1">
      <c r="A49" s="9" t="str">
        <v>P06</v>
      </c>
      <c r="B49" s="9" t="str">
        <v>Read and challenge reported earnings</v>
      </c>
      <c r="C49" s="19" t="n">
        <v>3</v>
      </c>
      <c r="D49" s="17" t="str">
        <v>T10.02</v>
      </c>
      <c r="E49" s="9" t="str">
        <v>Aggressive revenue recognition</v>
      </c>
      <c r="F49" s="9" t="str">
        <v>Which reported number needs further investigation?</v>
      </c>
      <c r="G49" s="9" t="str">
        <v>Inspect the concept, then explain the next connection</v>
      </c>
      <c r="H49" s="9" t="str">
        <v>T10.06</v>
      </c>
    </row>
    <row r="50" ht="58" customHeight="1">
      <c r="A50" s="10" t="str">
        <v>P06</v>
      </c>
      <c r="B50" s="10" t="str">
        <v>Read and challenge reported earnings</v>
      </c>
      <c r="C50" s="18" t="n">
        <v>4</v>
      </c>
      <c r="D50" s="16" t="str">
        <v>T10.06</v>
      </c>
      <c r="E50" s="10" t="str">
        <v>Accrual quality</v>
      </c>
      <c r="F50" s="10" t="str">
        <v>Which reported number needs further investigation?</v>
      </c>
      <c r="G50" s="10" t="str">
        <v>Inspect the concept, then explain the next connection</v>
      </c>
      <c r="H50" s="10" t="str">
        <v>T10.07</v>
      </c>
    </row>
    <row r="51" ht="58" customHeight="1">
      <c r="A51" s="9" t="str">
        <v>P06</v>
      </c>
      <c r="B51" s="9" t="str">
        <v>Read and challenge reported earnings</v>
      </c>
      <c r="C51" s="19" t="n">
        <v>5</v>
      </c>
      <c r="D51" s="17" t="str">
        <v>T10.07</v>
      </c>
      <c r="E51" s="9" t="str">
        <v>Receivables and inventory warning signs</v>
      </c>
      <c r="F51" s="9" t="str">
        <v>Which reported number needs further investigation?</v>
      </c>
      <c r="G51" s="9" t="str">
        <v>Inspect the concept, then explain the next connection</v>
      </c>
      <c r="H51" s="9" t="str">
        <v>T10.11</v>
      </c>
    </row>
    <row r="52" ht="58" customHeight="1">
      <c r="A52" s="10" t="str">
        <v>P06</v>
      </c>
      <c r="B52" s="10" t="str">
        <v>Read and challenge reported earnings</v>
      </c>
      <c r="C52" s="18" t="n">
        <v>6</v>
      </c>
      <c r="D52" s="16" t="str">
        <v>T10.11</v>
      </c>
      <c r="E52" s="10" t="str">
        <v>Auditor opinions, qualifications, and emphasis-of-matter paragraphs</v>
      </c>
      <c r="F52" s="10" t="str">
        <v>Which reported number needs further investigation?</v>
      </c>
      <c r="G52" s="10" t="str">
        <v>Inspect the concept, then explain the next connection</v>
      </c>
      <c r="H52" s="10" t="str">
        <v>T10.15</v>
      </c>
    </row>
    <row r="53" ht="58" customHeight="1">
      <c r="A53" s="9" t="str">
        <v>P06</v>
      </c>
      <c r="B53" s="9" t="str">
        <v>Read and challenge reported earnings</v>
      </c>
      <c r="C53" s="19" t="n">
        <v>7</v>
      </c>
      <c r="D53" s="17" t="str">
        <v>T10.15</v>
      </c>
      <c r="E53" s="9" t="str">
        <v>Financial footnote investigation</v>
      </c>
      <c r="F53" s="9" t="str">
        <v>Which reported number needs further investigation?</v>
      </c>
      <c r="G53" s="9" t="str">
        <v>Explain how the concepts fit together</v>
      </c>
      <c r="H53" s="9" t="str">
        <v>Complete</v>
      </c>
    </row>
    <row r="54" ht="58" customHeight="1">
      <c r="A54" s="10" t="str">
        <v>P07</v>
      </c>
      <c r="B54" s="10" t="str">
        <v>From business drivers to a model</v>
      </c>
      <c r="C54" s="18" t="n">
        <v>1</v>
      </c>
      <c r="D54" s="16" t="str">
        <v>T11.15</v>
      </c>
      <c r="E54" s="10" t="str">
        <v>Linking business drivers to financial results</v>
      </c>
      <c r="F54" s="10" t="str">
        <v>If collections slow, what changes in the model?</v>
      </c>
      <c r="G54" s="10" t="str">
        <v>Start from the question</v>
      </c>
      <c r="H54" s="10" t="str">
        <v>T15.06</v>
      </c>
    </row>
    <row r="55" ht="58" customHeight="1">
      <c r="A55" s="9" t="str">
        <v>P07</v>
      </c>
      <c r="B55" s="9" t="str">
        <v>From business drivers to a model</v>
      </c>
      <c r="C55" s="19" t="n">
        <v>2</v>
      </c>
      <c r="D55" s="17" t="str">
        <v>T15.06</v>
      </c>
      <c r="E55" s="9" t="str">
        <v>Revenue, cost, headcount, and capital expenditure forecasting</v>
      </c>
      <c r="F55" s="9" t="str">
        <v>If collections slow, what changes in the model?</v>
      </c>
      <c r="G55" s="9" t="str">
        <v>Inspect the concept, then explain the next connection</v>
      </c>
      <c r="H55" s="9" t="str">
        <v>T16.04</v>
      </c>
    </row>
    <row r="56" ht="58" customHeight="1">
      <c r="A56" s="10" t="str">
        <v>P07</v>
      </c>
      <c r="B56" s="10" t="str">
        <v>From business drivers to a model</v>
      </c>
      <c r="C56" s="18" t="n">
        <v>3</v>
      </c>
      <c r="D56" s="16" t="str">
        <v>T16.04</v>
      </c>
      <c r="E56" s="10" t="str">
        <v>Revenue and operating-cost schedules</v>
      </c>
      <c r="F56" s="10" t="str">
        <v>If collections slow, what changes in the model?</v>
      </c>
      <c r="G56" s="10" t="str">
        <v>Inspect the concept, then explain the next connection</v>
      </c>
      <c r="H56" s="10" t="str">
        <v>T16.05</v>
      </c>
    </row>
    <row r="57" ht="58" customHeight="1">
      <c r="A57" s="9" t="str">
        <v>P07</v>
      </c>
      <c r="B57" s="9" t="str">
        <v>From business drivers to a model</v>
      </c>
      <c r="C57" s="19" t="n">
        <v>4</v>
      </c>
      <c r="D57" s="17" t="str">
        <v>T16.05</v>
      </c>
      <c r="E57" s="9" t="str">
        <v>Working-capital schedules</v>
      </c>
      <c r="F57" s="9" t="str">
        <v>If collections slow, what changes in the model?</v>
      </c>
      <c r="G57" s="9" t="str">
        <v>Inspect the concept, then explain the next connection</v>
      </c>
      <c r="H57" s="9" t="str">
        <v>T16.06</v>
      </c>
    </row>
    <row r="58" ht="58" customHeight="1">
      <c r="A58" s="10" t="str">
        <v>P07</v>
      </c>
      <c r="B58" s="10" t="str">
        <v>From business drivers to a model</v>
      </c>
      <c r="C58" s="18" t="n">
        <v>5</v>
      </c>
      <c r="D58" s="16" t="str">
        <v>T16.06</v>
      </c>
      <c r="E58" s="10" t="str">
        <v>Fixed-asset and depreciation schedules</v>
      </c>
      <c r="F58" s="10" t="str">
        <v>If collections slow, what changes in the model?</v>
      </c>
      <c r="G58" s="10" t="str">
        <v>Inspect the concept, then explain the next connection</v>
      </c>
      <c r="H58" s="10" t="str">
        <v>T16.07</v>
      </c>
    </row>
    <row r="59" ht="58" customHeight="1">
      <c r="A59" s="9" t="str">
        <v>P07</v>
      </c>
      <c r="B59" s="9" t="str">
        <v>From business drivers to a model</v>
      </c>
      <c r="C59" s="19" t="n">
        <v>6</v>
      </c>
      <c r="D59" s="17" t="str">
        <v>T16.07</v>
      </c>
      <c r="E59" s="9" t="str">
        <v>Debt, interest, and cash schedules</v>
      </c>
      <c r="F59" s="9" t="str">
        <v>If collections slow, what changes in the model?</v>
      </c>
      <c r="G59" s="9" t="str">
        <v>Inspect the concept, then explain the next connection</v>
      </c>
      <c r="H59" s="9" t="str">
        <v>T16.03</v>
      </c>
    </row>
    <row r="60" ht="58" customHeight="1">
      <c r="A60" s="10" t="str">
        <v>P07</v>
      </c>
      <c r="B60" s="10" t="str">
        <v>From business drivers to a model</v>
      </c>
      <c r="C60" s="18" t="n">
        <v>7</v>
      </c>
      <c r="D60" s="16" t="str">
        <v>T16.03</v>
      </c>
      <c r="E60" s="10" t="str">
        <v>Three-statement models</v>
      </c>
      <c r="F60" s="10" t="str">
        <v>If collections slow, what changes in the model?</v>
      </c>
      <c r="G60" s="10" t="str">
        <v>Inspect the concept, then explain the next connection</v>
      </c>
      <c r="H60" s="10" t="str">
        <v>T16.16</v>
      </c>
    </row>
    <row r="61" ht="58" customHeight="1">
      <c r="A61" s="9" t="str">
        <v>P07</v>
      </c>
      <c r="B61" s="9" t="str">
        <v>From business drivers to a model</v>
      </c>
      <c r="C61" s="19" t="n">
        <v>8</v>
      </c>
      <c r="D61" s="17" t="str">
        <v>T16.16</v>
      </c>
      <c r="E61" s="9" t="str">
        <v>Model auditing, error checks, and documentation</v>
      </c>
      <c r="F61" s="9" t="str">
        <v>If collections slow, what changes in the model?</v>
      </c>
      <c r="G61" s="9" t="str">
        <v>Explain how the concepts fit together</v>
      </c>
      <c r="H61" s="9" t="str">
        <v>Complete</v>
      </c>
    </row>
    <row r="62" ht="58" customHeight="1">
      <c r="A62" s="10" t="str">
        <v>P08</v>
      </c>
      <c r="B62" s="10" t="str">
        <v>A bond meets a rate shock</v>
      </c>
      <c r="C62" s="18" t="n">
        <v>1</v>
      </c>
      <c r="D62" s="16" t="str">
        <v>T03.01</v>
      </c>
      <c r="E62" s="10" t="str">
        <v>Present value and future value</v>
      </c>
      <c r="F62" s="10" t="str">
        <v>Why does bond price change when yields change?</v>
      </c>
      <c r="G62" s="10" t="str">
        <v>Start from the question</v>
      </c>
      <c r="H62" s="10" t="str">
        <v>T20.03</v>
      </c>
    </row>
    <row r="63" ht="58" customHeight="1">
      <c r="A63" s="9" t="str">
        <v>P08</v>
      </c>
      <c r="B63" s="9" t="str">
        <v>A bond meets a rate shock</v>
      </c>
      <c r="C63" s="19" t="n">
        <v>2</v>
      </c>
      <c r="D63" s="17" t="str">
        <v>T20.03</v>
      </c>
      <c r="E63" s="9" t="str">
        <v>Coupon structures and payment conventions</v>
      </c>
      <c r="F63" s="9" t="str">
        <v>Why does bond price change when yields change?</v>
      </c>
      <c r="G63" s="9" t="str">
        <v>Inspect the concept, then explain the next connection</v>
      </c>
      <c r="H63" s="9" t="str">
        <v>T20.05</v>
      </c>
    </row>
    <row r="64" ht="58" customHeight="1">
      <c r="A64" s="10" t="str">
        <v>P08</v>
      </c>
      <c r="B64" s="10" t="str">
        <v>A bond meets a rate shock</v>
      </c>
      <c r="C64" s="18" t="n">
        <v>3</v>
      </c>
      <c r="D64" s="16" t="str">
        <v>T20.05</v>
      </c>
      <c r="E64" s="10" t="str">
        <v>Bond pricing</v>
      </c>
      <c r="F64" s="10" t="str">
        <v>Why does bond price change when yields change?</v>
      </c>
      <c r="G64" s="10" t="str">
        <v>Inspect the concept, then explain the next connection</v>
      </c>
      <c r="H64" s="10" t="str">
        <v>T20.06</v>
      </c>
    </row>
    <row r="65" ht="58" customHeight="1">
      <c r="A65" s="9" t="str">
        <v>P08</v>
      </c>
      <c r="B65" s="9" t="str">
        <v>A bond meets a rate shock</v>
      </c>
      <c r="C65" s="19" t="n">
        <v>4</v>
      </c>
      <c r="D65" s="17" t="str">
        <v>T20.06</v>
      </c>
      <c r="E65" s="9" t="str">
        <v>Current yield, yield to maturity, yield to call, and yield to worst</v>
      </c>
      <c r="F65" s="9" t="str">
        <v>Why does bond price change when yields change?</v>
      </c>
      <c r="G65" s="9" t="str">
        <v>Inspect the concept, then explain the next connection</v>
      </c>
      <c r="H65" s="9" t="str">
        <v>T20.10</v>
      </c>
    </row>
    <row r="66" ht="58" customHeight="1">
      <c r="A66" s="10" t="str">
        <v>P08</v>
      </c>
      <c r="B66" s="10" t="str">
        <v>A bond meets a rate shock</v>
      </c>
      <c r="C66" s="18" t="n">
        <v>5</v>
      </c>
      <c r="D66" s="16" t="str">
        <v>T20.10</v>
      </c>
      <c r="E66" s="10" t="str">
        <v>Duration, modified duration, and effective duration</v>
      </c>
      <c r="F66" s="10" t="str">
        <v>Why does bond price change when yields change?</v>
      </c>
      <c r="G66" s="10" t="str">
        <v>Inspect the concept, then explain the next connection</v>
      </c>
      <c r="H66" s="10" t="str">
        <v>T20.11</v>
      </c>
    </row>
    <row r="67" ht="58" customHeight="1">
      <c r="A67" s="9" t="str">
        <v>P08</v>
      </c>
      <c r="B67" s="9" t="str">
        <v>A bond meets a rate shock</v>
      </c>
      <c r="C67" s="19" t="n">
        <v>6</v>
      </c>
      <c r="D67" s="17" t="str">
        <v>T20.11</v>
      </c>
      <c r="E67" s="9" t="str">
        <v>Convexity and key-rate duration</v>
      </c>
      <c r="F67" s="9" t="str">
        <v>Why does bond price change when yields change?</v>
      </c>
      <c r="G67" s="9" t="str">
        <v>Inspect the concept, then explain the next connection</v>
      </c>
      <c r="H67" s="9" t="str">
        <v>T20.16</v>
      </c>
    </row>
    <row r="68" ht="58" customHeight="1">
      <c r="A68" s="10" t="str">
        <v>P08</v>
      </c>
      <c r="B68" s="10" t="str">
        <v>A bond meets a rate shock</v>
      </c>
      <c r="C68" s="18" t="n">
        <v>7</v>
      </c>
      <c r="D68" s="16" t="str">
        <v>T20.16</v>
      </c>
      <c r="E68" s="10" t="str">
        <v>Bond portfolio strategies, ladders, and immunisation</v>
      </c>
      <c r="F68" s="10" t="str">
        <v>Why does bond price change when yields change?</v>
      </c>
      <c r="G68" s="10" t="str">
        <v>Explain how the concepts fit together</v>
      </c>
      <c r="H68" s="10" t="str">
        <v>Complete</v>
      </c>
    </row>
    <row r="69" ht="58" customHeight="1">
      <c r="A69" s="9" t="str">
        <v>P09</v>
      </c>
      <c r="B69" s="9" t="str">
        <v>Build a portfolio for a real goal</v>
      </c>
      <c r="C69" s="19" t="n">
        <v>1</v>
      </c>
      <c r="D69" s="17" t="str">
        <v>T30.06</v>
      </c>
      <c r="E69" s="9" t="str">
        <v>Financial goals and savings plans</v>
      </c>
      <c r="F69" s="9" t="str">
        <v>Does the best standalone investment make the best portfolio?</v>
      </c>
      <c r="G69" s="9" t="str">
        <v>Start from the question</v>
      </c>
      <c r="H69" s="9" t="str">
        <v>T22.01</v>
      </c>
    </row>
    <row r="70" ht="58" customHeight="1">
      <c r="A70" s="10" t="str">
        <v>P09</v>
      </c>
      <c r="B70" s="10" t="str">
        <v>Build a portfolio for a real goal</v>
      </c>
      <c r="C70" s="18" t="n">
        <v>2</v>
      </c>
      <c r="D70" s="16" t="str">
        <v>T22.01</v>
      </c>
      <c r="E70" s="10" t="str">
        <v>Investment objectives and constraints</v>
      </c>
      <c r="F70" s="10" t="str">
        <v>Does the best standalone investment make the best portfolio?</v>
      </c>
      <c r="G70" s="10" t="str">
        <v>Inspect the concept, then explain the next connection</v>
      </c>
      <c r="H70" s="10" t="str">
        <v>T22.02</v>
      </c>
    </row>
    <row r="71" ht="58" customHeight="1">
      <c r="A71" s="9" t="str">
        <v>P09</v>
      </c>
      <c r="B71" s="9" t="str">
        <v>Build a portfolio for a real goal</v>
      </c>
      <c r="C71" s="19" t="n">
        <v>3</v>
      </c>
      <c r="D71" s="17" t="str">
        <v>T22.02</v>
      </c>
      <c r="E71" s="9" t="str">
        <v>Investment policy statements</v>
      </c>
      <c r="F71" s="9" t="str">
        <v>Does the best standalone investment make the best portfolio?</v>
      </c>
      <c r="G71" s="9" t="str">
        <v>Inspect the concept, then explain the next connection</v>
      </c>
      <c r="H71" s="9" t="str">
        <v>T22.04</v>
      </c>
    </row>
    <row r="72" ht="58" customHeight="1">
      <c r="A72" s="10" t="str">
        <v>P09</v>
      </c>
      <c r="B72" s="10" t="str">
        <v>Build a portfolio for a real goal</v>
      </c>
      <c r="C72" s="18" t="n">
        <v>4</v>
      </c>
      <c r="D72" s="16" t="str">
        <v>T22.04</v>
      </c>
      <c r="E72" s="10" t="str">
        <v>Diversification and correlation</v>
      </c>
      <c r="F72" s="10" t="str">
        <v>Does the best standalone investment make the best portfolio?</v>
      </c>
      <c r="G72" s="10" t="str">
        <v>Inspect the concept, then explain the next connection</v>
      </c>
      <c r="H72" s="10" t="str">
        <v>T22.09</v>
      </c>
    </row>
    <row r="73" ht="58" customHeight="1">
      <c r="A73" s="9" t="str">
        <v>P09</v>
      </c>
      <c r="B73" s="9" t="str">
        <v>Build a portfolio for a real goal</v>
      </c>
      <c r="C73" s="19" t="n">
        <v>5</v>
      </c>
      <c r="D73" s="17" t="str">
        <v>T22.09</v>
      </c>
      <c r="E73" s="9" t="str">
        <v>Strategic and tactical asset allocation</v>
      </c>
      <c r="F73" s="9" t="str">
        <v>Does the best standalone investment make the best portfolio?</v>
      </c>
      <c r="G73" s="9" t="str">
        <v>Inspect the concept, then explain the next connection</v>
      </c>
      <c r="H73" s="9" t="str">
        <v>T22.12</v>
      </c>
    </row>
    <row r="74" ht="58" customHeight="1">
      <c r="A74" s="10" t="str">
        <v>P09</v>
      </c>
      <c r="B74" s="10" t="str">
        <v>Build a portfolio for a real goal</v>
      </c>
      <c r="C74" s="18" t="n">
        <v>6</v>
      </c>
      <c r="D74" s="16" t="str">
        <v>T22.12</v>
      </c>
      <c r="E74" s="10" t="str">
        <v>Portfolio construction and position sizing</v>
      </c>
      <c r="F74" s="10" t="str">
        <v>Does the best standalone investment make the best portfolio?</v>
      </c>
      <c r="G74" s="10" t="str">
        <v>Inspect the concept, then explain the next connection</v>
      </c>
      <c r="H74" s="10" t="str">
        <v>T22.13</v>
      </c>
    </row>
    <row r="75" ht="58" customHeight="1">
      <c r="A75" s="9" t="str">
        <v>P09</v>
      </c>
      <c r="B75" s="9" t="str">
        <v>Build a portfolio for a real goal</v>
      </c>
      <c r="C75" s="19" t="n">
        <v>7</v>
      </c>
      <c r="D75" s="17" t="str">
        <v>T22.13</v>
      </c>
      <c r="E75" s="9" t="str">
        <v>Rebalancing</v>
      </c>
      <c r="F75" s="9" t="str">
        <v>Does the best standalone investment make the best portfolio?</v>
      </c>
      <c r="G75" s="9" t="str">
        <v>Inspect the concept, then explain the next connection</v>
      </c>
      <c r="H75" s="9" t="str">
        <v>T22.15</v>
      </c>
    </row>
    <row r="76" ht="58" customHeight="1">
      <c r="A76" s="10" t="str">
        <v>P09</v>
      </c>
      <c r="B76" s="10" t="str">
        <v>Build a portfolio for a real goal</v>
      </c>
      <c r="C76" s="18" t="n">
        <v>8</v>
      </c>
      <c r="D76" s="16" t="str">
        <v>T22.15</v>
      </c>
      <c r="E76" s="10" t="str">
        <v>Sharpe, Sortino, Treynor, and information ratios</v>
      </c>
      <c r="F76" s="10" t="str">
        <v>Does the best standalone investment make the best portfolio?</v>
      </c>
      <c r="G76" s="10" t="str">
        <v>Explain how the concepts fit together</v>
      </c>
      <c r="H76" s="10" t="str">
        <v>Complete</v>
      </c>
    </row>
    <row r="77" ht="58" customHeight="1">
      <c r="A77" s="9" t="str">
        <v>P10</v>
      </c>
      <c r="B77" s="9" t="str">
        <v>A bank lends and absorbs losses</v>
      </c>
      <c r="C77" s="19" t="n">
        <v>1</v>
      </c>
      <c r="D77" s="17" t="str">
        <v>T24.03</v>
      </c>
      <c r="E77" s="9" t="str">
        <v>Deposits, lending, and wholesale funding</v>
      </c>
      <c r="F77" s="9" t="str">
        <v>How do lending losses connect to funding and capital?</v>
      </c>
      <c r="G77" s="9" t="str">
        <v>Start from the question</v>
      </c>
      <c r="H77" s="9" t="str">
        <v>T24.04</v>
      </c>
    </row>
    <row r="78" ht="58" customHeight="1">
      <c r="A78" s="10" t="str">
        <v>P10</v>
      </c>
      <c r="B78" s="10" t="str">
        <v>A bank lends and absorbs losses</v>
      </c>
      <c r="C78" s="18" t="n">
        <v>2</v>
      </c>
      <c r="D78" s="16" t="str">
        <v>T24.04</v>
      </c>
      <c r="E78" s="10" t="str">
        <v>Net interest income and net interest margin</v>
      </c>
      <c r="F78" s="10" t="str">
        <v>How do lending losses connect to funding and capital?</v>
      </c>
      <c r="G78" s="10" t="str">
        <v>Inspect the concept, then explain the next connection</v>
      </c>
      <c r="H78" s="10" t="str">
        <v>T24.09</v>
      </c>
    </row>
    <row r="79" ht="58" customHeight="1">
      <c r="A79" s="9" t="str">
        <v>P10</v>
      </c>
      <c r="B79" s="9" t="str">
        <v>A bank lends and absorbs losses</v>
      </c>
      <c r="C79" s="19" t="n">
        <v>3</v>
      </c>
      <c r="D79" s="17" t="str">
        <v>T24.09</v>
      </c>
      <c r="E79" s="9" t="str">
        <v>Loan origination and underwriting</v>
      </c>
      <c r="F79" s="9" t="str">
        <v>How do lending losses connect to funding and capital?</v>
      </c>
      <c r="G79" s="9" t="str">
        <v>Inspect the concept, then explain the next connection</v>
      </c>
      <c r="H79" s="9" t="str">
        <v>T24.12</v>
      </c>
    </row>
    <row r="80" ht="58" customHeight="1">
      <c r="A80" s="10" t="str">
        <v>P10</v>
      </c>
      <c r="B80" s="10" t="str">
        <v>A bank lends and absorbs losses</v>
      </c>
      <c r="C80" s="18" t="n">
        <v>4</v>
      </c>
      <c r="D80" s="16" t="str">
        <v>T24.12</v>
      </c>
      <c r="E80" s="10" t="str">
        <v>Probability of default, loss given default, and exposure at default</v>
      </c>
      <c r="F80" s="10" t="str">
        <v>How do lending losses connect to funding and capital?</v>
      </c>
      <c r="G80" s="10" t="str">
        <v>Inspect the concept, then explain the next connection</v>
      </c>
      <c r="H80" s="10" t="str">
        <v>A17</v>
      </c>
    </row>
    <row r="81" ht="58" customHeight="1">
      <c r="A81" s="9" t="str">
        <v>P10</v>
      </c>
      <c r="B81" s="9" t="str">
        <v>A bank lends and absorbs losses</v>
      </c>
      <c r="C81" s="19" t="n">
        <v>5</v>
      </c>
      <c r="D81" s="17" t="str">
        <v>A17</v>
      </c>
      <c r="E81" s="9" t="str">
        <v>Expected credit losses</v>
      </c>
      <c r="F81" s="9" t="str">
        <v>How do lending losses connect to funding and capital?</v>
      </c>
      <c r="G81" s="9" t="str">
        <v>Inspect the concept, then explain the next connection</v>
      </c>
      <c r="H81" s="9" t="str">
        <v>T24.07</v>
      </c>
    </row>
    <row r="82" ht="58" customHeight="1">
      <c r="A82" s="10" t="str">
        <v>P10</v>
      </c>
      <c r="B82" s="10" t="str">
        <v>A bank lends and absorbs losses</v>
      </c>
      <c r="C82" s="18" t="n">
        <v>6</v>
      </c>
      <c r="D82" s="16" t="str">
        <v>T24.07</v>
      </c>
      <c r="E82" s="10" t="str">
        <v>Capital adequacy and risk-weighted assets</v>
      </c>
      <c r="F82" s="10" t="str">
        <v>How do lending losses connect to funding and capital?</v>
      </c>
      <c r="G82" s="10" t="str">
        <v>Inspect the concept, then explain the next connection</v>
      </c>
      <c r="H82" s="10" t="str">
        <v>T24.08</v>
      </c>
    </row>
    <row r="83" ht="58" customHeight="1">
      <c r="A83" s="9" t="str">
        <v>P10</v>
      </c>
      <c r="B83" s="9" t="str">
        <v>A bank lends and absorbs losses</v>
      </c>
      <c r="C83" s="19" t="n">
        <v>7</v>
      </c>
      <c r="D83" s="17" t="str">
        <v>T24.08</v>
      </c>
      <c r="E83" s="9" t="str">
        <v>Liquidity and funding risk</v>
      </c>
      <c r="F83" s="9" t="str">
        <v>How do lending losses connect to funding and capital?</v>
      </c>
      <c r="G83" s="9" t="str">
        <v>Inspect the concept, then explain the next connection</v>
      </c>
      <c r="H83" s="9" t="str">
        <v>T25.07</v>
      </c>
    </row>
    <row r="84" ht="58" customHeight="1">
      <c r="A84" s="10" t="str">
        <v>P10</v>
      </c>
      <c r="B84" s="10" t="str">
        <v>A bank lends and absorbs losses</v>
      </c>
      <c r="C84" s="18" t="n">
        <v>8</v>
      </c>
      <c r="D84" s="16" t="str">
        <v>T25.07</v>
      </c>
      <c r="E84" s="10" t="str">
        <v>Stress testing and reverse stress testing</v>
      </c>
      <c r="F84" s="10" t="str">
        <v>How do lending losses connect to funding and capital?</v>
      </c>
      <c r="G84" s="10" t="str">
        <v>Explain how the concepts fit together</v>
      </c>
      <c r="H84" s="10" t="str">
        <v>Complete</v>
      </c>
    </row>
    <row r="85" ht="58" customHeight="1">
      <c r="A85" s="9" t="str">
        <v>P11</v>
      </c>
      <c r="B85" s="9" t="str">
        <v>Startup runway and founder ownership</v>
      </c>
      <c r="C85" s="19" t="n">
        <v>1</v>
      </c>
      <c r="D85" s="17" t="str">
        <v>T27.02</v>
      </c>
      <c r="E85" s="9" t="str">
        <v>Business models and startup financial plans</v>
      </c>
      <c r="F85" s="9" t="str">
        <v>How much cash and ownership remain after a funding round?</v>
      </c>
      <c r="G85" s="9" t="str">
        <v>Start from the question</v>
      </c>
      <c r="H85" s="9" t="str">
        <v>T27.03</v>
      </c>
    </row>
    <row r="86" ht="58" customHeight="1">
      <c r="A86" s="10" t="str">
        <v>P11</v>
      </c>
      <c r="B86" s="10" t="str">
        <v>Startup runway and founder ownership</v>
      </c>
      <c r="C86" s="18" t="n">
        <v>2</v>
      </c>
      <c r="D86" s="16" t="str">
        <v>T27.03</v>
      </c>
      <c r="E86" s="10" t="str">
        <v>Burn rate, net burn, and runway</v>
      </c>
      <c r="F86" s="10" t="str">
        <v>How much cash and ownership remain after a funding round?</v>
      </c>
      <c r="G86" s="10" t="str">
        <v>Inspect the concept, then explain the next connection</v>
      </c>
      <c r="H86" s="10" t="str">
        <v>T27.05</v>
      </c>
    </row>
    <row r="87" ht="58" customHeight="1">
      <c r="A87" s="9" t="str">
        <v>P11</v>
      </c>
      <c r="B87" s="9" t="str">
        <v>Startup runway and founder ownership</v>
      </c>
      <c r="C87" s="19" t="n">
        <v>3</v>
      </c>
      <c r="D87" s="17" t="str">
        <v>T27.05</v>
      </c>
      <c r="E87" s="9" t="str">
        <v>Angel, seed, venture, and growth funding</v>
      </c>
      <c r="F87" s="9" t="str">
        <v>How much cash and ownership remain after a funding round?</v>
      </c>
      <c r="G87" s="9" t="str">
        <v>Inspect the concept, then explain the next connection</v>
      </c>
      <c r="H87" s="9" t="str">
        <v>T27.07</v>
      </c>
    </row>
    <row r="88" ht="58" customHeight="1">
      <c r="A88" s="10" t="str">
        <v>P11</v>
      </c>
      <c r="B88" s="10" t="str">
        <v>Startup runway and founder ownership</v>
      </c>
      <c r="C88" s="18" t="n">
        <v>4</v>
      </c>
      <c r="D88" s="16" t="str">
        <v>T27.07</v>
      </c>
      <c r="E88" s="10" t="str">
        <v>Pre-money and post-money valuation</v>
      </c>
      <c r="F88" s="10" t="str">
        <v>How much cash and ownership remain after a funding round?</v>
      </c>
      <c r="G88" s="10" t="str">
        <v>Inspect the concept, then explain the next connection</v>
      </c>
      <c r="H88" s="10" t="str">
        <v>T27.06</v>
      </c>
    </row>
    <row r="89" ht="58" customHeight="1">
      <c r="A89" s="9" t="str">
        <v>P11</v>
      </c>
      <c r="B89" s="9" t="str">
        <v>Startup runway and founder ownership</v>
      </c>
      <c r="C89" s="19" t="n">
        <v>5</v>
      </c>
      <c r="D89" s="17" t="str">
        <v>T27.06</v>
      </c>
      <c r="E89" s="9" t="str">
        <v>Cap tables and dilution</v>
      </c>
      <c r="F89" s="9" t="str">
        <v>How much cash and ownership remain after a funding round?</v>
      </c>
      <c r="G89" s="9" t="str">
        <v>Inspect the concept, then explain the next connection</v>
      </c>
      <c r="H89" s="9" t="str">
        <v>T27.09</v>
      </c>
    </row>
    <row r="90" ht="58" customHeight="1">
      <c r="A90" s="10" t="str">
        <v>P11</v>
      </c>
      <c r="B90" s="10" t="str">
        <v>Startup runway and founder ownership</v>
      </c>
      <c r="C90" s="18" t="n">
        <v>6</v>
      </c>
      <c r="D90" s="16" t="str">
        <v>T27.09</v>
      </c>
      <c r="E90" s="10" t="str">
        <v>Term sheets</v>
      </c>
      <c r="F90" s="10" t="str">
        <v>How much cash and ownership remain after a funding round?</v>
      </c>
      <c r="G90" s="10" t="str">
        <v>Inspect the concept, then explain the next connection</v>
      </c>
      <c r="H90" s="10" t="str">
        <v>T27.10</v>
      </c>
    </row>
    <row r="91" ht="58" customHeight="1">
      <c r="A91" s="9" t="str">
        <v>P11</v>
      </c>
      <c r="B91" s="9" t="str">
        <v>Startup runway and founder ownership</v>
      </c>
      <c r="C91" s="19" t="n">
        <v>7</v>
      </c>
      <c r="D91" s="17" t="str">
        <v>T27.10</v>
      </c>
      <c r="E91" s="9" t="str">
        <v>Liquidation preferences and participation rights</v>
      </c>
      <c r="F91" s="9" t="str">
        <v>How much cash and ownership remain after a funding round?</v>
      </c>
      <c r="G91" s="9" t="str">
        <v>Inspect the concept, then explain the next connection</v>
      </c>
      <c r="H91" s="9" t="str">
        <v>T27.17</v>
      </c>
    </row>
    <row r="92" ht="58" customHeight="1">
      <c r="A92" s="10" t="str">
        <v>P11</v>
      </c>
      <c r="B92" s="10" t="str">
        <v>Startup runway and founder ownership</v>
      </c>
      <c r="C92" s="18" t="n">
        <v>8</v>
      </c>
      <c r="D92" s="16" t="str">
        <v>T27.17</v>
      </c>
      <c r="E92" s="10" t="str">
        <v>Exit routes and exit waterfalls</v>
      </c>
      <c r="F92" s="10" t="str">
        <v>How much cash and ownership remain after a funding round?</v>
      </c>
      <c r="G92" s="10" t="str">
        <v>Explain how the concepts fit together</v>
      </c>
      <c r="H92" s="10" t="str">
        <v>Complete</v>
      </c>
    </row>
    <row r="93" ht="58" customHeight="1">
      <c r="A93" s="9" t="str">
        <v>P12</v>
      </c>
      <c r="B93" s="9" t="str">
        <v>Should we acquire this business?</v>
      </c>
      <c r="C93" s="19" t="n">
        <v>1</v>
      </c>
      <c r="D93" s="17" t="str">
        <v>T26.01</v>
      </c>
      <c r="E93" s="9" t="str">
        <v>Strategic rationale for acquisitions</v>
      </c>
      <c r="F93" s="9" t="str">
        <v>Does EPS accretion mean the deal creates value?</v>
      </c>
      <c r="G93" s="9" t="str">
        <v>Start from the question</v>
      </c>
      <c r="H93" s="9" t="str">
        <v>T26.05</v>
      </c>
    </row>
    <row r="94" ht="58" customHeight="1">
      <c r="A94" s="10" t="str">
        <v>P12</v>
      </c>
      <c r="B94" s="10" t="str">
        <v>Should we acquire this business?</v>
      </c>
      <c r="C94" s="18" t="n">
        <v>2</v>
      </c>
      <c r="D94" s="16" t="str">
        <v>T26.05</v>
      </c>
      <c r="E94" s="10" t="str">
        <v>Financial, commercial, tax, and legal due diligence</v>
      </c>
      <c r="F94" s="10" t="str">
        <v>Does EPS accretion mean the deal creates value?</v>
      </c>
      <c r="G94" s="10" t="str">
        <v>Inspect the concept, then explain the next connection</v>
      </c>
      <c r="H94" s="10" t="str">
        <v>T26.06</v>
      </c>
    </row>
    <row r="95" ht="58" customHeight="1">
      <c r="A95" s="9" t="str">
        <v>P12</v>
      </c>
      <c r="B95" s="9" t="str">
        <v>Should we acquire this business?</v>
      </c>
      <c r="C95" s="19" t="n">
        <v>3</v>
      </c>
      <c r="D95" s="17" t="str">
        <v>T26.06</v>
      </c>
      <c r="E95" s="9" t="str">
        <v>Transaction valuation</v>
      </c>
      <c r="F95" s="9" t="str">
        <v>Does EPS accretion mean the deal creates value?</v>
      </c>
      <c r="G95" s="9" t="str">
        <v>Inspect the concept, then explain the next connection</v>
      </c>
      <c r="H95" s="9" t="str">
        <v>T26.07</v>
      </c>
    </row>
    <row r="96" ht="58" customHeight="1">
      <c r="A96" s="10" t="str">
        <v>P12</v>
      </c>
      <c r="B96" s="10" t="str">
        <v>Should we acquire this business?</v>
      </c>
      <c r="C96" s="18" t="n">
        <v>4</v>
      </c>
      <c r="D96" s="16" t="str">
        <v>T26.07</v>
      </c>
      <c r="E96" s="10" t="str">
        <v>Synergies, dis-synergies, and integration costs</v>
      </c>
      <c r="F96" s="10" t="str">
        <v>Does EPS accretion mean the deal creates value?</v>
      </c>
      <c r="G96" s="10" t="str">
        <v>Inspect the concept, then explain the next connection</v>
      </c>
      <c r="H96" s="10" t="str">
        <v>T26.08</v>
      </c>
    </row>
    <row r="97" ht="58" customHeight="1">
      <c r="A97" s="9" t="str">
        <v>P12</v>
      </c>
      <c r="B97" s="9" t="str">
        <v>Should we acquire this business?</v>
      </c>
      <c r="C97" s="19" t="n">
        <v>5</v>
      </c>
      <c r="D97" s="17" t="str">
        <v>T26.08</v>
      </c>
      <c r="E97" s="9" t="str">
        <v>Cash, stock, and mixed consideration</v>
      </c>
      <c r="F97" s="9" t="str">
        <v>Does EPS accretion mean the deal creates value?</v>
      </c>
      <c r="G97" s="9" t="str">
        <v>Inspect the concept, then explain the next connection</v>
      </c>
      <c r="H97" s="9" t="str">
        <v>T26.09</v>
      </c>
    </row>
    <row r="98" ht="58" customHeight="1">
      <c r="A98" s="10" t="str">
        <v>P12</v>
      </c>
      <c r="B98" s="10" t="str">
        <v>Should we acquire this business?</v>
      </c>
      <c r="C98" s="18" t="n">
        <v>6</v>
      </c>
      <c r="D98" s="16" t="str">
        <v>T26.09</v>
      </c>
      <c r="E98" s="10" t="str">
        <v>Acquisition financing</v>
      </c>
      <c r="F98" s="10" t="str">
        <v>Does EPS accretion mean the deal creates value?</v>
      </c>
      <c r="G98" s="10" t="str">
        <v>Inspect the concept, then explain the next connection</v>
      </c>
      <c r="H98" s="10" t="str">
        <v>T26.10</v>
      </c>
    </row>
    <row r="99" ht="58" customHeight="1">
      <c r="A99" s="9" t="str">
        <v>P12</v>
      </c>
      <c r="B99" s="9" t="str">
        <v>Should we acquire this business?</v>
      </c>
      <c r="C99" s="19" t="n">
        <v>7</v>
      </c>
      <c r="D99" s="17" t="str">
        <v>T26.10</v>
      </c>
      <c r="E99" s="9" t="str">
        <v>Accretion and dilution</v>
      </c>
      <c r="F99" s="9" t="str">
        <v>Does EPS accretion mean the deal creates value?</v>
      </c>
      <c r="G99" s="9" t="str">
        <v>Inspect the concept, then explain the next connection</v>
      </c>
      <c r="H99" s="9" t="str">
        <v>T26.19</v>
      </c>
    </row>
    <row r="100" ht="58" customHeight="1">
      <c r="A100" s="10" t="str">
        <v>P12</v>
      </c>
      <c r="B100" s="10" t="str">
        <v>Should we acquire this business?</v>
      </c>
      <c r="C100" s="18" t="n">
        <v>8</v>
      </c>
      <c r="D100" s="16" t="str">
        <v>T26.19</v>
      </c>
      <c r="E100" s="10" t="str">
        <v>Post-merger integration and value tracking</v>
      </c>
      <c r="F100" s="10" t="str">
        <v>Does EPS accretion mean the deal creates value?</v>
      </c>
      <c r="G100" s="10" t="str">
        <v>Explain how the concepts fit together</v>
      </c>
      <c r="H100" s="10" t="str">
        <v>Complete</v>
      </c>
    </row>
    <row r="101" ht="58" customHeight="1">
      <c r="A101" s="9" t="str">
        <v>P13</v>
      </c>
      <c r="B101" s="9" t="str">
        <v>Finance an infrastructure project</v>
      </c>
      <c r="C101" s="19" t="n">
        <v>1</v>
      </c>
      <c r="D101" s="17" t="str">
        <v>T28.10</v>
      </c>
      <c r="E101" s="9" t="str">
        <v>Project finance versus corporate finance</v>
      </c>
      <c r="F101" s="9" t="str">
        <v>Which cash flows support debt repayment?</v>
      </c>
      <c r="G101" s="9" t="str">
        <v>Start from the question</v>
      </c>
      <c r="H101" s="9" t="str">
        <v>T28.11</v>
      </c>
    </row>
    <row r="102" ht="58" customHeight="1">
      <c r="A102" s="10" t="str">
        <v>P13</v>
      </c>
      <c r="B102" s="10" t="str">
        <v>Finance an infrastructure project</v>
      </c>
      <c r="C102" s="18" t="n">
        <v>2</v>
      </c>
      <c r="D102" s="16" t="str">
        <v>T28.11</v>
      </c>
      <c r="E102" s="10" t="str">
        <v>Special-purpose vehicles and limited-recourse structures</v>
      </c>
      <c r="F102" s="10" t="str">
        <v>Which cash flows support debt repayment?</v>
      </c>
      <c r="G102" s="10" t="str">
        <v>Inspect the concept, then explain the next connection</v>
      </c>
      <c r="H102" s="10" t="str">
        <v>T28.13</v>
      </c>
    </row>
    <row r="103" ht="58" customHeight="1">
      <c r="A103" s="9" t="str">
        <v>P13</v>
      </c>
      <c r="B103" s="9" t="str">
        <v>Finance an infrastructure project</v>
      </c>
      <c r="C103" s="19" t="n">
        <v>3</v>
      </c>
      <c r="D103" s="17" t="str">
        <v>T28.13</v>
      </c>
      <c r="E103" s="9" t="str">
        <v>Concessions, offtake agreements, and public-private partnerships</v>
      </c>
      <c r="F103" s="9" t="str">
        <v>Which cash flows support debt repayment?</v>
      </c>
      <c r="G103" s="9" t="str">
        <v>Inspect the concept, then explain the next connection</v>
      </c>
      <c r="H103" s="9" t="str">
        <v>T28.12</v>
      </c>
    </row>
    <row r="104" ht="58" customHeight="1">
      <c r="A104" s="10" t="str">
        <v>P13</v>
      </c>
      <c r="B104" s="10" t="str">
        <v>Finance an infrastructure project</v>
      </c>
      <c r="C104" s="18" t="n">
        <v>4</v>
      </c>
      <c r="D104" s="16" t="str">
        <v>T28.12</v>
      </c>
      <c r="E104" s="10" t="str">
        <v>Construction risk and operating risk</v>
      </c>
      <c r="F104" s="10" t="str">
        <v>Which cash flows support debt repayment?</v>
      </c>
      <c r="G104" s="10" t="str">
        <v>Inspect the concept, then explain the next connection</v>
      </c>
      <c r="H104" s="10" t="str">
        <v>T28.15</v>
      </c>
    </row>
    <row r="105" ht="58" customHeight="1">
      <c r="A105" s="9" t="str">
        <v>P13</v>
      </c>
      <c r="B105" s="9" t="str">
        <v>Finance an infrastructure project</v>
      </c>
      <c r="C105" s="19" t="n">
        <v>5</v>
      </c>
      <c r="D105" s="17" t="str">
        <v>T28.15</v>
      </c>
      <c r="E105" s="9" t="str">
        <v>DSCR, LLCR, and PLCR</v>
      </c>
      <c r="F105" s="9" t="str">
        <v>Which cash flows support debt repayment?</v>
      </c>
      <c r="G105" s="9" t="str">
        <v>Inspect the concept, then explain the next connection</v>
      </c>
      <c r="H105" s="9" t="str">
        <v>T28.14</v>
      </c>
    </row>
    <row r="106" ht="58" customHeight="1">
      <c r="A106" s="10" t="str">
        <v>P13</v>
      </c>
      <c r="B106" s="10" t="str">
        <v>Finance an infrastructure project</v>
      </c>
      <c r="C106" s="18" t="n">
        <v>6</v>
      </c>
      <c r="D106" s="16" t="str">
        <v>T28.14</v>
      </c>
      <c r="E106" s="10" t="str">
        <v>Debt sizing and debt sculpting</v>
      </c>
      <c r="F106" s="10" t="str">
        <v>Which cash flows support debt repayment?</v>
      </c>
      <c r="G106" s="10" t="str">
        <v>Inspect the concept, then explain the next connection</v>
      </c>
      <c r="H106" s="10" t="str">
        <v>T28.16</v>
      </c>
    </row>
    <row r="107" ht="58" customHeight="1">
      <c r="A107" s="9" t="str">
        <v>P13</v>
      </c>
      <c r="B107" s="9" t="str">
        <v>Finance an infrastructure project</v>
      </c>
      <c r="C107" s="19" t="n">
        <v>7</v>
      </c>
      <c r="D107" s="17" t="str">
        <v>T28.16</v>
      </c>
      <c r="E107" s="9" t="str">
        <v>Reserve accounts and cash waterfalls</v>
      </c>
      <c r="F107" s="9" t="str">
        <v>Which cash flows support debt repayment?</v>
      </c>
      <c r="G107" s="9" t="str">
        <v>Inspect the concept, then explain the next connection</v>
      </c>
      <c r="H107" s="9" t="str">
        <v>T28.17</v>
      </c>
    </row>
    <row r="108" ht="58" customHeight="1">
      <c r="A108" s="10" t="str">
        <v>P13</v>
      </c>
      <c r="B108" s="10" t="str">
        <v>Finance an infrastructure project</v>
      </c>
      <c r="C108" s="18" t="n">
        <v>8</v>
      </c>
      <c r="D108" s="16" t="str">
        <v>T28.17</v>
      </c>
      <c r="E108" s="10" t="str">
        <v>Refinancing and project equity returns</v>
      </c>
      <c r="F108" s="10" t="str">
        <v>Which cash flows support debt repayment?</v>
      </c>
      <c r="G108" s="10" t="str">
        <v>Explain how the concepts fit together</v>
      </c>
      <c r="H108" s="10" t="str">
        <v>Complete</v>
      </c>
    </row>
    <row r="109" ht="58" customHeight="1">
      <c r="A109" s="9" t="str">
        <v>P14</v>
      </c>
      <c r="B109" s="9" t="str">
        <v>Hedge a foreign-currency payment</v>
      </c>
      <c r="C109" s="19" t="n">
        <v>1</v>
      </c>
      <c r="D109" s="17" t="str">
        <v>T33.01</v>
      </c>
      <c r="E109" s="9" t="str">
        <v>Currency quotations and cross-rates</v>
      </c>
      <c r="F109" s="9" t="str">
        <v>What does a currency hedge remove and what remains?</v>
      </c>
      <c r="G109" s="9" t="str">
        <v>Start from the question</v>
      </c>
      <c r="H109" s="9" t="str">
        <v>T33.02</v>
      </c>
    </row>
    <row r="110" ht="58" customHeight="1">
      <c r="A110" s="10" t="str">
        <v>P14</v>
      </c>
      <c r="B110" s="10" t="str">
        <v>Hedge a foreign-currency payment</v>
      </c>
      <c r="C110" s="18" t="n">
        <v>2</v>
      </c>
      <c r="D110" s="16" t="str">
        <v>T33.02</v>
      </c>
      <c r="E110" s="10" t="str">
        <v>Spot and forward foreign-exchange markets</v>
      </c>
      <c r="F110" s="10" t="str">
        <v>What does a currency hedge remove and what remains?</v>
      </c>
      <c r="G110" s="10" t="str">
        <v>Inspect the concept, then explain the next connection</v>
      </c>
      <c r="H110" s="10" t="str">
        <v>T33.07</v>
      </c>
    </row>
    <row r="111" ht="58" customHeight="1">
      <c r="A111" s="9" t="str">
        <v>P14</v>
      </c>
      <c r="B111" s="9" t="str">
        <v>Hedge a foreign-currency payment</v>
      </c>
      <c r="C111" s="19" t="n">
        <v>3</v>
      </c>
      <c r="D111" s="17" t="str">
        <v>T33.07</v>
      </c>
      <c r="E111" s="9" t="str">
        <v>Transaction, translation, and economic exposure</v>
      </c>
      <c r="F111" s="9" t="str">
        <v>What does a currency hedge remove and what remains?</v>
      </c>
      <c r="G111" s="9" t="str">
        <v>Inspect the concept, then explain the next connection</v>
      </c>
      <c r="H111" s="9" t="str">
        <v>T21.01</v>
      </c>
    </row>
    <row r="112" ht="58" customHeight="1">
      <c r="A112" s="10" t="str">
        <v>P14</v>
      </c>
      <c r="B112" s="10" t="str">
        <v>Hedge a foreign-currency payment</v>
      </c>
      <c r="C112" s="18" t="n">
        <v>4</v>
      </c>
      <c r="D112" s="16" t="str">
        <v>T21.01</v>
      </c>
      <c r="E112" s="10" t="str">
        <v>Forwards and futures</v>
      </c>
      <c r="F112" s="10" t="str">
        <v>What does a currency hedge remove and what remains?</v>
      </c>
      <c r="G112" s="10" t="str">
        <v>Inspect the concept, then explain the next connection</v>
      </c>
      <c r="H112" s="10" t="str">
        <v>T33.08</v>
      </c>
    </row>
    <row r="113" ht="58" customHeight="1">
      <c r="A113" s="9" t="str">
        <v>P14</v>
      </c>
      <c r="B113" s="9" t="str">
        <v>Hedge a foreign-currency payment</v>
      </c>
      <c r="C113" s="19" t="n">
        <v>5</v>
      </c>
      <c r="D113" s="17" t="str">
        <v>T33.08</v>
      </c>
      <c r="E113" s="9" t="str">
        <v>Currency hedging</v>
      </c>
      <c r="F113" s="9" t="str">
        <v>What does a currency hedge remove and what remains?</v>
      </c>
      <c r="G113" s="9" t="str">
        <v>Inspect the concept, then explain the next connection</v>
      </c>
      <c r="H113" s="9" t="str">
        <v>T21.19</v>
      </c>
    </row>
    <row r="114" ht="58" customHeight="1">
      <c r="A114" s="10" t="str">
        <v>P14</v>
      </c>
      <c r="B114" s="10" t="str">
        <v>Hedge a foreign-currency payment</v>
      </c>
      <c r="C114" s="18" t="n">
        <v>6</v>
      </c>
      <c r="D114" s="16" t="str">
        <v>T21.19</v>
      </c>
      <c r="E114" s="10" t="str">
        <v>Basis risk and hedge effectiveness</v>
      </c>
      <c r="F114" s="10" t="str">
        <v>What does a currency hedge remove and what remains?</v>
      </c>
      <c r="G114" s="10" t="str">
        <v>Inspect the concept, then explain the next connection</v>
      </c>
      <c r="H114" s="10" t="str">
        <v>T21.18</v>
      </c>
    </row>
    <row r="115" ht="58" customHeight="1">
      <c r="A115" s="9" t="str">
        <v>P14</v>
      </c>
      <c r="B115" s="9" t="str">
        <v>Hedge a foreign-currency payment</v>
      </c>
      <c r="C115" s="19" t="n">
        <v>7</v>
      </c>
      <c r="D115" s="17" t="str">
        <v>T21.18</v>
      </c>
      <c r="E115" s="9" t="str">
        <v>Margin, collateral, clearing, and counterparty risk</v>
      </c>
      <c r="F115" s="9" t="str">
        <v>What does a currency hedge remove and what remains?</v>
      </c>
      <c r="G115" s="9" t="str">
        <v>Explain how the concepts fit together</v>
      </c>
      <c r="H115" s="9" t="str">
        <v>Complete</v>
      </c>
    </row>
    <row r="116" ht="58" customHeight="1">
      <c r="A116" s="10" t="str">
        <v>P15</v>
      </c>
      <c r="B116" s="10" t="str">
        <v>Retirement in purchasing-power terms</v>
      </c>
      <c r="C116" s="18" t="n">
        <v>1</v>
      </c>
      <c r="D116" s="16" t="str">
        <v>T30.06</v>
      </c>
      <c r="E116" s="10" t="str">
        <v>Financial goals and savings plans</v>
      </c>
      <c r="F116" s="10" t="str">
        <v>Will the future income buy what you expect?</v>
      </c>
      <c r="G116" s="10" t="str">
        <v>Start from the question</v>
      </c>
      <c r="H116" s="10" t="str">
        <v>T03.11</v>
      </c>
    </row>
    <row r="117" ht="58" customHeight="1">
      <c r="A117" s="9" t="str">
        <v>P15</v>
      </c>
      <c r="B117" s="9" t="str">
        <v>Retirement in purchasing-power terms</v>
      </c>
      <c r="C117" s="19" t="n">
        <v>2</v>
      </c>
      <c r="D117" s="17" t="str">
        <v>T03.11</v>
      </c>
      <c r="E117" s="9" t="str">
        <v>Sinking funds and savings accumulation</v>
      </c>
      <c r="F117" s="9" t="str">
        <v>Will the future income buy what you expect?</v>
      </c>
      <c r="G117" s="9" t="str">
        <v>Inspect the concept, then explain the next connection</v>
      </c>
      <c r="H117" s="9" t="str">
        <v>T32.02</v>
      </c>
    </row>
    <row r="118" ht="58" customHeight="1">
      <c r="A118" s="10" t="str">
        <v>P15</v>
      </c>
      <c r="B118" s="10" t="str">
        <v>Retirement in purchasing-power terms</v>
      </c>
      <c r="C118" s="18" t="n">
        <v>3</v>
      </c>
      <c r="D118" s="16" t="str">
        <v>T32.02</v>
      </c>
      <c r="E118" s="10" t="str">
        <v>Inflation, disinflation, and deflation</v>
      </c>
      <c r="F118" s="10" t="str">
        <v>Will the future income buy what you expect?</v>
      </c>
      <c r="G118" s="10" t="str">
        <v>Inspect the concept, then explain the next connection</v>
      </c>
      <c r="H118" s="10" t="str">
        <v>T03.09</v>
      </c>
    </row>
    <row r="119" ht="58" customHeight="1">
      <c r="A119" s="9" t="str">
        <v>P15</v>
      </c>
      <c r="B119" s="9" t="str">
        <v>Retirement in purchasing-power terms</v>
      </c>
      <c r="C119" s="19" t="n">
        <v>4</v>
      </c>
      <c r="D119" s="17" t="str">
        <v>T03.09</v>
      </c>
      <c r="E119" s="9" t="str">
        <v>Real versus nominal interest rates</v>
      </c>
      <c r="F119" s="9" t="str">
        <v>Will the future income buy what you expect?</v>
      </c>
      <c r="G119" s="9" t="str">
        <v>Inspect the concept, then explain the next connection</v>
      </c>
      <c r="H119" s="9" t="str">
        <v>T30.10</v>
      </c>
    </row>
    <row r="120" ht="58" customHeight="1">
      <c r="A120" s="10" t="str">
        <v>P15</v>
      </c>
      <c r="B120" s="10" t="str">
        <v>Retirement in purchasing-power terms</v>
      </c>
      <c r="C120" s="18" t="n">
        <v>5</v>
      </c>
      <c r="D120" s="16" t="str">
        <v>T30.10</v>
      </c>
      <c r="E120" s="10" t="str">
        <v>Retirement planning and withdrawal strategies</v>
      </c>
      <c r="F120" s="10" t="str">
        <v>Will the future income buy what you expect?</v>
      </c>
      <c r="G120" s="10" t="str">
        <v>Inspect the concept, then explain the next connection</v>
      </c>
      <c r="H120" s="10" t="str">
        <v>T30.11</v>
      </c>
    </row>
    <row r="121" ht="58" customHeight="1">
      <c r="A121" s="9" t="str">
        <v>P15</v>
      </c>
      <c r="B121" s="9" t="str">
        <v>Retirement in purchasing-power terms</v>
      </c>
      <c r="C121" s="19" t="n">
        <v>6</v>
      </c>
      <c r="D121" s="17" t="str">
        <v>T30.11</v>
      </c>
      <c r="E121" s="9" t="str">
        <v>Inflation and longevity risk</v>
      </c>
      <c r="F121" s="9" t="str">
        <v>Will the future income buy what you expect?</v>
      </c>
      <c r="G121" s="9" t="str">
        <v>Inspect the concept, then explain the next connection</v>
      </c>
      <c r="H121" s="9" t="str">
        <v>T29.15</v>
      </c>
    </row>
    <row r="122" ht="58" customHeight="1">
      <c r="A122" s="10" t="str">
        <v>P15</v>
      </c>
      <c r="B122" s="10" t="str">
        <v>Retirement in purchasing-power terms</v>
      </c>
      <c r="C122" s="18" t="n">
        <v>7</v>
      </c>
      <c r="D122" s="16" t="str">
        <v>T29.15</v>
      </c>
      <c r="E122" s="10" t="str">
        <v>Pension and annuity products</v>
      </c>
      <c r="F122" s="10" t="str">
        <v>Will the future income buy what you expect?</v>
      </c>
      <c r="G122" s="10" t="str">
        <v>Explain how the concepts fit together</v>
      </c>
      <c r="H122" s="10" t="str">
        <v>Complete</v>
      </c>
    </row>
    <row r="123" ht="58" customHeight="1">
      <c r="A123" s="9" t="str">
        <v>P16</v>
      </c>
      <c r="B123" s="9" t="str">
        <v>Payments to fintech unit economics</v>
      </c>
      <c r="C123" s="19" t="n">
        <v>1</v>
      </c>
      <c r="D123" s="17" t="str">
        <v>T36.01</v>
      </c>
      <c r="E123" s="9" t="str">
        <v>Payment systems and payment processing</v>
      </c>
      <c r="F123" s="9" t="str">
        <v>Who earns fees and who takes risk in a digital payment?</v>
      </c>
      <c r="G123" s="9" t="str">
        <v>Start from the question</v>
      </c>
      <c r="H123" s="9" t="str">
        <v>T36.02</v>
      </c>
    </row>
    <row r="124" ht="58" customHeight="1">
      <c r="A124" s="10" t="str">
        <v>P16</v>
      </c>
      <c r="B124" s="10" t="str">
        <v>Payments to fintech unit economics</v>
      </c>
      <c r="C124" s="18" t="n">
        <v>2</v>
      </c>
      <c r="D124" s="16" t="str">
        <v>T36.02</v>
      </c>
      <c r="E124" s="10" t="str">
        <v>Cards, acquiring, issuing, and interchange</v>
      </c>
      <c r="F124" s="10" t="str">
        <v>Who earns fees and who takes risk in a digital payment?</v>
      </c>
      <c r="G124" s="10" t="str">
        <v>Inspect the concept, then explain the next connection</v>
      </c>
      <c r="H124" s="10" t="str">
        <v>T36.03</v>
      </c>
    </row>
    <row r="125" ht="58" customHeight="1">
      <c r="A125" s="9" t="str">
        <v>P16</v>
      </c>
      <c r="B125" s="9" t="str">
        <v>Payments to fintech unit economics</v>
      </c>
      <c r="C125" s="19" t="n">
        <v>3</v>
      </c>
      <c r="D125" s="17" t="str">
        <v>T36.03</v>
      </c>
      <c r="E125" s="9" t="str">
        <v>UPI and account-to-account payments</v>
      </c>
      <c r="F125" s="9" t="str">
        <v>Who earns fees and who takes risk in a digital payment?</v>
      </c>
      <c r="G125" s="9" t="str">
        <v>Inspect the concept, then explain the next connection</v>
      </c>
      <c r="H125" s="9" t="str">
        <v>T36.05</v>
      </c>
    </row>
    <row r="126" ht="58" customHeight="1">
      <c r="A126" s="10" t="str">
        <v>P16</v>
      </c>
      <c r="B126" s="10" t="str">
        <v>Payments to fintech unit economics</v>
      </c>
      <c r="C126" s="18" t="n">
        <v>4</v>
      </c>
      <c r="D126" s="16" t="str">
        <v>T36.05</v>
      </c>
      <c r="E126" s="10" t="str">
        <v>Payment gateways and aggregators</v>
      </c>
      <c r="F126" s="10" t="str">
        <v>Who earns fees and who takes risk in a digital payment?</v>
      </c>
      <c r="G126" s="10" t="str">
        <v>Inspect the concept, then explain the next connection</v>
      </c>
      <c r="H126" s="10" t="str">
        <v>T36.11</v>
      </c>
    </row>
    <row r="127" ht="58" customHeight="1">
      <c r="A127" s="9" t="str">
        <v>P16</v>
      </c>
      <c r="B127" s="9" t="str">
        <v>Payments to fintech unit economics</v>
      </c>
      <c r="C127" s="19" t="n">
        <v>5</v>
      </c>
      <c r="D127" s="17" t="str">
        <v>T36.11</v>
      </c>
      <c r="E127" s="9" t="str">
        <v>Fraud detection and financial identity</v>
      </c>
      <c r="F127" s="9" t="str">
        <v>Who earns fees and who takes risk in a digital payment?</v>
      </c>
      <c r="G127" s="9" t="str">
        <v>Inspect the concept, then explain the next connection</v>
      </c>
      <c r="H127" s="9" t="str">
        <v>T36.17</v>
      </c>
    </row>
    <row r="128" ht="58" customHeight="1">
      <c r="A128" s="10" t="str">
        <v>P16</v>
      </c>
      <c r="B128" s="10" t="str">
        <v>Payments to fintech unit economics</v>
      </c>
      <c r="C128" s="18" t="n">
        <v>6</v>
      </c>
      <c r="D128" s="16" t="str">
        <v>T36.17</v>
      </c>
      <c r="E128" s="10" t="str">
        <v>Fintech business models, unit economics, and risks</v>
      </c>
      <c r="F128" s="10" t="str">
        <v>Who earns fees and who takes risk in a digital payment?</v>
      </c>
      <c r="G128" s="10" t="str">
        <v>Inspect the concept, then explain the next connection</v>
      </c>
      <c r="H128" s="10" t="str">
        <v>T11.15</v>
      </c>
    </row>
    <row r="129" ht="58" customHeight="1">
      <c r="A129" s="9" t="str">
        <v>P16</v>
      </c>
      <c r="B129" s="9" t="str">
        <v>Payments to fintech unit economics</v>
      </c>
      <c r="C129" s="19" t="n">
        <v>7</v>
      </c>
      <c r="D129" s="17" t="str">
        <v>T11.15</v>
      </c>
      <c r="E129" s="9" t="str">
        <v>Linking business drivers to financial results</v>
      </c>
      <c r="F129" s="9" t="str">
        <v>Who earns fees and who takes risk in a digital payment?</v>
      </c>
      <c r="G129" s="9" t="str">
        <v>Explain how the concepts fit together</v>
      </c>
      <c r="H129" s="9" t="str">
        <v>Complete</v>
      </c>
    </row>
    <row r="130" ht="58" customHeight="1">
      <c r="A130" s="10" t="str">
        <v>P17</v>
      </c>
      <c r="B130" s="10" t="str">
        <v>Climate exposure to valuation</v>
      </c>
      <c r="C130" s="18" t="n">
        <v>1</v>
      </c>
      <c r="D130" s="16" t="str">
        <v>T37.03</v>
      </c>
      <c r="E130" s="10" t="str">
        <v>Climate transition risk and physical risk</v>
      </c>
      <c r="F130" s="10" t="str">
        <v>How could a carbon price affect an exposed company?</v>
      </c>
      <c r="G130" s="10" t="str">
        <v>Start from the question</v>
      </c>
      <c r="H130" s="10" t="str">
        <v>T37.05</v>
      </c>
    </row>
    <row r="131" ht="58" customHeight="1">
      <c r="A131" s="9" t="str">
        <v>P17</v>
      </c>
      <c r="B131" s="9" t="str">
        <v>Climate exposure to valuation</v>
      </c>
      <c r="C131" s="19" t="n">
        <v>2</v>
      </c>
      <c r="D131" s="17" t="str">
        <v>T37.05</v>
      </c>
      <c r="E131" s="9" t="str">
        <v>Carbon markets and carbon pricing</v>
      </c>
      <c r="F131" s="9" t="str">
        <v>How could a carbon price affect an exposed company?</v>
      </c>
      <c r="G131" s="9" t="str">
        <v>Inspect the concept, then explain the next connection</v>
      </c>
      <c r="H131" s="9" t="str">
        <v>T16.04</v>
      </c>
    </row>
    <row r="132" ht="58" customHeight="1">
      <c r="A132" s="10" t="str">
        <v>P17</v>
      </c>
      <c r="B132" s="10" t="str">
        <v>Climate exposure to valuation</v>
      </c>
      <c r="C132" s="18" t="n">
        <v>3</v>
      </c>
      <c r="D132" s="16" t="str">
        <v>T16.04</v>
      </c>
      <c r="E132" s="10" t="str">
        <v>Revenue and operating-cost schedules</v>
      </c>
      <c r="F132" s="10" t="str">
        <v>How could a carbon price affect an exposed company?</v>
      </c>
      <c r="G132" s="10" t="str">
        <v>Inspect the concept, then explain the next connection</v>
      </c>
      <c r="H132" s="10" t="str">
        <v>T16.10</v>
      </c>
    </row>
    <row r="133" ht="58" customHeight="1">
      <c r="A133" s="9" t="str">
        <v>P17</v>
      </c>
      <c r="B133" s="9" t="str">
        <v>Climate exposure to valuation</v>
      </c>
      <c r="C133" s="19" t="n">
        <v>4</v>
      </c>
      <c r="D133" s="17" t="str">
        <v>T16.10</v>
      </c>
      <c r="E133" s="9" t="str">
        <v>Scenario and sensitivity models</v>
      </c>
      <c r="F133" s="9" t="str">
        <v>How could a carbon price affect an exposed company?</v>
      </c>
      <c r="G133" s="9" t="str">
        <v>Inspect the concept, then explain the next connection</v>
      </c>
      <c r="H133" s="9" t="str">
        <v>T17.07</v>
      </c>
    </row>
    <row r="134" ht="58" customHeight="1">
      <c r="A134" s="10" t="str">
        <v>P17</v>
      </c>
      <c r="B134" s="10" t="str">
        <v>Climate exposure to valuation</v>
      </c>
      <c r="C134" s="18" t="n">
        <v>5</v>
      </c>
      <c r="D134" s="16" t="str">
        <v>T17.07</v>
      </c>
      <c r="E134" s="10" t="str">
        <v>Discounted cash-flow valuation</v>
      </c>
      <c r="F134" s="10" t="str">
        <v>How could a carbon price affect an exposed company?</v>
      </c>
      <c r="G134" s="10" t="str">
        <v>Inspect the concept, then explain the next connection</v>
      </c>
      <c r="H134" s="10" t="str">
        <v>T37.02</v>
      </c>
    </row>
    <row r="135" ht="58" customHeight="1">
      <c r="A135" s="9" t="str">
        <v>P17</v>
      </c>
      <c r="B135" s="9" t="str">
        <v>Climate exposure to valuation</v>
      </c>
      <c r="C135" s="19" t="n">
        <v>6</v>
      </c>
      <c r="D135" s="17" t="str">
        <v>T37.02</v>
      </c>
      <c r="E135" s="9" t="str">
        <v>Sustainability reporting and materiality</v>
      </c>
      <c r="F135" s="9" t="str">
        <v>How could a carbon price affect an exposed company?</v>
      </c>
      <c r="G135" s="9" t="str">
        <v>Inspect the concept, then explain the next connection</v>
      </c>
      <c r="H135" s="9" t="str">
        <v>T37.10</v>
      </c>
    </row>
    <row r="136" ht="58" customHeight="1">
      <c r="A136" s="10" t="str">
        <v>P17</v>
      </c>
      <c r="B136" s="10" t="str">
        <v>Climate exposure to valuation</v>
      </c>
      <c r="C136" s="18" t="n">
        <v>7</v>
      </c>
      <c r="D136" s="16" t="str">
        <v>T37.10</v>
      </c>
      <c r="E136" s="10" t="str">
        <v>Greenwashing and data-quality limitations</v>
      </c>
      <c r="F136" s="10" t="str">
        <v>How could a carbon price affect an exposed company?</v>
      </c>
      <c r="G136" s="10" t="str">
        <v>Explain how the concepts fit together</v>
      </c>
      <c r="H136" s="10" t="str">
        <v>Complete</v>
      </c>
    </row>
    <row r="137" ht="58" customHeight="1">
      <c r="A137" s="9" t="str">
        <v>P18</v>
      </c>
      <c r="B137" s="9" t="str">
        <v>A backtest that deserves belief</v>
      </c>
      <c r="C137" s="19" t="n">
        <v>1</v>
      </c>
      <c r="D137" s="17" t="str">
        <v>T38.01</v>
      </c>
      <c r="E137" s="9" t="str">
        <v>Financial data sources and data licensing</v>
      </c>
      <c r="F137" s="9" t="str">
        <v>Was this information actually available when the trade was made?</v>
      </c>
      <c r="G137" s="9" t="str">
        <v>Start from the question</v>
      </c>
      <c r="H137" s="9" t="str">
        <v>T38.02</v>
      </c>
    </row>
    <row r="138" ht="58" customHeight="1">
      <c r="A138" s="10" t="str">
        <v>P18</v>
      </c>
      <c r="B138" s="10" t="str">
        <v>A backtest that deserves belief</v>
      </c>
      <c r="C138" s="18" t="n">
        <v>2</v>
      </c>
      <c r="D138" s="16" t="str">
        <v>T38.02</v>
      </c>
      <c r="E138" s="10" t="str">
        <v>Data cleaning and reconciliation</v>
      </c>
      <c r="F138" s="10" t="str">
        <v>Was this information actually available when the trade was made?</v>
      </c>
      <c r="G138" s="10" t="str">
        <v>Inspect the concept, then explain the next connection</v>
      </c>
      <c r="H138" s="10" t="str">
        <v>T38.04</v>
      </c>
    </row>
    <row r="139" ht="58" customHeight="1">
      <c r="A139" s="9" t="str">
        <v>P18</v>
      </c>
      <c r="B139" s="9" t="str">
        <v>A backtest that deserves belief</v>
      </c>
      <c r="C139" s="19" t="n">
        <v>3</v>
      </c>
      <c r="D139" s="17" t="str">
        <v>T38.04</v>
      </c>
      <c r="E139" s="9" t="str">
        <v>Point-in-time data and survivorship bias</v>
      </c>
      <c r="F139" s="9" t="str">
        <v>Was this information actually available when the trade was made?</v>
      </c>
      <c r="G139" s="9" t="str">
        <v>Inspect the concept, then explain the next connection</v>
      </c>
      <c r="H139" s="9" t="str">
        <v>T38.09</v>
      </c>
    </row>
    <row r="140" ht="58" customHeight="1">
      <c r="A140" s="10" t="str">
        <v>P18</v>
      </c>
      <c r="B140" s="10" t="str">
        <v>A backtest that deserves belief</v>
      </c>
      <c r="C140" s="18" t="n">
        <v>4</v>
      </c>
      <c r="D140" s="16" t="str">
        <v>T38.09</v>
      </c>
      <c r="E140" s="10" t="str">
        <v>Factor research and backtesting</v>
      </c>
      <c r="F140" s="10" t="str">
        <v>Was this information actually available when the trade was made?</v>
      </c>
      <c r="G140" s="10" t="str">
        <v>Inspect the concept, then explain the next connection</v>
      </c>
      <c r="H140" s="10" t="str">
        <v>T38.10</v>
      </c>
    </row>
    <row r="141" ht="58" customHeight="1">
      <c r="A141" s="9" t="str">
        <v>P18</v>
      </c>
      <c r="B141" s="9" t="str">
        <v>A backtest that deserves belief</v>
      </c>
      <c r="C141" s="19" t="n">
        <v>5</v>
      </c>
      <c r="D141" s="17" t="str">
        <v>T38.10</v>
      </c>
      <c r="E141" s="9" t="str">
        <v>Look-ahead bias, overfitting, and data snooping</v>
      </c>
      <c r="F141" s="9" t="str">
        <v>Was this information actually available when the trade was made?</v>
      </c>
      <c r="G141" s="9" t="str">
        <v>Inspect the concept, then explain the next connection</v>
      </c>
      <c r="H141" s="9" t="str">
        <v>T38.11</v>
      </c>
    </row>
    <row r="142" ht="58" customHeight="1">
      <c r="A142" s="10" t="str">
        <v>P18</v>
      </c>
      <c r="B142" s="10" t="str">
        <v>A backtest that deserves belief</v>
      </c>
      <c r="C142" s="18" t="n">
        <v>6</v>
      </c>
      <c r="D142" s="16" t="str">
        <v>T38.11</v>
      </c>
      <c r="E142" s="10" t="str">
        <v>Transaction costs and realistic strategy testing</v>
      </c>
      <c r="F142" s="10" t="str">
        <v>Was this information actually available when the trade was made?</v>
      </c>
      <c r="G142" s="10" t="str">
        <v>Inspect the concept, then explain the next connection</v>
      </c>
      <c r="H142" s="10" t="str">
        <v>T38.18</v>
      </c>
    </row>
    <row r="143" ht="58" customHeight="1">
      <c r="A143" s="9" t="str">
        <v>P18</v>
      </c>
      <c r="B143" s="9" t="str">
        <v>A backtest that deserves belief</v>
      </c>
      <c r="C143" s="19" t="n">
        <v>7</v>
      </c>
      <c r="D143" s="17" t="str">
        <v>T38.18</v>
      </c>
      <c r="E143" s="9" t="str">
        <v>Reproducibility, model governance, and human verification</v>
      </c>
      <c r="F143" s="9" t="str">
        <v>Was this information actually available when the trade was made?</v>
      </c>
      <c r="G143" s="9" t="str">
        <v>Explain how the concepts fit together</v>
      </c>
      <c r="H143" s="9" t="str">
        <v>Complete</v>
      </c>
    </row>
    <row r="144" ht="58" customHeight="1">
      <c r="A144" s="10" t="str">
        <v>P19</v>
      </c>
      <c r="B144" s="10" t="str">
        <v>Personal protection and long-term wealth</v>
      </c>
      <c r="C144" s="18" t="n">
        <v>1</v>
      </c>
      <c r="D144" s="16" t="str">
        <v>T30.01</v>
      </c>
      <c r="E144" s="10" t="str">
        <v>Personal financial statements and net worth</v>
      </c>
      <c r="F144" s="10" t="str">
        <v>How do protection, debt and investment choices fit together?</v>
      </c>
      <c r="G144" s="10" t="str">
        <v>Start from the question</v>
      </c>
      <c r="H144" s="10" t="str">
        <v>T30.02</v>
      </c>
    </row>
    <row r="145" ht="58" customHeight="1">
      <c r="A145" s="9" t="str">
        <v>P19</v>
      </c>
      <c r="B145" s="9" t="str">
        <v>Personal protection and long-term wealth</v>
      </c>
      <c r="C145" s="19" t="n">
        <v>2</v>
      </c>
      <c r="D145" s="17" t="str">
        <v>T30.02</v>
      </c>
      <c r="E145" s="9" t="str">
        <v>Budgeting and expense tracking</v>
      </c>
      <c r="F145" s="9" t="str">
        <v>How do protection, debt and investment choices fit together?</v>
      </c>
      <c r="G145" s="9" t="str">
        <v>Inspect the concept, then explain the next connection</v>
      </c>
      <c r="H145" s="9" t="str">
        <v>T30.03</v>
      </c>
    </row>
    <row r="146" ht="58" customHeight="1">
      <c r="A146" s="10" t="str">
        <v>P19</v>
      </c>
      <c r="B146" s="10" t="str">
        <v>Personal protection and long-term wealth</v>
      </c>
      <c r="C146" s="18" t="n">
        <v>3</v>
      </c>
      <c r="D146" s="16" t="str">
        <v>T30.03</v>
      </c>
      <c r="E146" s="10" t="str">
        <v>Emergency funds</v>
      </c>
      <c r="F146" s="10" t="str">
        <v>How do protection, debt and investment choices fit together?</v>
      </c>
      <c r="G146" s="10" t="str">
        <v>Inspect the concept, then explain the next connection</v>
      </c>
      <c r="H146" s="10" t="str">
        <v>T30.04</v>
      </c>
    </row>
    <row r="147" ht="58" customHeight="1">
      <c r="A147" s="9" t="str">
        <v>P19</v>
      </c>
      <c r="B147" s="9" t="str">
        <v>Personal protection and long-term wealth</v>
      </c>
      <c r="C147" s="19" t="n">
        <v>4</v>
      </c>
      <c r="D147" s="17" t="str">
        <v>T30.04</v>
      </c>
      <c r="E147" s="9" t="str">
        <v>Debt management and credit scores</v>
      </c>
      <c r="F147" s="9" t="str">
        <v>How do protection, debt and investment choices fit together?</v>
      </c>
      <c r="G147" s="9" t="str">
        <v>Inspect the concept, then explain the next connection</v>
      </c>
      <c r="H147" s="9" t="str">
        <v>T30.07</v>
      </c>
    </row>
    <row r="148" ht="58" customHeight="1">
      <c r="A148" s="10" t="str">
        <v>P19</v>
      </c>
      <c r="B148" s="10" t="str">
        <v>Personal protection and long-term wealth</v>
      </c>
      <c r="C148" s="18" t="n">
        <v>5</v>
      </c>
      <c r="D148" s="16" t="str">
        <v>T30.07</v>
      </c>
      <c r="E148" s="10" t="str">
        <v>Insurance needs analysis</v>
      </c>
      <c r="F148" s="10" t="str">
        <v>How do protection, debt and investment choices fit together?</v>
      </c>
      <c r="G148" s="10" t="str">
        <v>Inspect the concept, then explain the next connection</v>
      </c>
      <c r="H148" s="10" t="str">
        <v>T30.08</v>
      </c>
    </row>
    <row r="149" ht="58" customHeight="1">
      <c r="A149" s="9" t="str">
        <v>P19</v>
      </c>
      <c r="B149" s="9" t="str">
        <v>Personal protection and long-term wealth</v>
      </c>
      <c r="C149" s="19" t="n">
        <v>6</v>
      </c>
      <c r="D149" s="17" t="str">
        <v>T30.08</v>
      </c>
      <c r="E149" s="9" t="str">
        <v>Investment selection and asset allocation</v>
      </c>
      <c r="F149" s="9" t="str">
        <v>How do protection, debt and investment choices fit together?</v>
      </c>
      <c r="G149" s="9" t="str">
        <v>Inspect the concept, then explain the next connection</v>
      </c>
      <c r="H149" s="9" t="str">
        <v>T30.15</v>
      </c>
    </row>
    <row r="150" ht="58" customHeight="1">
      <c r="A150" s="10" t="str">
        <v>P19</v>
      </c>
      <c r="B150" s="10" t="str">
        <v>Personal protection and long-term wealth</v>
      </c>
      <c r="C150" s="18" t="n">
        <v>7</v>
      </c>
      <c r="D150" s="16" t="str">
        <v>T30.15</v>
      </c>
      <c r="E150" s="10" t="str">
        <v>Estate planning, nominations, wills, and trusts</v>
      </c>
      <c r="F150" s="10" t="str">
        <v>How do protection, debt and investment choices fit together?</v>
      </c>
      <c r="G150" s="10" t="str">
        <v>Explain how the concepts fit together</v>
      </c>
      <c r="H150" s="10" t="str">
        <v>Complete</v>
      </c>
    </row>
    <row r="151" ht="58" customHeight="1">
      <c r="A151" s="9" t="str">
        <v>P20</v>
      </c>
      <c r="B151" s="9" t="str">
        <v>Insurance promises and investment assets</v>
      </c>
      <c r="C151" s="19" t="n">
        <v>1</v>
      </c>
      <c r="D151" s="17" t="str">
        <v>T29.01</v>
      </c>
      <c r="E151" s="9" t="str">
        <v>Risk pooling and the economics of insurance</v>
      </c>
      <c r="F151" s="9" t="str">
        <v>Can the insurer meet claims when they fall due?</v>
      </c>
      <c r="G151" s="9" t="str">
        <v>Start from the question</v>
      </c>
      <c r="H151" s="9" t="str">
        <v>T29.05</v>
      </c>
    </row>
    <row r="152" ht="58" customHeight="1">
      <c r="A152" s="10" t="str">
        <v>P20</v>
      </c>
      <c r="B152" s="10" t="str">
        <v>Insurance promises and investment assets</v>
      </c>
      <c r="C152" s="18" t="n">
        <v>2</v>
      </c>
      <c r="D152" s="16" t="str">
        <v>T29.05</v>
      </c>
      <c r="E152" s="10" t="str">
        <v>Underwriting and adverse selection</v>
      </c>
      <c r="F152" s="10" t="str">
        <v>Can the insurer meet claims when they fall due?</v>
      </c>
      <c r="G152" s="10" t="str">
        <v>Inspect the concept, then explain the next connection</v>
      </c>
      <c r="H152" s="10" t="str">
        <v>T29.07</v>
      </c>
    </row>
    <row r="153" ht="58" customHeight="1">
      <c r="A153" s="9" t="str">
        <v>P20</v>
      </c>
      <c r="B153" s="9" t="str">
        <v>Insurance promises and investment assets</v>
      </c>
      <c r="C153" s="19" t="n">
        <v>3</v>
      </c>
      <c r="D153" s="17" t="str">
        <v>T29.07</v>
      </c>
      <c r="E153" s="9" t="str">
        <v>Claims reserves and technical provisions</v>
      </c>
      <c r="F153" s="9" t="str">
        <v>Can the insurer meet claims when they fall due?</v>
      </c>
      <c r="G153" s="9" t="str">
        <v>Inspect the concept, then explain the next connection</v>
      </c>
      <c r="H153" s="9" t="str">
        <v>T29.09</v>
      </c>
    </row>
    <row r="154" ht="58" customHeight="1">
      <c r="A154" s="10" t="str">
        <v>P20</v>
      </c>
      <c r="B154" s="10" t="str">
        <v>Insurance promises and investment assets</v>
      </c>
      <c r="C154" s="18" t="n">
        <v>4</v>
      </c>
      <c r="D154" s="16" t="str">
        <v>T29.09</v>
      </c>
      <c r="E154" s="10" t="str">
        <v>Present value of insurance liabilities</v>
      </c>
      <c r="F154" s="10" t="str">
        <v>Can the insurer meet claims when they fall due?</v>
      </c>
      <c r="G154" s="10" t="str">
        <v>Inspect the concept, then explain the next connection</v>
      </c>
      <c r="H154" s="10" t="str">
        <v>T29.12</v>
      </c>
    </row>
    <row r="155" ht="58" customHeight="1">
      <c r="A155" s="9" t="str">
        <v>P20</v>
      </c>
      <c r="B155" s="9" t="str">
        <v>Insurance promises and investment assets</v>
      </c>
      <c r="C155" s="19" t="n">
        <v>5</v>
      </c>
      <c r="D155" s="17" t="str">
        <v>T29.12</v>
      </c>
      <c r="E155" s="9" t="str">
        <v>Insurance investment portfolios</v>
      </c>
      <c r="F155" s="9" t="str">
        <v>Can the insurer meet claims when they fall due?</v>
      </c>
      <c r="G155" s="9" t="str">
        <v>Inspect the concept, then explain the next connection</v>
      </c>
      <c r="H155" s="9" t="str">
        <v>T29.13</v>
      </c>
    </row>
    <row r="156" ht="58" customHeight="1">
      <c r="A156" s="10" t="str">
        <v>P20</v>
      </c>
      <c r="B156" s="10" t="str">
        <v>Insurance promises and investment assets</v>
      </c>
      <c r="C156" s="18" t="n">
        <v>6</v>
      </c>
      <c r="D156" s="16" t="str">
        <v>T29.13</v>
      </c>
      <c r="E156" s="10" t="str">
        <v>Asset-liability matching</v>
      </c>
      <c r="F156" s="10" t="str">
        <v>Can the insurer meet claims when they fall due?</v>
      </c>
      <c r="G156" s="10" t="str">
        <v>Inspect the concept, then explain the next connection</v>
      </c>
      <c r="H156" s="10" t="str">
        <v>T29.14</v>
      </c>
    </row>
    <row r="157" ht="58" customHeight="1">
      <c r="A157" s="9" t="str">
        <v>P20</v>
      </c>
      <c r="B157" s="9" t="str">
        <v>Insurance promises and investment assets</v>
      </c>
      <c r="C157" s="19" t="n">
        <v>7</v>
      </c>
      <c r="D157" s="17" t="str">
        <v>T29.14</v>
      </c>
      <c r="E157" s="9" t="str">
        <v>Solvency and regulatory capital</v>
      </c>
      <c r="F157" s="9" t="str">
        <v>Can the insurer meet claims when they fall due?</v>
      </c>
      <c r="G157" s="9" t="str">
        <v>Explain how the concepts fit together</v>
      </c>
      <c r="H157" s="9" t="str">
        <v>Complete</v>
      </c>
    </row>
    <row r="158" ht="58" customHeight="1">
      <c r="A158" s="10" t="str">
        <v>P21</v>
      </c>
      <c r="B158" s="10" t="str">
        <v>Compare companies without mixing claims</v>
      </c>
      <c r="C158" s="18" t="n">
        <v>1</v>
      </c>
      <c r="D158" s="16" t="str">
        <v>T17.03</v>
      </c>
      <c r="E158" s="10" t="str">
        <v>Enterprise value versus equity value</v>
      </c>
      <c r="F158" s="10" t="str">
        <v>Why is EV/EBITDA different from P/E?</v>
      </c>
      <c r="G158" s="10" t="str">
        <v>Start from the question</v>
      </c>
      <c r="H158" s="10" t="str">
        <v>T17.04</v>
      </c>
    </row>
    <row r="159" ht="58" customHeight="1">
      <c r="A159" s="9" t="str">
        <v>P21</v>
      </c>
      <c r="B159" s="9" t="str">
        <v>Compare companies without mixing claims</v>
      </c>
      <c r="C159" s="19" t="n">
        <v>2</v>
      </c>
      <c r="D159" s="17" t="str">
        <v>T17.04</v>
      </c>
      <c r="E159" s="9" t="str">
        <v>The enterprise-to-equity value bridge</v>
      </c>
      <c r="F159" s="9" t="str">
        <v>Why is EV/EBITDA different from P/E?</v>
      </c>
      <c r="G159" s="9" t="str">
        <v>Inspect the concept, then explain the next connection</v>
      </c>
      <c r="H159" s="9" t="str">
        <v>T18.01</v>
      </c>
    </row>
    <row r="160" ht="58" customHeight="1">
      <c r="A160" s="10" t="str">
        <v>P21</v>
      </c>
      <c r="B160" s="10" t="str">
        <v>Compare companies without mixing claims</v>
      </c>
      <c r="C160" s="18" t="n">
        <v>3</v>
      </c>
      <c r="D160" s="16" t="str">
        <v>T18.01</v>
      </c>
      <c r="E160" s="10" t="str">
        <v>Comparable-company selection</v>
      </c>
      <c r="F160" s="10" t="str">
        <v>Why is EV/EBITDA different from P/E?</v>
      </c>
      <c r="G160" s="10" t="str">
        <v>Inspect the concept, then explain the next connection</v>
      </c>
      <c r="H160" s="10" t="str">
        <v>T18.07</v>
      </c>
    </row>
    <row r="161" ht="58" customHeight="1">
      <c r="A161" s="9" t="str">
        <v>P21</v>
      </c>
      <c r="B161" s="9" t="str">
        <v>Compare companies without mixing claims</v>
      </c>
      <c r="C161" s="19" t="n">
        <v>4</v>
      </c>
      <c r="D161" s="17" t="str">
        <v>T18.07</v>
      </c>
      <c r="E161" s="9" t="str">
        <v>Normalising earnings and accounting differences</v>
      </c>
      <c r="F161" s="9" t="str">
        <v>Why is EV/EBITDA different from P/E?</v>
      </c>
      <c r="G161" s="9" t="str">
        <v>Inspect the concept, then explain the next connection</v>
      </c>
      <c r="H161" s="9" t="str">
        <v>T18.03</v>
      </c>
    </row>
    <row r="162" ht="58" customHeight="1">
      <c r="A162" s="10" t="str">
        <v>P21</v>
      </c>
      <c r="B162" s="10" t="str">
        <v>Compare companies without mixing claims</v>
      </c>
      <c r="C162" s="18" t="n">
        <v>5</v>
      </c>
      <c r="D162" s="16" t="str">
        <v>T18.03</v>
      </c>
      <c r="E162" s="10" t="str">
        <v>Trailing versus forward multiples</v>
      </c>
      <c r="F162" s="10" t="str">
        <v>Why is EV/EBITDA different from P/E?</v>
      </c>
      <c r="G162" s="10" t="str">
        <v>Inspect the concept, then explain the next connection</v>
      </c>
      <c r="H162" s="10" t="str">
        <v>T18.04</v>
      </c>
    </row>
    <row r="163" ht="58" customHeight="1">
      <c r="A163" s="9" t="str">
        <v>P21</v>
      </c>
      <c r="B163" s="9" t="str">
        <v>Compare companies without mixing claims</v>
      </c>
      <c r="C163" s="19" t="n">
        <v>6</v>
      </c>
      <c r="D163" s="17" t="str">
        <v>T18.04</v>
      </c>
      <c r="E163" s="9" t="str">
        <v>P/E, PEG, P/B, and P/S</v>
      </c>
      <c r="F163" s="9" t="str">
        <v>Why is EV/EBITDA different from P/E?</v>
      </c>
      <c r="G163" s="9" t="str">
        <v>Inspect the concept, then explain the next connection</v>
      </c>
      <c r="H163" s="9" t="str">
        <v>T18.05</v>
      </c>
    </row>
    <row r="164" ht="58" customHeight="1">
      <c r="A164" s="10" t="str">
        <v>P21</v>
      </c>
      <c r="B164" s="10" t="str">
        <v>Compare companies without mixing claims</v>
      </c>
      <c r="C164" s="18" t="n">
        <v>7</v>
      </c>
      <c r="D164" s="16" t="str">
        <v>T18.05</v>
      </c>
      <c r="E164" s="10" t="str">
        <v>EV/revenue, EV/EBITDA, and EV/EBIT</v>
      </c>
      <c r="F164" s="10" t="str">
        <v>Why is EV/EBITDA different from P/E?</v>
      </c>
      <c r="G164" s="10" t="str">
        <v>Inspect the concept, then explain the next connection</v>
      </c>
      <c r="H164" s="10" t="str">
        <v>T18.08</v>
      </c>
    </row>
    <row r="165" ht="58" customHeight="1">
      <c r="A165" s="9" t="str">
        <v>P21</v>
      </c>
      <c r="B165" s="9" t="str">
        <v>Compare companies without mixing claims</v>
      </c>
      <c r="C165" s="19" t="n">
        <v>8</v>
      </c>
      <c r="D165" s="17" t="str">
        <v>T18.08</v>
      </c>
      <c r="E165" s="9" t="str">
        <v>Growth, risk, margins, and returns as multiple drivers</v>
      </c>
      <c r="F165" s="9" t="str">
        <v>Why is EV/EBITDA different from P/E?</v>
      </c>
      <c r="G165" s="9" t="str">
        <v>Explain how the concepts fit together</v>
      </c>
      <c r="H165" s="9" t="str">
        <v>Complete</v>
      </c>
    </row>
    <row r="166" ht="58" customHeight="1">
      <c r="A166" s="10" t="str">
        <v>P22</v>
      </c>
      <c r="B166" s="10" t="str">
        <v>Policy decisions to company value</v>
      </c>
      <c r="C166" s="18" t="n">
        <v>1</v>
      </c>
      <c r="D166" s="16" t="str">
        <v>T32.05</v>
      </c>
      <c r="E166" s="10" t="str">
        <v>Central banks and monetary transmission</v>
      </c>
      <c r="F166" s="10" t="str">
        <v>How does a policy-rate change reach a valuation?</v>
      </c>
      <c r="G166" s="10" t="str">
        <v>Start from the question</v>
      </c>
      <c r="H166" s="10" t="str">
        <v>T32.06</v>
      </c>
    </row>
    <row r="167" ht="58" customHeight="1">
      <c r="A167" s="9" t="str">
        <v>P22</v>
      </c>
      <c r="B167" s="9" t="str">
        <v>Policy decisions to company value</v>
      </c>
      <c r="C167" s="19" t="n">
        <v>2</v>
      </c>
      <c r="D167" s="17" t="str">
        <v>T32.06</v>
      </c>
      <c r="E167" s="9" t="str">
        <v>Policy rates, reserve requirements, and open-market operations</v>
      </c>
      <c r="F167" s="9" t="str">
        <v>How does a policy-rate change reach a valuation?</v>
      </c>
      <c r="G167" s="9" t="str">
        <v>Inspect the concept, then explain the next connection</v>
      </c>
      <c r="H167" s="9" t="str">
        <v>T20.08</v>
      </c>
    </row>
    <row r="168" ht="58" customHeight="1">
      <c r="A168" s="10" t="str">
        <v>P22</v>
      </c>
      <c r="B168" s="10" t="str">
        <v>Policy decisions to company value</v>
      </c>
      <c r="C168" s="18" t="n">
        <v>3</v>
      </c>
      <c r="D168" s="16" t="str">
        <v>T20.08</v>
      </c>
      <c r="E168" s="10" t="str">
        <v>Yield curves and term-structure theories</v>
      </c>
      <c r="F168" s="10" t="str">
        <v>How does a policy-rate change reach a valuation?</v>
      </c>
      <c r="G168" s="10" t="str">
        <v>Inspect the concept, then explain the next connection</v>
      </c>
      <c r="H168" s="10" t="str">
        <v>T13.03</v>
      </c>
    </row>
    <row r="169" ht="58" customHeight="1">
      <c r="A169" s="9" t="str">
        <v>P22</v>
      </c>
      <c r="B169" s="9" t="str">
        <v>Policy decisions to company value</v>
      </c>
      <c r="C169" s="19" t="n">
        <v>4</v>
      </c>
      <c r="D169" s="17" t="str">
        <v>T13.03</v>
      </c>
      <c r="E169" s="9" t="str">
        <v>Risk-free rate and equity risk premium</v>
      </c>
      <c r="F169" s="9" t="str">
        <v>How does a policy-rate change reach a valuation?</v>
      </c>
      <c r="G169" s="9" t="str">
        <v>Inspect the concept, then explain the next connection</v>
      </c>
      <c r="H169" s="9" t="str">
        <v>T13.08</v>
      </c>
    </row>
    <row r="170" ht="58" customHeight="1">
      <c r="A170" s="10" t="str">
        <v>P22</v>
      </c>
      <c r="B170" s="10" t="str">
        <v>Policy decisions to company value</v>
      </c>
      <c r="C170" s="18" t="n">
        <v>5</v>
      </c>
      <c r="D170" s="16" t="str">
        <v>T13.08</v>
      </c>
      <c r="E170" s="10" t="str">
        <v>Cost of debt and credit spreads</v>
      </c>
      <c r="F170" s="10" t="str">
        <v>How does a policy-rate change reach a valuation?</v>
      </c>
      <c r="G170" s="10" t="str">
        <v>Inspect the concept, then explain the next connection</v>
      </c>
      <c r="H170" s="10" t="str">
        <v>A13</v>
      </c>
    </row>
    <row r="171" ht="58" customHeight="1">
      <c r="A171" s="9" t="str">
        <v>P22</v>
      </c>
      <c r="B171" s="9" t="str">
        <v>Policy decisions to company value</v>
      </c>
      <c r="C171" s="19" t="n">
        <v>6</v>
      </c>
      <c r="D171" s="17" t="str">
        <v>A13</v>
      </c>
      <c r="E171" s="9" t="str">
        <v>Weighted average cost of capital (WACC)</v>
      </c>
      <c r="F171" s="9" t="str">
        <v>How does a policy-rate change reach a valuation?</v>
      </c>
      <c r="G171" s="9" t="str">
        <v>Inspect the concept, then explain the next connection</v>
      </c>
      <c r="H171" s="9" t="str">
        <v>T17.18</v>
      </c>
    </row>
    <row r="172" ht="58" customHeight="1">
      <c r="A172" s="10" t="str">
        <v>P22</v>
      </c>
      <c r="B172" s="10" t="str">
        <v>Policy decisions to company value</v>
      </c>
      <c r="C172" s="18" t="n">
        <v>7</v>
      </c>
      <c r="D172" s="16" t="str">
        <v>T17.18</v>
      </c>
      <c r="E172" s="10" t="str">
        <v>Sensitivity analysis, scenarios, and reverse DCF</v>
      </c>
      <c r="F172" s="10" t="str">
        <v>How does a policy-rate change reach a valuation?</v>
      </c>
      <c r="G172" s="10" t="str">
        <v>Explain how the concepts fit together</v>
      </c>
      <c r="H172" s="10" t="str">
        <v>Complete</v>
      </c>
    </row>
    <row r="173" ht="58" customHeight="1">
      <c r="A173" s="9" t="str">
        <v>P23</v>
      </c>
      <c r="B173" s="9" t="str">
        <v>Catch a decision bias</v>
      </c>
      <c r="C173" s="19" t="n">
        <v>1</v>
      </c>
      <c r="D173" s="17" t="str">
        <v>T35.03</v>
      </c>
      <c r="E173" s="9" t="str">
        <v>Anchoring and framing</v>
      </c>
      <c r="F173" s="9" t="str">
        <v>Would you change your view if the same evidence were reframed?</v>
      </c>
      <c r="G173" s="9" t="str">
        <v>Start from the question</v>
      </c>
      <c r="H173" s="9" t="str">
        <v>T35.05</v>
      </c>
    </row>
    <row r="174" ht="58" customHeight="1">
      <c r="A174" s="10" t="str">
        <v>P23</v>
      </c>
      <c r="B174" s="10" t="str">
        <v>Catch a decision bias</v>
      </c>
      <c r="C174" s="18" t="n">
        <v>2</v>
      </c>
      <c r="D174" s="16" t="str">
        <v>T35.05</v>
      </c>
      <c r="E174" s="10" t="str">
        <v>Overconfidence and self-attribution</v>
      </c>
      <c r="F174" s="10" t="str">
        <v>Would you change your view if the same evidence were reframed?</v>
      </c>
      <c r="G174" s="10" t="str">
        <v>Inspect the concept, then explain the next connection</v>
      </c>
      <c r="H174" s="10" t="str">
        <v>T35.06</v>
      </c>
    </row>
    <row r="175" ht="58" customHeight="1">
      <c r="A175" s="9" t="str">
        <v>P23</v>
      </c>
      <c r="B175" s="9" t="str">
        <v>Catch a decision bias</v>
      </c>
      <c r="C175" s="19" t="n">
        <v>3</v>
      </c>
      <c r="D175" s="17" t="str">
        <v>T35.06</v>
      </c>
      <c r="E175" s="9" t="str">
        <v>Confirmation and availability biases</v>
      </c>
      <c r="F175" s="9" t="str">
        <v>Would you change your view if the same evidence were reframed?</v>
      </c>
      <c r="G175" s="9" t="str">
        <v>Inspect the concept, then explain the next connection</v>
      </c>
      <c r="H175" s="9" t="str">
        <v>T19.12</v>
      </c>
    </row>
    <row r="176" ht="58" customHeight="1">
      <c r="A176" s="10" t="str">
        <v>P23</v>
      </c>
      <c r="B176" s="10" t="str">
        <v>Catch a decision bias</v>
      </c>
      <c r="C176" s="18" t="n">
        <v>4</v>
      </c>
      <c r="D176" s="16" t="str">
        <v>T19.12</v>
      </c>
      <c r="E176" s="10" t="str">
        <v>Investment theses, catalysts, and risk factors</v>
      </c>
      <c r="F176" s="10" t="str">
        <v>Would you change your view if the same evidence were reframed?</v>
      </c>
      <c r="G176" s="10" t="str">
        <v>Inspect the concept, then explain the next connection</v>
      </c>
      <c r="H176" s="10" t="str">
        <v>T35.13</v>
      </c>
    </row>
    <row r="177" ht="58" customHeight="1">
      <c r="A177" s="9" t="str">
        <v>P23</v>
      </c>
      <c r="B177" s="9" t="str">
        <v>Catch a decision bias</v>
      </c>
      <c r="C177" s="19" t="n">
        <v>5</v>
      </c>
      <c r="D177" s="17" t="str">
        <v>T35.13</v>
      </c>
      <c r="E177" s="9" t="str">
        <v>Decision journals, checklists, and pre-mortems</v>
      </c>
      <c r="F177" s="9" t="str">
        <v>Would you change your view if the same evidence were reframed?</v>
      </c>
      <c r="G177" s="9" t="str">
        <v>Inspect the concept, then explain the next connection</v>
      </c>
      <c r="H177" s="9" t="str">
        <v>T40.18</v>
      </c>
    </row>
    <row r="178" ht="58" customHeight="1">
      <c r="A178" s="10" t="str">
        <v>P23</v>
      </c>
      <c r="B178" s="10" t="str">
        <v>Catch a decision bias</v>
      </c>
      <c r="C178" s="18" t="n">
        <v>6</v>
      </c>
      <c r="D178" s="16" t="str">
        <v>T40.18</v>
      </c>
      <c r="E178" s="10" t="str">
        <v>Comparing an investment thesis with the outcome</v>
      </c>
      <c r="F178" s="10" t="str">
        <v>Would you change your view if the same evidence were reframed?</v>
      </c>
      <c r="G178" s="10" t="str">
        <v>Explain how the concepts fit together</v>
      </c>
      <c r="H178" s="10" t="str">
        <v>Complete</v>
      </c>
    </row>
    <row r="179" ht="58" customHeight="1">
      <c r="A179" s="9" t="str">
        <v>P24</v>
      </c>
      <c r="B179" s="9" t="str">
        <v>Specialist valuation and public markets</v>
      </c>
      <c r="C179" s="19" t="n">
        <v>1</v>
      </c>
      <c r="D179" s="17" t="str">
        <v>T09.15</v>
      </c>
      <c r="E179" s="9" t="str">
        <v>Peer benchmarking and industry-specific ratios</v>
      </c>
      <c r="F179" s="9" t="str">
        <v>Which valuation convention changes with the business model?</v>
      </c>
      <c r="G179" s="9" t="str">
        <v>Start from the question</v>
      </c>
      <c r="H179" s="9" t="str">
        <v>T39.01</v>
      </c>
    </row>
    <row r="180" ht="58" customHeight="1">
      <c r="A180" s="10" t="str">
        <v>P24</v>
      </c>
      <c r="B180" s="10" t="str">
        <v>Specialist valuation and public markets</v>
      </c>
      <c r="C180" s="18" t="n">
        <v>2</v>
      </c>
      <c r="D180" s="16" t="str">
        <v>T39.01</v>
      </c>
      <c r="E180" s="10" t="str">
        <v>Banks</v>
      </c>
      <c r="F180" s="10" t="str">
        <v>Which valuation convention changes with the business model?</v>
      </c>
      <c r="G180" s="10" t="str">
        <v>Inspect the concept, then explain the next connection</v>
      </c>
      <c r="H180" s="10" t="str">
        <v>T39.03</v>
      </c>
    </row>
    <row r="181" ht="58" customHeight="1">
      <c r="A181" s="9" t="str">
        <v>P24</v>
      </c>
      <c r="B181" s="9" t="str">
        <v>Specialist valuation and public markets</v>
      </c>
      <c r="C181" s="19" t="n">
        <v>3</v>
      </c>
      <c r="D181" s="17" t="str">
        <v>T39.03</v>
      </c>
      <c r="E181" s="9" t="str">
        <v>Insurance</v>
      </c>
      <c r="F181" s="9" t="str">
        <v>Which valuation convention changes with the business model?</v>
      </c>
      <c r="G181" s="9" t="str">
        <v>Inspect the concept, then explain the next connection</v>
      </c>
      <c r="H181" s="9" t="str">
        <v>T39.06</v>
      </c>
    </row>
    <row r="182" ht="58" customHeight="1">
      <c r="A182" s="10" t="str">
        <v>P24</v>
      </c>
      <c r="B182" s="10" t="str">
        <v>Specialist valuation and public markets</v>
      </c>
      <c r="C182" s="18" t="n">
        <v>4</v>
      </c>
      <c r="D182" s="16" t="str">
        <v>T39.06</v>
      </c>
      <c r="E182" s="10" t="str">
        <v>Software, SaaS, and IT services</v>
      </c>
      <c r="F182" s="10" t="str">
        <v>Which valuation convention changes with the business model?</v>
      </c>
      <c r="G182" s="10" t="str">
        <v>Inspect the concept, then explain the next connection</v>
      </c>
      <c r="H182" s="10" t="str">
        <v>T18.15</v>
      </c>
    </row>
    <row r="183" ht="58" customHeight="1">
      <c r="A183" s="9" t="str">
        <v>P24</v>
      </c>
      <c r="B183" s="9" t="str">
        <v>Specialist valuation and public markets</v>
      </c>
      <c r="C183" s="19" t="n">
        <v>5</v>
      </c>
      <c r="D183" s="17" t="str">
        <v>T18.15</v>
      </c>
      <c r="E183" s="9" t="str">
        <v>Bank, NBFC, and insurance valuation</v>
      </c>
      <c r="F183" s="9" t="str">
        <v>Which valuation convention changes with the business model?</v>
      </c>
      <c r="G183" s="9" t="str">
        <v>Inspect the concept, then explain the next connection</v>
      </c>
      <c r="H183" s="9" t="str">
        <v>T18.13</v>
      </c>
    </row>
    <row r="184" ht="58" customHeight="1">
      <c r="A184" s="10" t="str">
        <v>P24</v>
      </c>
      <c r="B184" s="10" t="str">
        <v>Specialist valuation and public markets</v>
      </c>
      <c r="C184" s="18" t="n">
        <v>6</v>
      </c>
      <c r="D184" s="16" t="str">
        <v>T18.13</v>
      </c>
      <c r="E184" s="10" t="str">
        <v>Startup and pre-revenue valuation</v>
      </c>
      <c r="F184" s="10" t="str">
        <v>Which valuation convention changes with the business model?</v>
      </c>
      <c r="G184" s="10" t="str">
        <v>Inspect the concept, then explain the next connection</v>
      </c>
      <c r="H184" s="10" t="str">
        <v>T18.09</v>
      </c>
    </row>
    <row r="185" ht="58" customHeight="1">
      <c r="A185" s="9" t="str">
        <v>P24</v>
      </c>
      <c r="B185" s="9" t="str">
        <v>Specialist valuation and public markets</v>
      </c>
      <c r="C185" s="19" t="n">
        <v>7</v>
      </c>
      <c r="D185" s="17" t="str">
        <v>T18.09</v>
      </c>
      <c r="E185" s="9" t="str">
        <v>Sum-of-the-parts valuation</v>
      </c>
      <c r="F185" s="9" t="str">
        <v>Which valuation convention changes with the business model?</v>
      </c>
      <c r="G185" s="9" t="str">
        <v>Inspect the concept, then explain the next connection</v>
      </c>
      <c r="H185" s="9" t="str">
        <v>T19.14</v>
      </c>
    </row>
    <row r="186" ht="58" customHeight="1">
      <c r="A186" s="10" t="str">
        <v>P24</v>
      </c>
      <c r="B186" s="10" t="str">
        <v>Specialist valuation and public markets</v>
      </c>
      <c r="C186" s="18" t="n">
        <v>8</v>
      </c>
      <c r="D186" s="16" t="str">
        <v>T19.14</v>
      </c>
      <c r="E186" s="10" t="str">
        <v>Equity research reports</v>
      </c>
      <c r="F186" s="10" t="str">
        <v>Which valuation convention changes with the business model?</v>
      </c>
      <c r="G186" s="10" t="str">
        <v>Explain how the concepts fit together</v>
      </c>
      <c r="H186" s="10" t="str">
        <v>Complete</v>
      </c>
    </row>
  </sheetData>
  <hyperlinks>
    <hyperlink ref="D6" location="'Topics'!A51" display="T04.01"/>
    <hyperlink ref="D7" location="'Topics'!A90" display="T06.04"/>
    <hyperlink ref="D8" location="'Topics'!A685" display="A02"/>
    <hyperlink ref="D9" location="'Topics'!A55" display="T04.05"/>
    <hyperlink ref="D10" location="'Topics'!A688" display="A05"/>
    <hyperlink ref="D11" location="'Topics'!A689" display="A06"/>
    <hyperlink ref="D12" location="'Topics'!A694" display="A11"/>
    <hyperlink ref="D13" location="'Topics'!A696" display="A13"/>
    <hyperlink ref="D14" location="'Topics'!A702" display="A19"/>
    <hyperlink ref="D15" location="'Topics'!A698" display="A15"/>
    <hyperlink ref="D16" location="'Topics'!A699" display="A16"/>
    <hyperlink ref="D17" location="'Topics'!A67" display="T05.01"/>
    <hyperlink ref="D18" location="'Topics'!A55" display="T04.05"/>
    <hyperlink ref="D19" location="'Topics'!A685" display="A02"/>
    <hyperlink ref="D20" location="'Topics'!A222" display="T14.03"/>
    <hyperlink ref="D21" location="'Topics'!A221" display="T14.02"/>
    <hyperlink ref="D22" location="'Topics'!A109" display="T07.03"/>
    <hyperlink ref="D23" location="'Topics'!A223" display="T14.04"/>
    <hyperlink ref="D24" location="'Topics'!A234" display="T14.15"/>
    <hyperlink ref="D25" location="'Topics'!A58" display="T04.08"/>
    <hyperlink ref="D26" location="'Topics'!A690" display="A07"/>
    <hyperlink ref="D27" location="'Topics'!A93" display="T06.07"/>
    <hyperlink ref="D28" location="'Topics'!A691" display="A08"/>
    <hyperlink ref="D29" location="'Topics'!A692" display="A09"/>
    <hyperlink ref="D30" location="'Topics'!A693" display="A10"/>
    <hyperlink ref="D31" location="'Topics'!A694" display="A11"/>
    <hyperlink ref="D32" location="'Topics'!A256" display="T16.06"/>
    <hyperlink ref="D33" location="'Topics'!A269" display="T17.03"/>
    <hyperlink ref="D34" location="'Topics'!A694" display="A11"/>
    <hyperlink ref="D35" location="'Topics'!A695" display="A12"/>
    <hyperlink ref="D36" location="'Topics'!A701" display="A18"/>
    <hyperlink ref="D37" location="'Topics'!A696" display="A13"/>
    <hyperlink ref="D38" location="'Topics'!A697" display="A14"/>
    <hyperlink ref="D39" location="'Topics'!A270" display="T17.04"/>
    <hyperlink ref="D40" location="'Topics'!A186" display="T11.15"/>
    <hyperlink ref="D41" location="'Topics'!A183" display="T11.12"/>
    <hyperlink ref="D42" location="'Topics'!A277" display="T17.11"/>
    <hyperlink ref="D43" location="'Topics'!A703" display="A20"/>
    <hyperlink ref="D44" location="'Topics'!A696" display="A13"/>
    <hyperlink ref="D45" location="'Topics'!A278" display="T17.12"/>
    <hyperlink ref="D46" location="'Topics'!A284" display="T17.18"/>
    <hyperlink ref="D47" location="'Topics'!A66" display="T04.16"/>
    <hyperlink ref="D48" location="'Topics'!A56" display="T04.06"/>
    <hyperlink ref="D49" location="'Topics'!A158" display="T10.02"/>
    <hyperlink ref="D50" location="'Topics'!A162" display="T10.06"/>
    <hyperlink ref="D51" location="'Topics'!A163" display="T10.07"/>
    <hyperlink ref="D52" location="'Topics'!A167" display="T10.11"/>
    <hyperlink ref="D53" location="'Topics'!A171" display="T10.15"/>
    <hyperlink ref="D54" location="'Topics'!A186" display="T11.15"/>
    <hyperlink ref="D55" location="'Topics'!A241" display="T15.06"/>
    <hyperlink ref="D56" location="'Topics'!A254" display="T16.04"/>
    <hyperlink ref="D57" location="'Topics'!A255" display="T16.05"/>
    <hyperlink ref="D58" location="'Topics'!A256" display="T16.06"/>
    <hyperlink ref="D59" location="'Topics'!A257" display="T16.07"/>
    <hyperlink ref="D60" location="'Topics'!A253" display="T16.03"/>
    <hyperlink ref="D61" location="'Topics'!A266" display="T16.16"/>
    <hyperlink ref="D62" location="'Topics'!A36" display="T03.01"/>
    <hyperlink ref="D63" location="'Topics'!A323" display="T20.03"/>
    <hyperlink ref="D64" location="'Topics'!A325" display="T20.05"/>
    <hyperlink ref="D65" location="'Topics'!A326" display="T20.06"/>
    <hyperlink ref="D66" location="'Topics'!A330" display="T20.10"/>
    <hyperlink ref="D67" location="'Topics'!A331" display="T20.11"/>
    <hyperlink ref="D68" location="'Topics'!A336" display="T20.16"/>
    <hyperlink ref="D69" location="'Topics'!A505" display="T30.06"/>
    <hyperlink ref="D70" location="'Topics'!A357" display="T22.01"/>
    <hyperlink ref="D71" location="'Topics'!A358" display="T22.02"/>
    <hyperlink ref="D72" location="'Topics'!A360" display="T22.04"/>
    <hyperlink ref="D73" location="'Topics'!A365" display="T22.09"/>
    <hyperlink ref="D74" location="'Topics'!A368" display="T22.12"/>
    <hyperlink ref="D75" location="'Topics'!A369" display="T22.13"/>
    <hyperlink ref="D76" location="'Topics'!A371" display="T22.15"/>
    <hyperlink ref="D77" location="'Topics'!A397" display="T24.03"/>
    <hyperlink ref="D78" location="'Topics'!A398" display="T24.04"/>
    <hyperlink ref="D79" location="'Topics'!A403" display="T24.09"/>
    <hyperlink ref="D80" location="'Topics'!A406" display="T24.12"/>
    <hyperlink ref="D81" location="'Topics'!A700" display="A17"/>
    <hyperlink ref="D82" location="'Topics'!A401" display="T24.07"/>
    <hyperlink ref="D83" location="'Topics'!A402" display="T24.08"/>
    <hyperlink ref="D84" location="'Topics'!A420" display="T25.07"/>
    <hyperlink ref="D85" location="'Topics'!A450" display="T27.02"/>
    <hyperlink ref="D86" location="'Topics'!A451" display="T27.03"/>
    <hyperlink ref="D87" location="'Topics'!A453" display="T27.05"/>
    <hyperlink ref="D88" location="'Topics'!A455" display="T27.07"/>
    <hyperlink ref="D89" location="'Topics'!A454" display="T27.06"/>
    <hyperlink ref="D90" location="'Topics'!A457" display="T27.09"/>
    <hyperlink ref="D91" location="'Topics'!A458" display="T27.10"/>
    <hyperlink ref="D92" location="'Topics'!A465" display="T27.17"/>
    <hyperlink ref="D93" location="'Topics'!A430" display="T26.01"/>
    <hyperlink ref="D94" location="'Topics'!A434" display="T26.05"/>
    <hyperlink ref="D95" location="'Topics'!A435" display="T26.06"/>
    <hyperlink ref="D96" location="'Topics'!A436" display="T26.07"/>
    <hyperlink ref="D97" location="'Topics'!A437" display="T26.08"/>
    <hyperlink ref="D98" location="'Topics'!A438" display="T26.09"/>
    <hyperlink ref="D99" location="'Topics'!A439" display="T26.10"/>
    <hyperlink ref="D100" location="'Topics'!A448" display="T26.19"/>
    <hyperlink ref="D101" location="'Topics'!A475" display="T28.10"/>
    <hyperlink ref="D102" location="'Topics'!A476" display="T28.11"/>
    <hyperlink ref="D103" location="'Topics'!A478" display="T28.13"/>
    <hyperlink ref="D104" location="'Topics'!A477" display="T28.12"/>
    <hyperlink ref="D105" location="'Topics'!A480" display="T28.15"/>
    <hyperlink ref="D106" location="'Topics'!A479" display="T28.14"/>
    <hyperlink ref="D107" location="'Topics'!A481" display="T28.16"/>
    <hyperlink ref="D108" location="'Topics'!A482" display="T28.17"/>
    <hyperlink ref="D109" location="'Topics'!A550" display="T33.01"/>
    <hyperlink ref="D110" location="'Topics'!A551" display="T33.02"/>
    <hyperlink ref="D111" location="'Topics'!A556" display="T33.07"/>
    <hyperlink ref="D112" location="'Topics'!A338" display="T21.01"/>
    <hyperlink ref="D113" location="'Topics'!A557" display="T33.08"/>
    <hyperlink ref="D114" location="'Topics'!A356" display="T21.19"/>
    <hyperlink ref="D115" location="'Topics'!A355" display="T21.18"/>
    <hyperlink ref="D116" location="'Topics'!A505" display="T30.06"/>
    <hyperlink ref="D117" location="'Topics'!A46" display="T03.11"/>
    <hyperlink ref="D118" location="'Topics'!A535" display="T32.02"/>
    <hyperlink ref="D119" location="'Topics'!A44" display="T03.09"/>
    <hyperlink ref="D120" location="'Topics'!A509" display="T30.10"/>
    <hyperlink ref="D121" location="'Topics'!A510" display="T30.11"/>
    <hyperlink ref="D122" location="'Topics'!A498" display="T29.15"/>
    <hyperlink ref="D123" location="'Topics'!A595" display="T36.01"/>
    <hyperlink ref="D124" location="'Topics'!A596" display="T36.02"/>
    <hyperlink ref="D125" location="'Topics'!A597" display="T36.03"/>
    <hyperlink ref="D126" location="'Topics'!A599" display="T36.05"/>
    <hyperlink ref="D127" location="'Topics'!A605" display="T36.11"/>
    <hyperlink ref="D128" location="'Topics'!A611" display="T36.17"/>
    <hyperlink ref="D129" location="'Topics'!A186" display="T11.15"/>
    <hyperlink ref="D130" location="'Topics'!A614" display="T37.03"/>
    <hyperlink ref="D131" location="'Topics'!A616" display="T37.05"/>
    <hyperlink ref="D132" location="'Topics'!A254" display="T16.04"/>
    <hyperlink ref="D133" location="'Topics'!A260" display="T16.10"/>
    <hyperlink ref="D134" location="'Topics'!A273" display="T17.07"/>
    <hyperlink ref="D135" location="'Topics'!A613" display="T37.02"/>
    <hyperlink ref="D136" location="'Topics'!A621" display="T37.10"/>
    <hyperlink ref="D137" location="'Topics'!A626" display="T38.01"/>
    <hyperlink ref="D138" location="'Topics'!A627" display="T38.02"/>
    <hyperlink ref="D139" location="'Topics'!A629" display="T38.04"/>
    <hyperlink ref="D140" location="'Topics'!A634" display="T38.09"/>
    <hyperlink ref="D141" location="'Topics'!A635" display="T38.10"/>
    <hyperlink ref="D142" location="'Topics'!A636" display="T38.11"/>
    <hyperlink ref="D143" location="'Topics'!A643" display="T38.18"/>
    <hyperlink ref="D144" location="'Topics'!A500" display="T30.01"/>
    <hyperlink ref="D145" location="'Topics'!A501" display="T30.02"/>
    <hyperlink ref="D146" location="'Topics'!A502" display="T30.03"/>
    <hyperlink ref="D147" location="'Topics'!A503" display="T30.04"/>
    <hyperlink ref="D148" location="'Topics'!A506" display="T30.07"/>
    <hyperlink ref="D149" location="'Topics'!A507" display="T30.08"/>
    <hyperlink ref="D150" location="'Topics'!A514" display="T30.15"/>
    <hyperlink ref="D151" location="'Topics'!A484" display="T29.01"/>
    <hyperlink ref="D152" location="'Topics'!A488" display="T29.05"/>
    <hyperlink ref="D153" location="'Topics'!A490" display="T29.07"/>
    <hyperlink ref="D154" location="'Topics'!A492" display="T29.09"/>
    <hyperlink ref="D155" location="'Topics'!A495" display="T29.12"/>
    <hyperlink ref="D156" location="'Topics'!A496" display="T29.13"/>
    <hyperlink ref="D157" location="'Topics'!A497" display="T29.14"/>
    <hyperlink ref="D158" location="'Topics'!A269" display="T17.03"/>
    <hyperlink ref="D159" location="'Topics'!A270" display="T17.04"/>
    <hyperlink ref="D160" location="'Topics'!A286" display="T18.01"/>
    <hyperlink ref="D161" location="'Topics'!A292" display="T18.07"/>
    <hyperlink ref="D162" location="'Topics'!A288" display="T18.03"/>
    <hyperlink ref="D163" location="'Topics'!A289" display="T18.04"/>
    <hyperlink ref="D164" location="'Topics'!A290" display="T18.05"/>
    <hyperlink ref="D165" location="'Topics'!A293" display="T18.08"/>
    <hyperlink ref="D166" location="'Topics'!A538" display="T32.05"/>
    <hyperlink ref="D167" location="'Topics'!A539" display="T32.06"/>
    <hyperlink ref="D168" location="'Topics'!A328" display="T20.08"/>
    <hyperlink ref="D169" location="'Topics'!A204" display="T13.03"/>
    <hyperlink ref="D170" location="'Topics'!A209" display="T13.08"/>
    <hyperlink ref="D171" location="'Topics'!A696" display="A13"/>
    <hyperlink ref="D172" location="'Topics'!A284" display="T17.18"/>
    <hyperlink ref="D173" location="'Topics'!A583" display="T35.03"/>
    <hyperlink ref="D174" location="'Topics'!A585" display="T35.05"/>
    <hyperlink ref="D175" location="'Topics'!A586" display="T35.06"/>
    <hyperlink ref="D176" location="'Topics'!A315" display="T19.12"/>
    <hyperlink ref="D177" location="'Topics'!A593" display="T35.13"/>
    <hyperlink ref="D178" location="'Topics'!A683" display="T40.18"/>
    <hyperlink ref="D179" location="'Topics'!A153" display="T09.15"/>
    <hyperlink ref="D180" location="'Topics'!A644" display="T39.01"/>
    <hyperlink ref="D181" location="'Topics'!A646" display="T39.03"/>
    <hyperlink ref="D182" location="'Topics'!A649" display="T39.06"/>
    <hyperlink ref="D183" location="'Topics'!A300" display="T18.15"/>
    <hyperlink ref="D184" location="'Topics'!A298" display="T18.13"/>
    <hyperlink ref="D185" location="'Topics'!A294" display="T18.09"/>
    <hyperlink ref="D186" location="'Topics'!A317" display="T19.14"/>
  </hyperlinks>
  <pageMargins left="0.7" right="0.7" top="0.75" bottom="0.75" header="0.3" footer="0.3"/>
  <tableParts count="1">
    <tablePart r:id="R4b4e9d5c3f5b45a6"/>
  </tableParts>
</worksheet>
</file>

<file path=xl/worksheets/sheet5.xml><?xml version="1.0" encoding="utf-8"?>
<x:worksheet xmlns:x="http://schemas.openxmlformats.org/spreadsheetml/2006/main">
  <x:sheetPr>
    <x:tabColor rgb="FF355F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4399995803833" hidden="0" customWidth="1"/>
    <x:col min="2" max="2" width="42.779998779296875" hidden="0" customWidth="1"/>
    <x:col min="3" max="3" width="12.220000267028809" hidden="0" customWidth="1"/>
    <x:col min="4" max="4" width="12.779999732971191" hidden="0" customWidth="1"/>
    <x:col min="5" max="5" width="12.220000267028809" hidden="0" customWidth="1"/>
    <x:col min="6" max="6" width="38.88999938964844" hidden="0" customWidth="1"/>
    <x:col min="7" max="7" width="52.220001220703125" hidden="0" customWidth="1"/>
    <x:col min="8" max="8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All 40 finance areas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Topic counts update from the topic master. Preparation is a suggested entry point, not a restriction.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Area ID</x:v>
      </x:c>
      <x:c r="B5" s="8" t="str">
        <x:v>Finance area</x:v>
      </x:c>
      <x:c r="C5" s="8" t="str">
        <x:v>Original units</x:v>
      </x:c>
      <x:c r="D5" s="8" t="str">
        <x:v>Atomic anchors</x:v>
      </x:c>
      <x:c r="E5" s="8" t="str">
        <x:v>Suggested entry</x:v>
      </x:c>
      <x:c r="F5" s="8" t="str">
        <x:v>Entry concept</x:v>
      </x:c>
      <x:c r="G5" s="8" t="str">
        <x:v>Connects to areas</x:v>
      </x:c>
      <x:c r="H5" s="8" t="str">
        <x:v>Purpose</x:v>
      </x:c>
    </x:row>
    <x:row r="6" ht="58" customHeight="1">
      <x:c r="A6" s="10" t="str">
        <x:v>D01</x:v>
      </x:c>
      <x:c r="B6" s="10" t="str">
        <x:v>Foundations of finance</x:v>
      </x:c>
      <x:c r="C6" s="10" t="n">
        <x:f>COUNTIFS('Inventory'!$B$6:$B$683,A6)</x:f>
        <x:v>15</x:v>
      </x:c>
      <x:c r="D6" s="10" t="n">
        <x:f>COUNTIFS('Topics'!$B$6:$B$703,A6)-C6</x:f>
        <x:v>0</x:v>
      </x:c>
      <x:c r="E6" s="10" t="str">
        <x:v>T01.01</x:v>
      </x:c>
      <x:c r="F6" s="10" t="str">
        <x:v>What finance is: allocating capital across time and uncertainty</x:v>
      </x:c>
      <x:c r="G6" s="10" t="str">
        <x:v>D02, D04, D13, D19, D21, D24, D29, D30, D32, D34, D35, D36, D37</x:v>
      </x:c>
      <x:c r="H6" s="10" t="str">
        <x:v>identify who supplies capital, who uses it, and how value and risk move</x:v>
      </x:c>
    </x:row>
    <x:row r="7" ht="58" customHeight="1">
      <x:c r="A7" s="9" t="str">
        <x:v>D02</x:v>
      </x:c>
      <x:c r="B7" s="9" t="str">
        <x:v>Mathematics and quantitative foundations</x:v>
      </x:c>
      <x:c r="C7" s="9" t="n">
        <x:f>COUNTIFS('Inventory'!$B$6:$B$683,A7)</x:f>
        <x:v>15</x:v>
      </x:c>
      <x:c r="D7" s="9" t="n">
        <x:f>COUNTIFS('Topics'!$B$6:$B$703,A7)-C7</x:f>
        <x:v>0</x:v>
      </x:c>
      <x:c r="E7" s="9" t="str">
        <x:v>T01.10</x:v>
      </x:c>
      <x:c r="F7" s="9" t="str">
        <x:v>Risk, return, opportunity cost, and required return</x:v>
      </x:c>
      <x:c r="G7" s="9" t="str">
        <x:v>D01, D03, D09, D13, D15, D21, D22, D24, D25, D29, D38</x:v>
      </x:c>
      <x:c r="H7" s="9" t="str">
        <x:v>choose the right mathematical or statistical tool and interpret its result</x:v>
      </x:c>
    </x:row>
    <x:row r="8" ht="58" customHeight="1">
      <x:c r="A8" s="10" t="str">
        <x:v>D03</x:v>
      </x:c>
      <x:c r="B8" s="10" t="str">
        <x:v>Time value of money</x:v>
      </x:c>
      <x:c r="C8" s="10" t="n">
        <x:f>COUNTIFS('Inventory'!$B$6:$B$683,A8)</x:f>
        <x:v>15</x:v>
      </x:c>
      <x:c r="D8" s="10" t="n">
        <x:f>COUNTIFS('Topics'!$B$6:$B$703,A8)-C8</x:f>
        <x:v>0</x:v>
      </x:c>
      <x:c r="E8" s="10" t="str">
        <x:v>T02.03</x:v>
      </x:c>
      <x:c r="F8" s="10" t="str">
        <x:v>Simple interest and compound interest</x:v>
      </x:c>
      <x:c r="G8" s="10" t="str">
        <x:v>D02, D12, D17, D20, D23, D28, D29, D30, D31, D32, D33</x:v>
      </x:c>
      <x:c r="H8" s="10" t="str">
        <x:v>compare amounts received or paid at different times on a consistent basis</x:v>
      </x:c>
    </x:row>
    <x:row r="9" ht="58" customHeight="1">
      <x:c r="A9" s="9" t="str">
        <x:v>D04</x:v>
      </x:c>
      <x:c r="B9" s="9" t="str">
        <x:v>Accounting foundations</x:v>
      </x:c>
      <x:c r="C9" s="9" t="n">
        <x:f>COUNTIFS('Inventory'!$B$6:$B$683,A9)</x:f>
        <x:v>16</x:v>
      </x:c>
      <x:c r="D9" s="9" t="n">
        <x:f>COUNTIFS('Topics'!$B$6:$B$703,A9)-C9</x:f>
        <x:v>1</x:v>
      </x:c>
      <x:c r="E9" s="9" t="str">
        <x:v>T01.05</x:v>
      </x:c>
      <x:c r="F9" s="9" t="str">
        <x:v>Income, expenses, assets, liabilities, equity, and wealth</x:v>
      </x:c>
      <x:c r="G9" s="9" t="str">
        <x:v>D01, D05, D06, D07, D08, D10, D30, D31, D34, D37, D38, D40</x:v>
      </x:c>
      <x:c r="H9" s="9" t="str">
        <x:v>recognise and measure transactions before interpreting financial statements</x:v>
      </x:c>
    </x:row>
    <x:row r="10" ht="58" customHeight="1">
      <x:c r="A10" s="10" t="str">
        <x:v>D05</x:v>
      </x:c>
      <x:c r="B10" s="10" t="str">
        <x:v>Income statement: every major component</x:v>
      </x:c>
      <x:c r="C10" s="10" t="n">
        <x:f>COUNTIFS('Inventory'!$B$6:$B$683,A10)</x:f>
        <x:v>20</x:v>
      </x:c>
      <x:c r="D10" s="10" t="n">
        <x:f>COUNTIFS('Topics'!$B$6:$B$703,A10)-C10</x:f>
        <x:v>2</x:v>
      </x:c>
      <x:c r="E10" s="10" t="str">
        <x:v>T04.06</x:v>
      </x:c>
      <x:c r="F10" s="10" t="str">
        <x:v>Revenue recognition and expense recognition</x:v>
      </x:c>
      <x:c r="G10" s="10" t="str">
        <x:v>D04, D06, D08, D11, D16, D17, D18, D24, D26, D39</x:v>
      </x:c>
      <x:c r="H10" s="10" t="str">
        <x:v>trace revenue and expenses into the profit measures used in analysis</x:v>
      </x:c>
    </x:row>
    <x:row r="11" ht="58" customHeight="1">
      <x:c r="A11" s="9" t="str">
        <x:v>D06</x:v>
      </x:c>
      <x:c r="B11" s="9" t="str">
        <x:v>Balance sheet: every major component</x:v>
      </x:c>
      <x:c r="C11" s="9" t="n">
        <x:f>COUNTIFS('Inventory'!$B$6:$B$683,A11)</x:f>
        <x:v>20</x:v>
      </x:c>
      <x:c r="D11" s="9" t="n">
        <x:f>COUNTIFS('Topics'!$B$6:$B$703,A11)-C11</x:f>
        <x:v>3</x:v>
      </x:c>
      <x:c r="E11" s="9" t="str">
        <x:v>T04.01</x:v>
      </x:c>
      <x:c r="F11" s="9" t="str">
        <x:v>The accounting equation</x:v>
      </x:c>
      <x:c r="G11" s="9" t="str">
        <x:v>D04, D05, D08, D10, D14, D17, D18, D24, D39</x:v>
      </x:c>
      <x:c r="H11" s="9" t="str">
        <x:v>explain how assets are funded and how balances change through transactions</x:v>
      </x:c>
    </x:row>
    <x:row r="12" ht="58" customHeight="1">
      <x:c r="A12" s="10" t="str">
        <x:v>D07</x:v>
      </x:c>
      <x:c r="B12" s="10" t="str">
        <x:v>Cash-flow statement and three-statement connections</x:v>
      </x:c>
      <x:c r="C12" s="10" t="n">
        <x:f>COUNTIFS('Inventory'!$B$6:$B$683,A12)</x:f>
        <x:v>16</x:v>
      </x:c>
      <x:c r="D12" s="10" t="n">
        <x:f>COUNTIFS('Topics'!$B$6:$B$703,A12)-C12</x:f>
        <x:v>3</x:v>
      </x:c>
      <x:c r="E12" s="10" t="str">
        <x:v>T04.05</x:v>
      </x:c>
      <x:c r="F12" s="10" t="str">
        <x:v>Cash accounting versus accrual accounting</x:v>
      </x:c>
      <x:c r="G12" s="10" t="str">
        <x:v>D04, D10, D14, D16, D17, D39, D40</x:v>
      </x:c>
      <x:c r="H12" s="10" t="str">
        <x:v>reconcile accounting performance with actual cash movement</x:v>
      </x:c>
    </x:row>
    <x:row r="13" ht="58" customHeight="1">
      <x:c r="A13" s="9" t="str">
        <x:v>D08</x:v>
      </x:c>
      <x:c r="B13" s="9" t="str">
        <x:v>Advanced accounting and reporting</x:v>
      </x:c>
      <x:c r="C13" s="9" t="n">
        <x:f>COUNTIFS('Inventory'!$B$6:$B$683,A13)</x:f>
        <x:v>16</x:v>
      </x:c>
      <x:c r="D13" s="9" t="n">
        <x:f>COUNTIFS('Topics'!$B$6:$B$703,A13)-C13</x:f>
        <x:v>0</x:v>
      </x:c>
      <x:c r="E13" s="9" t="str">
        <x:v>T04.15</x:v>
      </x:c>
      <x:c r="F13" s="9" t="str">
        <x:v>Financial reporting frameworks: Ind AS, IFRS, and US GAAP</x:v>
      </x:c>
      <x:c r="G13" s="9" t="str">
        <x:v>D04, D05, D06, D17, D21, D24, D26, D27, D33</x:v>
      </x:c>
      <x:c r="H13" s="9" t="str">
        <x:v>understand recognition and measurement choices that change reported numbers</x:v>
      </x:c>
    </x:row>
    <x:row r="14" ht="58" customHeight="1">
      <x:c r="A14" s="10" t="str">
        <x:v>D09</x:v>
      </x:c>
      <x:c r="B14" s="10" t="str">
        <x:v>Financial statement analysis</x:v>
      </x:c>
      <x:c r="C14" s="10" t="n">
        <x:f>COUNTIFS('Inventory'!$B$6:$B$683,A14)</x:f>
        <x:v>18</x:v>
      </x:c>
      <x:c r="D14" s="10" t="n">
        <x:f>COUNTIFS('Topics'!$B$6:$B$703,A14)-C14</x:f>
        <x:v>1</x:v>
      </x:c>
      <x:c r="E14" s="10" t="str">
        <x:v>T02.02</x:v>
      </x:c>
      <x:c r="F14" s="10" t="str">
        <x:v>Ratios, proportions, weighted averages, and index numbers</x:v>
      </x:c>
      <x:c r="G14" s="10" t="str">
        <x:v>D02, D11, D12, D13, D14, D17, D18, D19, D24, D29, D39</x:v>
      </x:c>
      <x:c r="H14" s="10" t="str">
        <x:v>interpret performance using consistent denominators, periods and peer context</x:v>
      </x:c>
    </x:row>
    <x:row r="15" ht="58" customHeight="1">
      <x:c r="A15" s="9" t="str">
        <x:v>D10</x:v>
      </x:c>
      <x:c r="B15" s="9" t="str">
        <x:v>Earnings quality, forensic accounting, and fraud</x:v>
      </x:c>
      <x:c r="C15" s="9" t="n">
        <x:f>COUNTIFS('Inventory'!$B$6:$B$683,A15)</x:f>
        <x:v>15</x:v>
      </x:c>
      <x:c r="D15" s="9" t="n">
        <x:f>COUNTIFS('Topics'!$B$6:$B$703,A15)-C15</x:f>
        <x:v>0</x:v>
      </x:c>
      <x:c r="E15" s="9" t="str">
        <x:v>T04.05</x:v>
      </x:c>
      <x:c r="F15" s="9" t="str">
        <x:v>Cash accounting versus accrual accounting</x:v>
      </x:c>
      <x:c r="G15" s="9" t="str">
        <x:v>D04, D06, D07, D26, D40</x:v>
      </x:c>
      <x:c r="H15" s="9" t="str">
        <x:v>test whether reported performance is supported by cash, disclosures and controls</x:v>
      </x:c>
    </x:row>
    <x:row r="16" ht="58" customHeight="1">
      <x:c r="A16" s="10" t="str">
        <x:v>D11</x:v>
      </x:c>
      <x:c r="B16" s="10" t="str">
        <x:v>Business economics and unit economics</x:v>
      </x:c>
      <x:c r="C16" s="10" t="n">
        <x:f>COUNTIFS('Inventory'!$B$6:$B$683,A16)</x:f>
        <x:v>15</x:v>
      </x:c>
      <x:c r="D16" s="10" t="n">
        <x:f>COUNTIFS('Topics'!$B$6:$B$703,A16)-C16</x:f>
        <x:v>0</x:v>
      </x:c>
      <x:c r="E16" s="10" t="str">
        <x:v>T05.06</x:v>
      </x:c>
      <x:c r="F16" s="10" t="str">
        <x:v>Gross profit and gross margin</x:v>
      </x:c>
      <x:c r="G16" s="10" t="str">
        <x:v>D05, D09, D15, D16, D17, D27, D36, D39</x:v>
      </x:c>
      <x:c r="H16" s="10" t="str">
        <x:v>connect operating choices and customer economics to financial performance</x:v>
      </x:c>
    </x:row>
    <x:row r="17" ht="58" customHeight="1">
      <x:c r="A17" s="9" t="str">
        <x:v>D12</x:v>
      </x:c>
      <x:c r="B17" s="9" t="str">
        <x:v>Corporate finance and capital allocation</x:v>
      </x:c>
      <x:c r="C17" s="9" t="n">
        <x:f>COUNTIFS('Inventory'!$B$6:$B$683,A17)</x:f>
        <x:v>15</x:v>
      </x:c>
      <x:c r="D17" s="9" t="n">
        <x:f>COUNTIFS('Topics'!$B$6:$B$703,A17)-C17</x:f>
        <x:v>0</x:v>
      </x:c>
      <x:c r="E17" s="9" t="str">
        <x:v>T03.12</x:v>
      </x:c>
      <x:c r="F17" s="9" t="str">
        <x:v>Net present value</x:v>
      </x:c>
      <x:c r="G17" s="9" t="str">
        <x:v>D03, D09, D19, D21, D26, D28, D33, D35, D40</x:v>
      </x:c>
      <x:c r="H17" s="9" t="str">
        <x:v>compare uses of capital using incremental cash flows and risk</x:v>
      </x:c>
    </x:row>
    <x:row r="18" ht="58" customHeight="1">
      <x:c r="A18" s="10" t="str">
        <x:v>D13</x:v>
      </x:c>
      <x:c r="B18" s="10" t="str">
        <x:v>Cost of capital and capital structure</x:v>
      </x:c>
      <x:c r="C18" s="10" t="n">
        <x:f>COUNTIFS('Inventory'!$B$6:$B$683,A18)</x:f>
        <x:v>18</x:v>
      </x:c>
      <x:c r="D18" s="10" t="n">
        <x:f>COUNTIFS('Topics'!$B$6:$B$703,A18)-C18</x:f>
        <x:v>2</x:v>
      </x:c>
      <x:c r="E18" s="10" t="str">
        <x:v>T01.10</x:v>
      </x:c>
      <x:c r="F18" s="10" t="str">
        <x:v>Risk, return, opportunity cost, and required return</x:v>
      </x:c>
      <x:c r="G18" s="10" t="str">
        <x:v>D01, D02, D09, D17, D22, D24, D26, D31, D32, D33, D40</x:v>
      </x:c>
      <x:c r="H18" s="10" t="str">
        <x:v>match financing risk, capital claims and required returns</x:v>
      </x:c>
    </x:row>
    <x:row r="19" ht="58" customHeight="1">
      <x:c r="A19" s="9" t="str">
        <x:v>D14</x:v>
      </x:c>
      <x:c r="B19" s="9" t="str">
        <x:v>Working capital and treasury management</x:v>
      </x:c>
      <x:c r="C19" s="9" t="n">
        <x:f>COUNTIFS('Inventory'!$B$6:$B$683,A19)</x:f>
        <x:v>16</x:v>
      </x:c>
      <x:c r="D19" s="9" t="n">
        <x:f>COUNTIFS('Topics'!$B$6:$B$703,A19)-C19</x:f>
        <x:v>1</x:v>
      </x:c>
      <x:c r="E19" s="9" t="str">
        <x:v>T06.01</x:v>
      </x:c>
      <x:c r="F19" s="9" t="str">
        <x:v>Current versus non-current classification</x:v>
      </x:c>
      <x:c r="G19" s="9" t="str">
        <x:v>D06, D07, D09, D16, D17, D21, D26, D27, D30, D31, D33, D39</x:v>
      </x:c>
      <x:c r="H19" s="9" t="str">
        <x:v>manage the timing gap between cash receipts, payments and funding</x:v>
      </x:c>
    </x:row>
    <x:row r="20" ht="58" customHeight="1">
      <x:c r="A20" s="10" t="str">
        <x:v>D15</x:v>
      </x:c>
      <x:c r="B20" s="10" t="str">
        <x:v>Financial planning, budgeting, and management accounting</x:v>
      </x:c>
      <x:c r="C20" s="10" t="n">
        <x:f>COUNTIFS('Inventory'!$B$6:$B$683,A20)</x:f>
        <x:v>15</x:v>
      </x:c>
      <x:c r="D20" s="10" t="n">
        <x:f>COUNTIFS('Topics'!$B$6:$B$703,A20)-C20</x:f>
        <x:v>0</x:v>
      </x:c>
      <x:c r="E20" s="10" t="str">
        <x:v>T11.02</x:v>
      </x:c>
      <x:c r="F20" s="10" t="str">
        <x:v>Fixed, variable, and semi-variable costs</x:v>
      </x:c>
      <x:c r="G20" s="10" t="str">
        <x:v>D02, D11, D16, D31, D39</x:v>
      </x:c>
      <x:c r="H20" s="10" t="str">
        <x:v>translate operating assumptions into plans, decisions and explanations of variance</x:v>
      </x:c>
    </x:row>
    <x:row r="21" ht="58" customHeight="1">
      <x:c r="A21" s="9" t="str">
        <x:v>D16</x:v>
      </x:c>
      <x:c r="B21" s="9" t="str">
        <x:v>Financial modelling</x:v>
      </x:c>
      <x:c r="C21" s="9" t="n">
        <x:f>COUNTIFS('Inventory'!$B$6:$B$683,A21)</x:f>
        <x:v>16</x:v>
      </x:c>
      <x:c r="D21" s="9" t="n">
        <x:f>COUNTIFS('Topics'!$B$6:$B$703,A21)-C21</x:f>
        <x:v>0</x:v>
      </x:c>
      <x:c r="E21" s="9" t="str">
        <x:v>T07.14</x:v>
      </x:c>
      <x:c r="F21" s="9" t="str">
        <x:v>How transactions move through all three statements</x:v>
      </x:c>
      <x:c r="G21" s="9" t="str">
        <x:v>D05, D07, D11, D14, D15, D17, D26, D28, D31, D32, D37, D38, D40</x:v>
      </x:c>
      <x:c r="H21" s="9" t="str">
        <x:v>connect schedules into an internally consistent and auditable model</x:v>
      </x:c>
    </x:row>
    <x:row r="22" ht="58" customHeight="1">
      <x:c r="A22" s="10" t="str">
        <x:v>D17</x:v>
      </x:c>
      <x:c r="B22" s="10" t="str">
        <x:v>Valuation foundations and discounted cash flow</x:v>
      </x:c>
      <x:c r="C22" s="10" t="n">
        <x:f>COUNTIFS('Inventory'!$B$6:$B$683,A22)</x:f>
        <x:v>19</x:v>
      </x:c>
      <x:c r="D22" s="10" t="n">
        <x:f>COUNTIFS('Topics'!$B$6:$B$703,A22)-C22</x:f>
        <x:v>6</x:v>
      </x:c>
      <x:c r="E22" s="10" t="str">
        <x:v>T03.01</x:v>
      </x:c>
      <x:c r="F22" s="10" t="str">
        <x:v>Present value and future value</x:v>
      </x:c>
      <x:c r="G22" s="10" t="str">
        <x:v>D03, D05, D06, D07, D08, D09, D11, D13, D14, D16, D18, D19, D26, D27, D31, D35, D40</x:v>
      </x:c>
      <x:c r="H22" s="10" t="str">
        <x:v>match cash flows, reinvestment, discount rates and investor claims</x:v>
      </x:c>
    </x:row>
    <x:row r="23" ht="58" customHeight="1">
      <x:c r="A23" s="9" t="str">
        <x:v>D18</x:v>
      </x:c>
      <x:c r="B23" s="9" t="str">
        <x:v>Relative valuation and specialist valuation</x:v>
      </x:c>
      <x:c r="C23" s="9" t="n">
        <x:f>COUNTIFS('Inventory'!$B$6:$B$683,A23)</x:f>
        <x:v>18</x:v>
      </x:c>
      <x:c r="D23" s="9" t="n">
        <x:f>COUNTIFS('Topics'!$B$6:$B$703,A23)-C23</x:f>
        <x:v>0</x:v>
      </x:c>
      <x:c r="E23" s="9" t="str">
        <x:v>T17.03</x:v>
      </x:c>
      <x:c r="F23" s="9" t="str">
        <x:v>Enterprise value versus equity value</x:v>
      </x:c>
      <x:c r="G23" s="9" t="str">
        <x:v>D05, D06, D09, D17, D19, D26, D29, D39</x:v>
      </x:c>
      <x:c r="H23" s="9" t="str">
        <x:v>compare value using economically comparable businesses and consistent measures</x:v>
      </x:c>
    </x:row>
    <x:row r="24" ht="58" customHeight="1">
      <x:c r="A24" s="10" t="str">
        <x:v>D19</x:v>
      </x:c>
      <x:c r="B24" s="10" t="str">
        <x:v>Equity markets and equity research</x:v>
      </x:c>
      <x:c r="C24" s="10" t="n">
        <x:f>COUNTIFS('Inventory'!$B$6:$B$683,A24)</x:f>
        <x:v>17</x:v>
      </x:c>
      <x:c r="D24" s="10" t="n">
        <x:f>COUNTIFS('Topics'!$B$6:$B$703,A24)-C24</x:f>
        <x:v>0</x:v>
      </x:c>
      <x:c r="E24" s="10" t="str">
        <x:v>T01.04</x:v>
      </x:c>
      <x:c r="F24" s="10" t="str">
        <x:v>Real assets versus financial assets</x:v>
      </x:c>
      <x:c r="G24" s="10" t="str">
        <x:v>D01, D09, D12, D17, D18, D22, D25, D27, D34, D35, D38, D40</x:v>
      </x:c>
      <x:c r="H24" s="10" t="str">
        <x:v>translate business analysis into an investment thesis and understand trading mechanics</x:v>
      </x:c>
    </x:row>
    <x:row r="25" ht="58" customHeight="1">
      <x:c r="A25" s="9" t="str">
        <x:v>D20</x:v>
      </x:c>
      <x:c r="B25" s="9" t="str">
        <x:v>Fixed income and debt markets</x:v>
      </x:c>
      <x:c r="C25" s="9" t="n">
        <x:f>COUNTIFS('Inventory'!$B$6:$B$683,A25)</x:f>
        <x:v>17</x:v>
      </x:c>
      <x:c r="D25" s="9" t="n">
        <x:f>COUNTIFS('Topics'!$B$6:$B$703,A25)-C25</x:f>
        <x:v>0</x:v>
      </x:c>
      <x:c r="E25" s="9" t="str">
        <x:v>T03.01</x:v>
      </x:c>
      <x:c r="F25" s="9" t="str">
        <x:v>Present value and future value</x:v>
      </x:c>
      <x:c r="G25" s="9" t="str">
        <x:v>D03, D21, D22, D24, D32, D37</x:v>
      </x:c>
      <x:c r="H25" s="9" t="str">
        <x:v>relate debt cash flows, yields, interest-rate sensitivity and credit quality</x:v>
      </x:c>
    </x:row>
    <x:row r="26" ht="58" customHeight="1">
      <x:c r="A26" s="10" t="str">
        <x:v>D21</x:v>
      </x:c>
      <x:c r="B26" s="10" t="str">
        <x:v>Derivatives and structured products</x:v>
      </x:c>
      <x:c r="C26" s="10" t="n">
        <x:f>COUNTIFS('Inventory'!$B$6:$B$683,A26)</x:f>
        <x:v>19</x:v>
      </x:c>
      <x:c r="D26" s="10" t="n">
        <x:f>COUNTIFS('Topics'!$B$6:$B$703,A26)-C26</x:f>
        <x:v>0</x:v>
      </x:c>
      <x:c r="E26" s="10" t="str">
        <x:v>T01.15</x:v>
      </x:c>
      <x:c r="F26" s="10" t="str">
        <x:v>Arbitrage, the law of one price, and market efficiency</x:v>
      </x:c>
      <x:c r="G26" s="10" t="str">
        <x:v>D01, D02, D08, D12, D14, D20, D24, D25, D27, D33, D34, D36, D38</x:v>
      </x:c>
      <x:c r="H26" s="10" t="str">
        <x:v>understand contingent payoffs, pricing inputs and hedge limitations</x:v>
      </x:c>
    </x:row>
    <x:row r="27" ht="58" customHeight="1">
      <x:c r="A27" s="9" t="str">
        <x:v>D22</x:v>
      </x:c>
      <x:c r="B27" s="9" t="str">
        <x:v>Portfolio management and asset allocation</x:v>
      </x:c>
      <x:c r="C27" s="9" t="n">
        <x:f>COUNTIFS('Inventory'!$B$6:$B$683,A27)</x:f>
        <x:v>19</x:v>
      </x:c>
      <x:c r="D27" s="9" t="n">
        <x:f>COUNTIFS('Topics'!$B$6:$B$703,A27)-C27</x:f>
        <x:v>0</x:v>
      </x:c>
      <x:c r="E27" s="9" t="str">
        <x:v>T02.09</x:v>
      </x:c>
      <x:c r="F27" s="9" t="str">
        <x:v>Correlation and its limitations</x:v>
      </x:c>
      <x:c r="G27" s="9" t="str">
        <x:v>D02, D13, D19, D20, D23, D25, D29, D30, D33, D35, D36, D37, D38, D40</x:v>
      </x:c>
      <x:c r="H27" s="9" t="str">
        <x:v>combine assets to meet goals and evaluate risk-adjusted performance</x:v>
      </x:c>
    </x:row>
    <x:row r="28" ht="58" customHeight="1">
      <x:c r="A28" s="10" t="str">
        <x:v>D23</x:v>
      </x:c>
      <x:c r="B28" s="10" t="str">
        <x:v>Investment vehicles and alternative assets</x:v>
      </x:c>
      <x:c r="C28" s="10" t="n">
        <x:f>COUNTIFS('Inventory'!$B$6:$B$683,A28)</x:f>
        <x:v>19</x:v>
      </x:c>
      <x:c r="D28" s="10" t="n">
        <x:f>COUNTIFS('Topics'!$B$6:$B$703,A28)-C28</x:f>
        <x:v>0</x:v>
      </x:c>
      <x:c r="E28" s="10" t="str">
        <x:v>T22.09</x:v>
      </x:c>
      <x:c r="F28" s="10" t="str">
        <x:v>Strategic and tactical asset allocation</x:v>
      </x:c>
      <x:c r="G28" s="10" t="str">
        <x:v>D03, D22, D24, D26, D27, D28, D30, D39</x:v>
      </x:c>
      <x:c r="H28" s="10" t="str">
        <x:v>understand asset exposure, fund structures, fees, liquidity and measured performance</x:v>
      </x:c>
    </x:row>
    <x:row r="29" ht="58" customHeight="1">
      <x:c r="A29" s="9" t="str">
        <x:v>D24</x:v>
      </x:c>
      <x:c r="B29" s="9" t="str">
        <x:v>Banking and credit analysis</x:v>
      </x:c>
      <x:c r="C29" s="9" t="n">
        <x:f>COUNTIFS('Inventory'!$B$6:$B$683,A29)</x:f>
        <x:v>19</x:v>
      </x:c>
      <x:c r="D29" s="9" t="n">
        <x:f>COUNTIFS('Topics'!$B$6:$B$703,A29)-C29</x:f>
        <x:v>1</x:v>
      </x:c>
      <x:c r="E29" s="9" t="str">
        <x:v>T01.03</x:v>
      </x:c>
      <x:c r="F29" s="9" t="str">
        <x:v>The financial system: households, businesses, governments, and intermediaries</x:v>
      </x:c>
      <x:c r="G29" s="9" t="str">
        <x:v>D01, D02, D05, D06, D08, D09, D13, D20, D21, D23, D25, D26, D27, D28, D30, D34, D36, D37, D38, D39, D40</x:v>
      </x:c>
      <x:c r="H29" s="9" t="str">
        <x:v>connect credit origination, bank funding, loan losses and regulatory capital</x:v>
      </x:c>
    </x:row>
    <x:row r="30" ht="58" customHeight="1">
      <x:c r="A30" s="10" t="str">
        <x:v>D25</x:v>
      </x:c>
      <x:c r="B30" s="10" t="str">
        <x:v>Financial risk management</x:v>
      </x:c>
      <x:c r="C30" s="10" t="n">
        <x:f>COUNTIFS('Inventory'!$B$6:$B$683,A30)</x:f>
        <x:v>16</x:v>
      </x:c>
      <x:c r="D30" s="10" t="n">
        <x:f>COUNTIFS('Topics'!$B$6:$B$703,A30)-C30</x:f>
        <x:v>0</x:v>
      </x:c>
      <x:c r="E30" s="10" t="str">
        <x:v>T02.08</x:v>
      </x:c>
      <x:c r="F30" s="10" t="str">
        <x:v>Expected value, variance, standard deviation, and covariance</x:v>
      </x:c>
      <x:c r="G30" s="10" t="str">
        <x:v>D02, D19, D21, D22, D24, D28, D29, D32, D33, D34, D36, D37, D38, D40</x:v>
      </x:c>
      <x:c r="H30" s="10" t="str">
        <x:v>identify exposures, measure losses and design governance and controls</x:v>
      </x:c>
    </x:row>
    <x:row r="31" ht="58" customHeight="1">
      <x:c r="A31" s="9" t="str">
        <x:v>D26</x:v>
      </x:c>
      <x:c r="B31" s="9" t="str">
        <x:v>Mergers, acquisitions, and restructuring</x:v>
      </x:c>
      <x:c r="C31" s="9" t="n">
        <x:f>COUNTIFS('Inventory'!$B$6:$B$683,A31)</x:f>
        <x:v>19</x:v>
      </x:c>
      <x:c r="D31" s="9" t="n">
        <x:f>COUNTIFS('Topics'!$B$6:$B$703,A31)-C31</x:f>
        <x:v>0</x:v>
      </x:c>
      <x:c r="E31" s="9" t="str">
        <x:v>T17.03</x:v>
      </x:c>
      <x:c r="F31" s="9" t="str">
        <x:v>Enterprise value versus equity value</x:v>
      </x:c>
      <x:c r="G31" s="9" t="str">
        <x:v>D05, D08, D10, D12, D13, D14, D16, D17, D18, D23, D24, D27, D31, D40</x:v>
      </x:c>
      <x:c r="H31" s="9" t="str">
        <x:v>separate operating value, financing, deal terms and execution risk</x:v>
      </x:c>
    </x:row>
    <x:row r="32" ht="58" customHeight="1">
      <x:c r="A32" s="10" t="str">
        <x:v>D27</x:v>
      </x:c>
      <x:c r="B32" s="10" t="str">
        <x:v>Startup and entrepreneurial finance</x:v>
      </x:c>
      <x:c r="C32" s="10" t="n">
        <x:f>COUNTIFS('Inventory'!$B$6:$B$683,A32)</x:f>
        <x:v>17</x:v>
      </x:c>
      <x:c r="D32" s="10" t="n">
        <x:f>COUNTIFS('Topics'!$B$6:$B$703,A32)-C32</x:f>
        <x:v>0</x:v>
      </x:c>
      <x:c r="E32" s="10" t="str">
        <x:v>T11.01</x:v>
      </x:c>
      <x:c r="F32" s="10" t="str">
        <x:v>Revenue models and cost structures</x:v>
      </x:c>
      <x:c r="G32" s="10" t="str">
        <x:v>D08, D11, D14, D17, D19, D21, D23, D24, D26, D30, D39, D40</x:v>
      </x:c>
      <x:c r="H32" s="10" t="str">
        <x:v>connect operating milestones, cash runway, financing terms and founder ownership</x:v>
      </x:c>
    </x:row>
    <x:row r="33" ht="58" customHeight="1">
      <x:c r="A33" s="9" t="str">
        <x:v>D28</x:v>
      </x:c>
      <x:c r="B33" s="9" t="str">
        <x:v>Real estate, infrastructure, and project finance</x:v>
      </x:c>
      <x:c r="C33" s="9" t="n">
        <x:f>COUNTIFS('Inventory'!$B$6:$B$683,A33)</x:f>
        <x:v>18</x:v>
      </x:c>
      <x:c r="D33" s="9" t="n">
        <x:f>COUNTIFS('Topics'!$B$6:$B$703,A33)-C33</x:f>
        <x:v>0</x:v>
      </x:c>
      <x:c r="E33" s="9" t="str">
        <x:v>T03.01</x:v>
      </x:c>
      <x:c r="F33" s="9" t="str">
        <x:v>Present value and future value</x:v>
      </x:c>
      <x:c r="G33" s="9" t="str">
        <x:v>D03, D12, D16, D23, D24, D25, D30, D37, D39, D40</x:v>
      </x:c>
      <x:c r="H33" s="9" t="str">
        <x:v>link asset or project cash flows, debt service and investor distributions</x:v>
      </x:c>
    </x:row>
    <x:row r="34" ht="58" customHeight="1">
      <x:c r="A34" s="10" t="str">
        <x:v>D29</x:v>
      </x:c>
      <x:c r="B34" s="10" t="str">
        <x:v>Insurance and actuarial finance</x:v>
      </x:c>
      <x:c r="C34" s="10" t="n">
        <x:f>COUNTIFS('Inventory'!$B$6:$B$683,A34)</x:f>
        <x:v>16</x:v>
      </x:c>
      <x:c r="D34" s="10" t="n">
        <x:f>COUNTIFS('Topics'!$B$6:$B$703,A34)-C34</x:f>
        <x:v>0</x:v>
      </x:c>
      <x:c r="E34" s="10" t="str">
        <x:v>T02.07</x:v>
      </x:c>
      <x:c r="F34" s="10" t="str">
        <x:v>Probability, conditional probability, and Bayes' theorem</x:v>
      </x:c>
      <x:c r="G34" s="10" t="str">
        <x:v>D01, D02, D03, D09, D18, D22, D25, D30, D36, D39</x:v>
      </x:c>
      <x:c r="H34" s="10" t="str">
        <x:v>connect uncertain claims, premiums, reserves, investments and solvency</x:v>
      </x:c>
    </x:row>
    <x:row r="35" ht="58" customHeight="1">
      <x:c r="A35" s="9" t="str">
        <x:v>D30</x:v>
      </x:c>
      <x:c r="B35" s="9" t="str">
        <x:v>Personal finance and wealth management</x:v>
      </x:c>
      <x:c r="C35" s="9" t="n">
        <x:f>COUNTIFS('Inventory'!$B$6:$B$683,A35)</x:f>
        <x:v>18</x:v>
      </x:c>
      <x:c r="D35" s="9" t="n">
        <x:f>COUNTIFS('Topics'!$B$6:$B$703,A35)-C35</x:f>
        <x:v>0</x:v>
      </x:c>
      <x:c r="E35" s="9" t="str">
        <x:v>T01.05</x:v>
      </x:c>
      <x:c r="F35" s="9" t="str">
        <x:v>Income, expenses, assets, liabilities, equity, and wealth</x:v>
      </x:c>
      <x:c r="G35" s="9" t="str">
        <x:v>D01, D03, D04, D14, D22, D23, D24, D27, D28, D29, D31, D34, D35</x:v>
      </x:c>
      <x:c r="H35" s="9" t="str">
        <x:v>connect household cash flow, goals, protection, investing and long-term wealth</x:v>
      </x:c>
    </x:row>
    <x:row r="36" ht="58" customHeight="1">
      <x:c r="A36" s="10" t="str">
        <x:v>D31</x:v>
      </x:c>
      <x:c r="B36" s="10" t="str">
        <x:v>Taxation in finance</x:v>
      </x:c>
      <x:c r="C36" s="10" t="n">
        <x:f>COUNTIFS('Inventory'!$B$6:$B$683,A36)</x:f>
        <x:v>16</x:v>
      </x:c>
      <x:c r="D36" s="10" t="n">
        <x:f>COUNTIFS('Topics'!$B$6:$B$703,A36)-C36</x:f>
        <x:v>0</x:v>
      </x:c>
      <x:c r="E36" s="10" t="str">
        <x:v>T04.05</x:v>
      </x:c>
      <x:c r="F36" s="10" t="str">
        <x:v>Cash accounting versus accrual accounting</x:v>
      </x:c>
      <x:c r="G36" s="10" t="str">
        <x:v>D03, D04, D13, D14, D15, D16, D17, D26, D30, D32, D33</x:v>
      </x:c>
      <x:c r="H36" s="10" t="str">
        <x:v>distinguish accounting outcomes from tax outcomes and compare after-tax cash flows</x:v>
      </x:c>
    </x:row>
    <x:row r="37" ht="58" customHeight="1">
      <x:c r="A37" s="9" t="str">
        <x:v>D32</x:v>
      </x:c>
      <x:c r="B37" s="9" t="str">
        <x:v>Macroeconomics, monetary policy, and public finance</x:v>
      </x:c>
      <x:c r="C37" s="9" t="n">
        <x:f>COUNTIFS('Inventory'!$B$6:$B$683,A37)</x:f>
        <x:v>16</x:v>
      </x:c>
      <x:c r="D37" s="9" t="n">
        <x:f>COUNTIFS('Topics'!$B$6:$B$703,A37)-C37</x:f>
        <x:v>0</x:v>
      </x:c>
      <x:c r="E37" s="9" t="str">
        <x:v>T01.03</x:v>
      </x:c>
      <x:c r="F37" s="9" t="str">
        <x:v>The financial system: households, businesses, governments, and intermediaries</x:v>
      </x:c>
      <x:c r="G37" s="9" t="str">
        <x:v>D01, D03, D13, D16, D20, D25, D31, D33, D39</x:v>
      </x:c>
      <x:c r="H37" s="9" t="str">
        <x:v>trace economic conditions and policy transmission into funding, earnings and asset prices</x:v>
      </x:c>
    </x:row>
    <x:row r="38" ht="58" customHeight="1">
      <x:c r="A38" s="10" t="str">
        <x:v>D33</x:v>
      </x:c>
      <x:c r="B38" s="10" t="str">
        <x:v>International finance and foreign exchange</x:v>
      </x:c>
      <x:c r="C38" s="10" t="n">
        <x:f>COUNTIFS('Inventory'!$B$6:$B$683,A38)</x:f>
        <x:v>16</x:v>
      </x:c>
      <x:c r="D38" s="10" t="n">
        <x:f>COUNTIFS('Topics'!$B$6:$B$703,A38)-C38</x:f>
        <x:v>0</x:v>
      </x:c>
      <x:c r="E38" s="10" t="str">
        <x:v>T03.09</x:v>
      </x:c>
      <x:c r="F38" s="10" t="str">
        <x:v>Real versus nominal interest rates</x:v>
      </x:c>
      <x:c r="G38" s="10" t="str">
        <x:v>D03, D08, D12, D13, D14, D21, D22, D25, D31, D32, D36</x:v>
      </x:c>
      <x:c r="H38" s="10" t="str">
        <x:v>keep currency exposure, cash flows, financing and discount rates consistent</x:v>
      </x:c>
    </x:row>
    <x:row r="39" ht="58" customHeight="1">
      <x:c r="A39" s="9" t="str">
        <x:v>D34</x:v>
      </x:c>
      <x:c r="B39" s="9" t="str">
        <x:v>Market infrastructure, regulation, and governance</x:v>
      </x:c>
      <x:c r="C39" s="9" t="n">
        <x:f>COUNTIFS('Inventory'!$B$6:$B$683,A39)</x:f>
        <x:v>15</x:v>
      </x:c>
      <x:c r="D39" s="9" t="n">
        <x:f>COUNTIFS('Topics'!$B$6:$B$703,A39)-C39</x:f>
        <x:v>0</x:v>
      </x:c>
      <x:c r="E39" s="9" t="str">
        <x:v>T01.03</x:v>
      </x:c>
      <x:c r="F39" s="9" t="str">
        <x:v>The financial system: households, businesses, governments, and intermediaries</x:v>
      </x:c>
      <x:c r="G39" s="9" t="str">
        <x:v>D01, D04, D19, D21, D24, D25, D30, D36, D37, D38, D39</x:v>
      </x:c>
      <x:c r="H39" s="9" t="str">
        <x:v>understand how transactions are executed, safeguarded and governed</x:v>
      </x:c>
    </x:row>
    <x:row r="40" ht="58" customHeight="1">
      <x:c r="A40" s="10" t="str">
        <x:v>D35</x:v>
      </x:c>
      <x:c r="B40" s="10" t="str">
        <x:v>Behavioural finance and financial decision-making</x:v>
      </x:c>
      <x:c r="C40" s="10" t="n">
        <x:f>COUNTIFS('Inventory'!$B$6:$B$683,A40)</x:f>
        <x:v>14</x:v>
      </x:c>
      <x:c r="D40" s="10" t="n">
        <x:f>COUNTIFS('Topics'!$B$6:$B$703,A40)-C40</x:f>
        <x:v>0</x:v>
      </x:c>
      <x:c r="E40" s="10" t="str">
        <x:v>T01.13</x:v>
      </x:c>
      <x:c r="F40" s="10" t="str">
        <x:v>Financial decisions under certainty, risk, and uncertainty</x:v>
      </x:c>
      <x:c r="G40" s="10" t="str">
        <x:v>D01, D12, D17, D19, D22, D30, D38, D40</x:v>
      </x:c>
      <x:c r="H40" s="10" t="str">
        <x:v>recognise how incentives and cognitive biases influence financial decisions</x:v>
      </x:c>
    </x:row>
    <x:row r="41" ht="58" customHeight="1">
      <x:c r="A41" s="9" t="str">
        <x:v>D36</x:v>
      </x:c>
      <x:c r="B41" s="9" t="str">
        <x:v>Fintech, payments, and digital finance</x:v>
      </x:c>
      <x:c r="C41" s="9" t="n">
        <x:f>COUNTIFS('Inventory'!$B$6:$B$683,A41)</x:f>
        <x:v>17</x:v>
      </x:c>
      <x:c r="D41" s="9" t="n">
        <x:f>COUNTIFS('Topics'!$B$6:$B$703,A41)-C41</x:f>
        <x:v>0</x:v>
      </x:c>
      <x:c r="E41" s="9" t="str">
        <x:v>T01.03</x:v>
      </x:c>
      <x:c r="F41" s="9" t="str">
        <x:v>The financial system: households, businesses, governments, and intermediaries</x:v>
      </x:c>
      <x:c r="G41" s="9" t="str">
        <x:v>D01, D11, D21, D22, D24, D25, D29, D33, D34, D38</x:v>
      </x:c>
      <x:c r="H41" s="9" t="str">
        <x:v>connect financial infrastructure, digital distribution, unit economics and controls</x:v>
      </x:c>
    </x:row>
    <x:row r="42" ht="58" customHeight="1">
      <x:c r="A42" s="10" t="str">
        <x:v>D37</x:v>
      </x:c>
      <x:c r="B42" s="10" t="str">
        <x:v>Sustainable finance and specialised financial systems</x:v>
      </x:c>
      <x:c r="C42" s="10" t="n">
        <x:f>COUNTIFS('Inventory'!$B$6:$B$683,A42)</x:f>
        <x:v>14</x:v>
      </x:c>
      <x:c r="D42" s="10" t="n">
        <x:f>COUNTIFS('Topics'!$B$6:$B$703,A42)-C42</x:f>
        <x:v>0</x:v>
      </x:c>
      <x:c r="E42" s="10" t="str">
        <x:v>T01.12</x:v>
      </x:c>
      <x:c r="F42" s="10" t="str">
        <x:v>Value creation versus value transfer</x:v>
      </x:c>
      <x:c r="G42" s="10" t="str">
        <x:v>D01, D04, D16, D20, D22, D24, D25, D28, D34</x:v>
      </x:c>
      <x:c r="H42" s="10" t="str">
        <x:v>connect financing decisions with sustainability, inclusion and alternative structures</x:v>
      </x:c>
    </x:row>
    <x:row r="43" ht="58" customHeight="1">
      <x:c r="A43" s="9" t="str">
        <x:v>D38</x:v>
      </x:c>
      <x:c r="B43" s="9" t="str">
        <x:v>Computational finance, financial data, and AI</x:v>
      </x:c>
      <x:c r="C43" s="9" t="n">
        <x:f>COUNTIFS('Inventory'!$B$6:$B$683,A43)</x:f>
        <x:v>18</x:v>
      </x:c>
      <x:c r="D43" s="9" t="n">
        <x:f>COUNTIFS('Topics'!$B$6:$B$703,A43)-C43</x:f>
        <x:v>0</x:v>
      </x:c>
      <x:c r="E43" s="9" t="str">
        <x:v>T02.12</x:v>
      </x:c>
      <x:c r="F43" s="9" t="str">
        <x:v>Regression, statistical significance, and economic significance</x:v>
      </x:c>
      <x:c r="G43" s="9" t="str">
        <x:v>D02, D04, D16, D19, D21, D22, D24, D25, D34, D35, D36</x:v>
      </x:c>
      <x:c r="H43" s="9" t="str">
        <x:v>produce reproducible financial analysis without data leakage or model misuse</x:v>
      </x:c>
    </x:row>
    <x:row r="44" ht="58" customHeight="1">
      <x:c r="A44" s="10" t="str">
        <x:v>D39</x:v>
      </x:c>
      <x:c r="B44" s="10" t="str">
        <x:v>Industry-specific finance</x:v>
      </x:c>
      <x:c r="C44" s="10" t="n">
        <x:f>COUNTIFS('Inventory'!$B$6:$B$683,A44)</x:f>
        <x:v>22</x:v>
      </x:c>
      <x:c r="D44" s="10" t="n">
        <x:f>COUNTIFS('Topics'!$B$6:$B$703,A44)-C44</x:f>
        <x:v>0</x:v>
      </x:c>
      <x:c r="E44" s="10" t="str">
        <x:v>T09.15</x:v>
      </x:c>
      <x:c r="F44" s="10" t="str">
        <x:v>Peer benchmarking and industry-specific ratios</x:v>
      </x:c>
      <x:c r="G44" s="10" t="str">
        <x:v>D05, D06, D07, D09, D11, D14, D15, D18, D23, D24, D27, D28, D29, D32, D34</x:v>
      </x:c>
      <x:c r="H44" s="10" t="str">
        <x:v>adapt statement interpretation, operating metrics and valuation to the industry</x:v>
      </x:c>
    </x:row>
    <x:row r="45" ht="58" customHeight="1">
      <x:c r="A45" s="9" t="str">
        <x:v>D40</x:v>
      </x:c>
      <x:c r="B45" s="9" t="str">
        <x:v>Applied cases, financial history, and integrated practice</x:v>
      </x:c>
      <x:c r="C45" s="9" t="n">
        <x:f>COUNTIFS('Inventory'!$B$6:$B$683,A45)</x:f>
        <x:v>18</x:v>
      </x:c>
      <x:c r="D45" s="9" t="n">
        <x:f>COUNTIFS('Topics'!$B$6:$B$703,A45)-C45</x:f>
        <x:v>0</x:v>
      </x:c>
      <x:c r="E45" s="9" t="str">
        <x:v>T07.14</x:v>
      </x:c>
      <x:c r="F45" s="9" t="str">
        <x:v>How transactions move through all three statements</x:v>
      </x:c>
      <x:c r="G45" s="9" t="str">
        <x:v>D04, D07, D10, D12, D13, D16, D17, D19, D22, D24, D25, D26, D27, D28, D35</x:v>
      </x:c>
      <x:c r="H45" s="9" t="str">
        <x:v>apply multiple concepts to one decision and explain the result using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d3b960cc3afd47c2"/>
  </x:tableParts>
</x:worksheet>
</file>

<file path=xl/worksheets/sheet6.xml><?xml version="1.0" encoding="utf-8"?>
<x:worksheet xmlns:x="http://schemas.openxmlformats.org/spreadsheetml/2006/main">
  <x:sheetPr>
    <x:tabColor rgb="FF355F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110000610351562" hidden="0" customWidth="1"/>
    <x:col min="2" max="2" width="18.889999389648438" hidden="0" customWidth="1"/>
    <x:col min="3" max="3" width="46.66999816894531" hidden="0" customWidth="1"/>
    <x:col min="4" max="4" width="47.779998779296875" hidden="0" customWidth="1"/>
    <x:col min="5" max="5" width="48.88999938964844" hidden="0" customWidth="1"/>
    <x:col min="6" max="6" width="48.33000183105469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Interaction and content architecture</x:v>
      </x:c>
      <x:c r="B2" s="2"/>
      <x:c r="C2" s="2"/>
      <x:c r="D2" s="2"/>
      <x:c r="E2" s="2"/>
      <x:c r="F2" s="2"/>
    </x:row>
    <x:row r="3">
      <x:c r="A3" s="4" t="str">
        <x:v>Planning specification only. This workbook does not implement a website.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2" customHeight="1">
      <x:c r="A5" s="8" t="str">
        <x:v>Trigger</x:v>
      </x:c>
      <x:c r="B5" s="8" t="str">
        <x:v>Learning purpose</x:v>
      </x:c>
      <x:c r="C5" s="8" t="str">
        <x:v>Experience</x:v>
      </x:c>
      <x:c r="D5" s="8" t="str">
        <x:v>Required content fields</x:v>
      </x:c>
      <x:c r="E5" s="8" t="str">
        <x:v>Navigation / behaviour</x:v>
      </x:c>
      <x:c r="F5" s="8" t="str">
        <x:v>Authoring constraint</x:v>
      </x:c>
    </x:row>
    <x:row r="6" ht="58" customHeight="1">
      <x:c r="A6" s="10" t="str">
        <x:v>Hover / focus / tap</x:v>
      </x:c>
      <x:c r="B6" s="10" t="str">
        <x:v>Short meaning</x:v>
      </x:c>
      <x:c r="C6" s="10" t="str">
        <x:v>One sentence in the current context; keep the source visible.</x:v>
      </x:c>
      <x:c r="D6" s="10" t="str">
        <x:v>Concept summary, aliases, context label</x:v>
      </x:c>
      <x:c r="E6" s="10" t="str">
        <x:v>Include keyboard focus and tap equivalents.</x:v>
      </x:c>
      <x:c r="F6" s="10" t="str">
        <x:v>Definition drafting required for original grouped units.</x:v>
      </x:c>
    </x:row>
    <x:row r="7" ht="58" customHeight="1">
      <x:c r="A7" s="9" t="str">
        <x:v>Click a concept</x:v>
      </x:c>
      <x:c r="B7" s="9" t="str">
        <x:v>Understand</x:v>
      </x:c>
      <x:c r="C7" s="9" t="str">
        <x:v>Open a side panel with meaning, mechanism and example.</x:v>
      </x:c>
      <x:c r="D7" s="9" t="str">
        <x:v>Concept ID, explanation, example references</x:v>
      </x:c>
      <x:c r="E7" s="9" t="str">
        <x:v>Keep the origin, reporting period and scroll position.</x:v>
      </x:c>
      <x:c r="F7" s="9" t="str">
        <x:v>Concepts remain reachable without completing a quiz.</x:v>
      </x:c>
    </x:row>
    <x:row r="8" ht="58" customHeight="1">
      <x:c r="A8" s="10" t="str">
        <x:v>Click a formula input</x:v>
      </x:c>
      <x:c r="B8" s="10" t="str">
        <x:v>Calculate</x:v>
      </x:c>
      <x:c r="C8" s="10" t="str">
        <x:v>Reveal inputs, units, period, signs and assumptions.</x:v>
      </x:c>
      <x:c r="D8" s="10" t="str">
        <x:v>Formula, input IDs, value provenance, calculation convention</x:v>
      </x:c>
      <x:c r="E8" s="10" t="str">
        <x:v>Use deterministic calculations; explain changes.</x:v>
      </x:c>
      <x:c r="F8" s="10" t="str">
        <x:v>Never mix FCFF with cost of equity or FCFE with WACC.</x:v>
      </x:c>
    </x:row>
    <x:row r="9" ht="58" customHeight="1">
      <x:c r="A9" s="9" t="str">
        <x:v>Click a reported number</x:v>
      </x:c>
      <x:c r="B9" s="9" t="str">
        <x:v>Inspect evidence</x:v>
      </x:c>
      <x:c r="C9" s="9" t="str">
        <x:v>Show the report, statement note and reconciliation.</x:v>
      </x:c>
      <x:c r="D9" s="9" t="str">
        <x:v>Source document, page/note, date, units, consolidation scope</x:v>
      </x:c>
      <x:c r="E9" s="9" t="str">
        <x:v>Distinguish reported numbers from model estimates.</x:v>
      </x:c>
      <x:c r="F9" s="9" t="str">
        <x:v>Real-company evidence will be added during lesson authoring.</x:v>
      </x:c>
    </x:row>
    <x:row r="10" ht="58" customHeight="1">
      <x:c r="A10" s="10" t="str">
        <x:v>Try a question</x:v>
      </x:c>
      <x:c r="B10" s="10" t="str">
        <x:v>Predict, then explain</x:v>
      </x:c>
      <x:c r="C10" s="10" t="str">
        <x:v>Hide the answer until commitment or an explicit reveal.</x:v>
      </x:c>
      <x:c r="D10" s="10" t="str">
        <x:v>Question, options, answer, explanation, misconception links</x:v>
      </x:c>
      <x:c r="E10" s="10" t="str">
        <x:v>Offer a hint and a fresh example after an incorrect answer.</x:v>
      </x:c>
      <x:c r="F10" s="10" t="str">
        <x:v>Current questions are planning prompts, not final quiz items.</x:v>
      </x:c>
    </x:row>
    <x:row r="11" ht="58" customHeight="1">
      <x:c r="A11" s="9" t="str">
        <x:v>Change an assumption</x:v>
      </x:c>
      <x:c r="B11" s="9" t="str">
        <x:v>Experiment</x:v>
      </x:c>
      <x:c r="C11" s="9" t="str">
        <x:v>Recalculate relevant outcomes and highlight affected items.</x:v>
      </x:c>
      <x:c r="D11" s="9" t="str">
        <x:v>Scenario inputs, formulas, affected concepts</x:v>
      </x:c>
      <x:c r="E11" s="9" t="str">
        <x:v>Reset and compare with the original scenario.</x:v>
      </x:c>
      <x:c r="F11" s="9" t="str">
        <x:v>State assumptions rather than imply a universal rule.</x:v>
      </x:c>
    </x:row>
    <x:row r="12" ht="58" customHeight="1">
      <x:c r="A12" s="10" t="str">
        <x:v>Follow a connection</x:v>
      </x:c>
      <x:c r="B12" s="10" t="str">
        <x:v>Discover</x:v>
      </x:c>
      <x:c r="C12" s="10" t="str">
        <x:v>Show why this edge is relevant before opening the next topic.</x:v>
      </x:c>
      <x:c r="D12" s="10" t="str">
        <x:v>From ID, edge type, To ID, explanation, conditions</x:v>
      </x:c>
      <x:c r="E12" s="10" t="str">
        <x:v>Show 4-6 local neighbours rather than the whole graph.</x:v>
      </x:c>
      <x:c r="F12" s="10" t="str">
        <x:v>PART_OF and EXPLORE_WITH are navigation, not financial mechanisms.</x:v>
      </x:c>
    </x:row>
    <x:row r="13" ht="58" customHeight="1">
      <x:c r="A13" s="9" t="str">
        <x:v>Open the trail</x:v>
      </x:c>
      <x:c r="B13" s="9" t="str">
        <x:v>Return</x:v>
      </x:c>
      <x:c r="C13" s="9" t="str">
        <x:v>Restore the original context and revisit earlier branches.</x:v>
      </x:c>
      <x:c r="D13" s="9" t="str">
        <x:v>Visit sequence, anchor, scroll, selected scenario</x:v>
      </x:c>
      <x:c r="E13" s="9" t="str">
        <x:v>Use contextual back and deep links; avoid stacked dialogs.</x:v>
      </x:c>
      <x:c r="F13" s="9" t="str">
        <x:v>Concept understanding is separate from click history.</x:v>
      </x:c>
    </x:row>
    <x:row r="14" ht="58" customHeight="1">
      <x:c r="A14" s="10" t="str">
        <x:v>Review a concept</x:v>
      </x:c>
      <x:c r="B14" s="10" t="str">
        <x:v>Retain</x:v>
      </x:c>
      <x:c r="C14" s="10" t="str">
        <x:v>Ask a fresh application question later.</x:v>
      </x:c>
      <x:c r="D14" s="10" t="str">
        <x:v>Practice evidence, review timing, concept IDs</x:v>
      </x:c>
      <x:c r="E14" s="10" t="str">
        <x:v>Track explored, practised and demonstrated understanding separately.</x:v>
      </x:c>
      <x:c r="F14" s="10" t="str">
        <x:v>No mastery claim is assigned by simply opening a topic.</x:v>
      </x:c>
    </x:row>
    <x:row r="15" ht="58" customHeight="1">
      <x:c r="A15" s="9" t="str">
        <x:v>Change depth</x:v>
      </x:c>
      <x:c r="B15" s="9" t="str">
        <x:v>Go advanced</x:v>
      </x:c>
      <x:c r="C15" s="9" t="str">
        <x:v>Reveal assumptions, exceptions and industry-specific application.</x:v>
      </x:c>
      <x:c r="D15" s="9" t="str">
        <x:v>Prerequisites, specialist links, framework and jurisdiction</x:v>
      </x:c>
      <x:c r="E15" s="9" t="str">
        <x:v>Preserve the simpler explanation as a way back.</x:v>
      </x:c>
      <x:c r="F15" s="9" t="str">
        <x:v>Group bullets can be split into smaller lessons without losing source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6ea3e271bf1946ed"/>
  </x:tableParts>
</x: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55F8A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12.779999732971191" hidden="0" customWidth="1"/>
    <col min="2" max="2" width="10.5600004196167" hidden="0" customWidth="1"/>
    <col min="3" max="3" width="77.77999877929688" hidden="0" customWidth="1"/>
    <col min="4" max="4" width="16.110000610351562" hidden="0" customWidth="1"/>
    <col min="5" max="5" width="12.220000267028809" hidden="0" customWidth="1"/>
  </cols>
  <sheetData>
    <row r="1">
      <c r="A1" s="2"/>
      <c r="B1" s="2"/>
      <c r="C1" s="2"/>
      <c r="D1" s="2"/>
      <c r="E1" s="2"/>
    </row>
    <row r="2">
      <c r="A2" s="3" t="str">
        <v>Preserved original inventory</v>
      </c>
      <c r="B2" s="2"/>
      <c r="C2" s="2"/>
      <c r="D2" s="2"/>
      <c r="E2" s="2"/>
    </row>
    <row r="3">
      <c r="A3" s="4" t="str">
        <v>Source: the 40-area finance list in this conversation. Grouped bullets are preserved; each maps to a stable topic ID.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 ht="32" customHeight="1">
      <c r="A5" s="8" t="str">
        <v>Original ID</v>
      </c>
      <c r="B5" s="8" t="str">
        <v>Area ID</v>
      </c>
      <c r="C5" s="8" t="str">
        <v>Original topic text</v>
      </c>
      <c r="D5" s="8" t="str">
        <v>Mapped concept ID</v>
      </c>
      <c r="E5" s="8" t="str">
        <v>Coverage</v>
      </c>
    </row>
    <row r="6" ht="42" customHeight="1">
      <c r="A6" s="10" t="str">
        <v>T01.01</v>
      </c>
      <c r="B6" s="10" t="str">
        <v>D01</v>
      </c>
      <c r="C6" s="10" t="str">
        <v>What finance is: allocating capital across time and uncertainty.</v>
      </c>
      <c r="D6" s="16" t="str">
        <v>T01.01</v>
      </c>
      <c r="E6" s="10" t="str">
        <v>Mapped</v>
      </c>
    </row>
    <row r="7" ht="42" customHeight="1">
      <c r="A7" s="9" t="str">
        <v>T01.02</v>
      </c>
      <c r="B7" s="9" t="str">
        <v>D01</v>
      </c>
      <c r="C7" s="9" t="str">
        <v>Personal finance, corporate finance, public finance, and investment finance.</v>
      </c>
      <c r="D7" s="17" t="str">
        <v>T01.02</v>
      </c>
      <c r="E7" s="9" t="str">
        <v>Mapped</v>
      </c>
    </row>
    <row r="8" ht="42" customHeight="1">
      <c r="A8" s="10" t="str">
        <v>T01.03</v>
      </c>
      <c r="B8" s="10" t="str">
        <v>D01</v>
      </c>
      <c r="C8" s="10" t="str">
        <v>The financial system: households, businesses, governments, and intermediaries.</v>
      </c>
      <c r="D8" s="16" t="str">
        <v>T01.03</v>
      </c>
      <c r="E8" s="10" t="str">
        <v>Mapped</v>
      </c>
    </row>
    <row r="9" ht="42" customHeight="1">
      <c r="A9" s="9" t="str">
        <v>T01.04</v>
      </c>
      <c r="B9" s="9" t="str">
        <v>D01</v>
      </c>
      <c r="C9" s="9" t="str">
        <v>Real assets versus financial assets.</v>
      </c>
      <c r="D9" s="17" t="str">
        <v>T01.04</v>
      </c>
      <c r="E9" s="9" t="str">
        <v>Mapped</v>
      </c>
    </row>
    <row r="10" ht="42" customHeight="1">
      <c r="A10" s="10" t="str">
        <v>T01.05</v>
      </c>
      <c r="B10" s="10" t="str">
        <v>D01</v>
      </c>
      <c r="C10" s="10" t="str">
        <v>Income, expenses, assets, liabilities, equity, and wealth.</v>
      </c>
      <c r="D10" s="16" t="str">
        <v>T01.05</v>
      </c>
      <c r="E10" s="10" t="str">
        <v>Mapped</v>
      </c>
    </row>
    <row r="11" ht="42" customHeight="1">
      <c r="A11" s="9" t="str">
        <v>T01.06</v>
      </c>
      <c r="B11" s="9" t="str">
        <v>D01</v>
      </c>
      <c r="C11" s="9" t="str">
        <v>Stocks versus flows: a balance at a point in time versus activity during a period.</v>
      </c>
      <c r="D11" s="17" t="str">
        <v>T01.06</v>
      </c>
      <c r="E11" s="9" t="str">
        <v>Mapped</v>
      </c>
    </row>
    <row r="12" ht="42" customHeight="1">
      <c r="A12" s="10" t="str">
        <v>T01.07</v>
      </c>
      <c r="B12" s="10" t="str">
        <v>D01</v>
      </c>
      <c r="C12" s="10" t="str">
        <v>Saving, investing, borrowing, lending, speculation, and hedging.</v>
      </c>
      <c r="D12" s="16" t="str">
        <v>T01.07</v>
      </c>
      <c r="E12" s="10" t="str">
        <v>Mapped</v>
      </c>
    </row>
    <row r="13" ht="42" customHeight="1">
      <c r="A13" s="9" t="str">
        <v>T01.08</v>
      </c>
      <c r="B13" s="9" t="str">
        <v>D01</v>
      </c>
      <c r="C13" s="9" t="str">
        <v>Sources and uses of funds.</v>
      </c>
      <c r="D13" s="17" t="str">
        <v>T01.08</v>
      </c>
      <c r="E13" s="9" t="str">
        <v>Mapped</v>
      </c>
    </row>
    <row r="14" ht="42" customHeight="1">
      <c r="A14" s="10" t="str">
        <v>T01.09</v>
      </c>
      <c r="B14" s="10" t="str">
        <v>D01</v>
      </c>
      <c r="C14" s="10" t="str">
        <v>Liquidity, profitability, solvency, and financial flexibility.</v>
      </c>
      <c r="D14" s="16" t="str">
        <v>T01.09</v>
      </c>
      <c r="E14" s="10" t="str">
        <v>Mapped</v>
      </c>
    </row>
    <row r="15" ht="42" customHeight="1">
      <c r="A15" s="9" t="str">
        <v>T01.10</v>
      </c>
      <c r="B15" s="9" t="str">
        <v>D01</v>
      </c>
      <c r="C15" s="9" t="str">
        <v>Risk, return, opportunity cost, and required return.</v>
      </c>
      <c r="D15" s="17" t="str">
        <v>T01.10</v>
      </c>
      <c r="E15" s="9" t="str">
        <v>Mapped</v>
      </c>
    </row>
    <row r="16" ht="42" customHeight="1">
      <c r="A16" s="10" t="str">
        <v>T01.11</v>
      </c>
      <c r="B16" s="10" t="str">
        <v>D01</v>
      </c>
      <c r="C16" s="10" t="str">
        <v>Economic profit versus accounting profit.</v>
      </c>
      <c r="D16" s="16" t="str">
        <v>T01.11</v>
      </c>
      <c r="E16" s="10" t="str">
        <v>Mapped</v>
      </c>
    </row>
    <row r="17" ht="42" customHeight="1">
      <c r="A17" s="9" t="str">
        <v>T01.12</v>
      </c>
      <c r="B17" s="9" t="str">
        <v>D01</v>
      </c>
      <c r="C17" s="9" t="str">
        <v>Value creation versus value transfer.</v>
      </c>
      <c r="D17" s="17" t="str">
        <v>T01.12</v>
      </c>
      <c r="E17" s="9" t="str">
        <v>Mapped</v>
      </c>
    </row>
    <row r="18" ht="42" customHeight="1">
      <c r="A18" s="10" t="str">
        <v>T01.13</v>
      </c>
      <c r="B18" s="10" t="str">
        <v>D01</v>
      </c>
      <c r="C18" s="10" t="str">
        <v>Financial decisions under certainty, risk, and uncertainty.</v>
      </c>
      <c r="D18" s="16" t="str">
        <v>T01.13</v>
      </c>
      <c r="E18" s="10" t="str">
        <v>Mapped</v>
      </c>
    </row>
    <row r="19" ht="42" customHeight="1">
      <c r="A19" s="9" t="str">
        <v>T01.14</v>
      </c>
      <c r="B19" s="9" t="str">
        <v>D01</v>
      </c>
      <c r="C19" s="9" t="str">
        <v>Agency problems, incentives, information asymmetry, and moral hazard.</v>
      </c>
      <c r="D19" s="17" t="str">
        <v>T01.14</v>
      </c>
      <c r="E19" s="9" t="str">
        <v>Mapped</v>
      </c>
    </row>
    <row r="20" ht="42" customHeight="1">
      <c r="A20" s="10" t="str">
        <v>T01.15</v>
      </c>
      <c r="B20" s="10" t="str">
        <v>D01</v>
      </c>
      <c r="C20" s="10" t="str">
        <v>Arbitrage, the law of one price, and market efficiency.</v>
      </c>
      <c r="D20" s="16" t="str">
        <v>T01.15</v>
      </c>
      <c r="E20" s="10" t="str">
        <v>Mapped</v>
      </c>
    </row>
    <row r="21" ht="42" customHeight="1">
      <c r="A21" s="9" t="str">
        <v>T02.01</v>
      </c>
      <c r="B21" s="9" t="str">
        <v>D02</v>
      </c>
      <c r="C21" s="9" t="str">
        <v>Percentages, percentage changes, percentage points, and basis points.</v>
      </c>
      <c r="D21" s="17" t="str">
        <v>T02.01</v>
      </c>
      <c r="E21" s="9" t="str">
        <v>Mapped</v>
      </c>
    </row>
    <row r="22" ht="42" customHeight="1">
      <c r="A22" s="10" t="str">
        <v>T02.02</v>
      </c>
      <c r="B22" s="10" t="str">
        <v>D02</v>
      </c>
      <c r="C22" s="10" t="str">
        <v>Ratios, proportions, weighted averages, and index numbers.</v>
      </c>
      <c r="D22" s="16" t="str">
        <v>T02.02</v>
      </c>
      <c r="E22" s="10" t="str">
        <v>Mapped</v>
      </c>
    </row>
    <row r="23" ht="42" customHeight="1">
      <c r="A23" s="9" t="str">
        <v>T02.03</v>
      </c>
      <c r="B23" s="9" t="str">
        <v>D02</v>
      </c>
      <c r="C23" s="9" t="str">
        <v>Simple interest and compound interest.</v>
      </c>
      <c r="D23" s="17" t="str">
        <v>T02.03</v>
      </c>
      <c r="E23" s="9" t="str">
        <v>Mapped</v>
      </c>
    </row>
    <row r="24" ht="42" customHeight="1">
      <c r="A24" s="10" t="str">
        <v>T02.04</v>
      </c>
      <c r="B24" s="10" t="str">
        <v>D02</v>
      </c>
      <c r="C24" s="10" t="str">
        <v>Arithmetic returns, geometric returns, and logarithmic returns.</v>
      </c>
      <c r="D24" s="16" t="str">
        <v>T02.04</v>
      </c>
      <c r="E24" s="10" t="str">
        <v>Mapped</v>
      </c>
    </row>
    <row r="25" ht="42" customHeight="1">
      <c r="A25" s="9" t="str">
        <v>T02.05</v>
      </c>
      <c r="B25" s="9" t="str">
        <v>D02</v>
      </c>
      <c r="C25" s="9" t="str">
        <v>CAGR and annualisation.</v>
      </c>
      <c r="D25" s="17" t="str">
        <v>T02.05</v>
      </c>
      <c r="E25" s="9" t="str">
        <v>Mapped</v>
      </c>
    </row>
    <row r="26" ht="42" customHeight="1">
      <c r="A26" s="10" t="str">
        <v>T02.06</v>
      </c>
      <c r="B26" s="10" t="str">
        <v>D02</v>
      </c>
      <c r="C26" s="10" t="str">
        <v>Exponents, logarithms, and growth equations.</v>
      </c>
      <c r="D26" s="16" t="str">
        <v>T02.06</v>
      </c>
      <c r="E26" s="10" t="str">
        <v>Mapped</v>
      </c>
    </row>
    <row r="27" ht="42" customHeight="1">
      <c r="A27" s="9" t="str">
        <v>T02.07</v>
      </c>
      <c r="B27" s="9" t="str">
        <v>D02</v>
      </c>
      <c r="C27" s="9" t="str">
        <v>Probability, conditional probability, and Bayes' theorem.</v>
      </c>
      <c r="D27" s="17" t="str">
        <v>T02.07</v>
      </c>
      <c r="E27" s="9" t="str">
        <v>Mapped</v>
      </c>
    </row>
    <row r="28" ht="42" customHeight="1">
      <c r="A28" s="10" t="str">
        <v>T02.08</v>
      </c>
      <c r="B28" s="10" t="str">
        <v>D02</v>
      </c>
      <c r="C28" s="10" t="str">
        <v>Expected value, variance, standard deviation, and covariance.</v>
      </c>
      <c r="D28" s="16" t="str">
        <v>T02.08</v>
      </c>
      <c r="E28" s="10" t="str">
        <v>Mapped</v>
      </c>
    </row>
    <row r="29" ht="42" customHeight="1">
      <c r="A29" s="9" t="str">
        <v>T02.09</v>
      </c>
      <c r="B29" s="9" t="str">
        <v>D02</v>
      </c>
      <c r="C29" s="9" t="str">
        <v>Correlation and its limitations.</v>
      </c>
      <c r="D29" s="17" t="str">
        <v>T02.09</v>
      </c>
      <c r="E29" s="9" t="str">
        <v>Mapped</v>
      </c>
    </row>
    <row r="30" ht="42" customHeight="1">
      <c r="A30" s="10" t="str">
        <v>T02.10</v>
      </c>
      <c r="B30" s="10" t="str">
        <v>D02</v>
      </c>
      <c r="C30" s="10" t="str">
        <v>Probability distributions, skewness, kurtosis, and tail risk.</v>
      </c>
      <c r="D30" s="16" t="str">
        <v>T02.10</v>
      </c>
      <c r="E30" s="10" t="str">
        <v>Mapped</v>
      </c>
    </row>
    <row r="31" ht="42" customHeight="1">
      <c r="A31" s="9" t="str">
        <v>T02.11</v>
      </c>
      <c r="B31" s="9" t="str">
        <v>D02</v>
      </c>
      <c r="C31" s="9" t="str">
        <v>Sampling, estimation, confidence intervals, and hypothesis testing.</v>
      </c>
      <c r="D31" s="17" t="str">
        <v>T02.11</v>
      </c>
      <c r="E31" s="9" t="str">
        <v>Mapped</v>
      </c>
    </row>
    <row r="32" ht="42" customHeight="1">
      <c r="A32" s="10" t="str">
        <v>T02.12</v>
      </c>
      <c r="B32" s="10" t="str">
        <v>D02</v>
      </c>
      <c r="C32" s="10" t="str">
        <v>Regression, statistical significance, and economic significance.</v>
      </c>
      <c r="D32" s="16" t="str">
        <v>T02.12</v>
      </c>
      <c r="E32" s="10" t="str">
        <v>Mapped</v>
      </c>
    </row>
    <row r="33" ht="42" customHeight="1">
      <c r="A33" s="9" t="str">
        <v>T02.13</v>
      </c>
      <c r="B33" s="9" t="str">
        <v>D02</v>
      </c>
      <c r="C33" s="9" t="str">
        <v>Time-series foundations, stationarity, autocorrelation, and volatility.</v>
      </c>
      <c r="D33" s="17" t="str">
        <v>T02.13</v>
      </c>
      <c r="E33" s="9" t="str">
        <v>Mapped</v>
      </c>
    </row>
    <row r="34" ht="42" customHeight="1">
      <c r="A34" s="10" t="str">
        <v>T02.14</v>
      </c>
      <c r="B34" s="10" t="str">
        <v>D02</v>
      </c>
      <c r="C34" s="10" t="str">
        <v>Optimisation, linear algebra, and calculus for finance.</v>
      </c>
      <c r="D34" s="16" t="str">
        <v>T02.14</v>
      </c>
      <c r="E34" s="10" t="str">
        <v>Mapped</v>
      </c>
    </row>
    <row r="35" ht="42" customHeight="1">
      <c r="A35" s="9" t="str">
        <v>T02.15</v>
      </c>
      <c r="B35" s="9" t="str">
        <v>D02</v>
      </c>
      <c r="C35" s="9" t="str">
        <v>Simulation, sensitivity analysis, and scenario analysis.</v>
      </c>
      <c r="D35" s="17" t="str">
        <v>T02.15</v>
      </c>
      <c r="E35" s="9" t="str">
        <v>Mapped</v>
      </c>
    </row>
    <row r="36" ht="42" customHeight="1">
      <c r="A36" s="10" t="str">
        <v>T03.01</v>
      </c>
      <c r="B36" s="10" t="str">
        <v>D03</v>
      </c>
      <c r="C36" s="10" t="str">
        <v>Present value and future value.</v>
      </c>
      <c r="D36" s="16" t="str">
        <v>T03.01</v>
      </c>
      <c r="E36" s="10" t="str">
        <v>Mapped</v>
      </c>
    </row>
    <row r="37" ht="42" customHeight="1">
      <c r="A37" s="9" t="str">
        <v>T03.02</v>
      </c>
      <c r="B37" s="9" t="str">
        <v>D03</v>
      </c>
      <c r="C37" s="9" t="str">
        <v>Discounting and compounding.</v>
      </c>
      <c r="D37" s="17" t="str">
        <v>T03.02</v>
      </c>
      <c r="E37" s="9" t="str">
        <v>Mapped</v>
      </c>
    </row>
    <row r="38" ht="42" customHeight="1">
      <c r="A38" s="10" t="str">
        <v>T03.03</v>
      </c>
      <c r="B38" s="10" t="str">
        <v>D03</v>
      </c>
      <c r="C38" s="10" t="str">
        <v>Discount factors and cash-flow timelines.</v>
      </c>
      <c r="D38" s="16" t="str">
        <v>T03.03</v>
      </c>
      <c r="E38" s="10" t="str">
        <v>Mapped</v>
      </c>
    </row>
    <row r="39" ht="42" customHeight="1">
      <c r="A39" s="9" t="str">
        <v>T03.04</v>
      </c>
      <c r="B39" s="9" t="str">
        <v>D03</v>
      </c>
      <c r="C39" s="9" t="str">
        <v>Ordinary annuities and annuities due.</v>
      </c>
      <c r="D39" s="17" t="str">
        <v>T03.04</v>
      </c>
      <c r="E39" s="9" t="str">
        <v>Mapped</v>
      </c>
    </row>
    <row r="40" ht="42" customHeight="1">
      <c r="A40" s="10" t="str">
        <v>T03.05</v>
      </c>
      <c r="B40" s="10" t="str">
        <v>D03</v>
      </c>
      <c r="C40" s="10" t="str">
        <v>Growing annuities.</v>
      </c>
      <c r="D40" s="16" t="str">
        <v>T03.05</v>
      </c>
      <c r="E40" s="10" t="str">
        <v>Mapped</v>
      </c>
    </row>
    <row r="41" ht="42" customHeight="1">
      <c r="A41" s="9" t="str">
        <v>T03.06</v>
      </c>
      <c r="B41" s="9" t="str">
        <v>D03</v>
      </c>
      <c r="C41" s="9" t="str">
        <v>Perpetuities and growing perpetuities.</v>
      </c>
      <c r="D41" s="17" t="str">
        <v>T03.06</v>
      </c>
      <c r="E41" s="9" t="str">
        <v>Mapped</v>
      </c>
    </row>
    <row r="42" ht="42" customHeight="1">
      <c r="A42" s="10" t="str">
        <v>T03.07</v>
      </c>
      <c r="B42" s="10" t="str">
        <v>D03</v>
      </c>
      <c r="C42" s="10" t="str">
        <v>Uneven cash flows.</v>
      </c>
      <c r="D42" s="16" t="str">
        <v>T03.07</v>
      </c>
      <c r="E42" s="10" t="str">
        <v>Mapped</v>
      </c>
    </row>
    <row r="43" ht="42" customHeight="1">
      <c r="A43" s="9" t="str">
        <v>T03.08</v>
      </c>
      <c r="B43" s="9" t="str">
        <v>D03</v>
      </c>
      <c r="C43" s="9" t="str">
        <v>Nominal rates, effective rates, and continuous compounding.</v>
      </c>
      <c r="D43" s="17" t="str">
        <v>T03.08</v>
      </c>
      <c r="E43" s="9" t="str">
        <v>Mapped</v>
      </c>
    </row>
    <row r="44" ht="42" customHeight="1">
      <c r="A44" s="10" t="str">
        <v>T03.09</v>
      </c>
      <c r="B44" s="10" t="str">
        <v>D03</v>
      </c>
      <c r="C44" s="10" t="str">
        <v>Real versus nominal interest rates.</v>
      </c>
      <c r="D44" s="16" t="str">
        <v>T03.09</v>
      </c>
      <c r="E44" s="10" t="str">
        <v>Mapped</v>
      </c>
    </row>
    <row r="45" ht="42" customHeight="1">
      <c r="A45" s="9" t="str">
        <v>T03.10</v>
      </c>
      <c r="B45" s="9" t="str">
        <v>D03</v>
      </c>
      <c r="C45" s="9" t="str">
        <v>Loan amortisation and EMI calculations.</v>
      </c>
      <c r="D45" s="17" t="str">
        <v>T03.10</v>
      </c>
      <c r="E45" s="9" t="str">
        <v>Mapped</v>
      </c>
    </row>
    <row r="46" ht="42" customHeight="1">
      <c r="A46" s="10" t="str">
        <v>T03.11</v>
      </c>
      <c r="B46" s="10" t="str">
        <v>D03</v>
      </c>
      <c r="C46" s="10" t="str">
        <v>Sinking funds and savings accumulation.</v>
      </c>
      <c r="D46" s="16" t="str">
        <v>T03.11</v>
      </c>
      <c r="E46" s="10" t="str">
        <v>Mapped</v>
      </c>
    </row>
    <row r="47" ht="42" customHeight="1">
      <c r="A47" s="9" t="str">
        <v>T03.12</v>
      </c>
      <c r="B47" s="9" t="str">
        <v>D03</v>
      </c>
      <c r="C47" s="9" t="str">
        <v>Net present value.</v>
      </c>
      <c r="D47" s="17" t="str">
        <v>T03.12</v>
      </c>
      <c r="E47" s="9" t="str">
        <v>Mapped</v>
      </c>
    </row>
    <row r="48" ht="42" customHeight="1">
      <c r="A48" s="10" t="str">
        <v>T03.13</v>
      </c>
      <c r="B48" s="10" t="str">
        <v>D03</v>
      </c>
      <c r="C48" s="10" t="str">
        <v>Internal rate of return and modified IRR.</v>
      </c>
      <c r="D48" s="16" t="str">
        <v>T03.13</v>
      </c>
      <c r="E48" s="10" t="str">
        <v>Mapped</v>
      </c>
    </row>
    <row r="49" ht="42" customHeight="1">
      <c r="A49" s="9" t="str">
        <v>T03.14</v>
      </c>
      <c r="B49" s="9" t="str">
        <v>D03</v>
      </c>
      <c r="C49" s="9" t="str">
        <v>Money-weighted versus time-weighted returns.</v>
      </c>
      <c r="D49" s="17" t="str">
        <v>T03.14</v>
      </c>
      <c r="E49" s="9" t="str">
        <v>Mapped</v>
      </c>
    </row>
    <row r="50" ht="42" customHeight="1">
      <c r="A50" s="10" t="str">
        <v>T03.15</v>
      </c>
      <c r="B50" s="10" t="str">
        <v>D03</v>
      </c>
      <c r="C50" s="10" t="str">
        <v>Matching cash-flow frequency, currency, and discount rates.</v>
      </c>
      <c r="D50" s="16" t="str">
        <v>T03.15</v>
      </c>
      <c r="E50" s="10" t="str">
        <v>Mapped</v>
      </c>
    </row>
    <row r="51" ht="42" customHeight="1">
      <c r="A51" s="9" t="str">
        <v>T04.01</v>
      </c>
      <c r="B51" s="9" t="str">
        <v>D04</v>
      </c>
      <c r="C51" s="9" t="str">
        <v>The accounting equation.</v>
      </c>
      <c r="D51" s="17" t="str">
        <v>T04.01</v>
      </c>
      <c r="E51" s="9" t="str">
        <v>Mapped</v>
      </c>
    </row>
    <row r="52" ht="42" customHeight="1">
      <c r="A52" s="10" t="str">
        <v>T04.02</v>
      </c>
      <c r="B52" s="10" t="str">
        <v>D04</v>
      </c>
      <c r="C52" s="10" t="str">
        <v>Double-entry bookkeeping.</v>
      </c>
      <c r="D52" s="16" t="str">
        <v>T04.02</v>
      </c>
      <c r="E52" s="10" t="str">
        <v>Mapped</v>
      </c>
    </row>
    <row r="53" ht="42" customHeight="1">
      <c r="A53" s="9" t="str">
        <v>T04.03</v>
      </c>
      <c r="B53" s="9" t="str">
        <v>D04</v>
      </c>
      <c r="C53" s="9" t="str">
        <v>Debits and credits.</v>
      </c>
      <c r="D53" s="17" t="str">
        <v>T04.03</v>
      </c>
      <c r="E53" s="9" t="str">
        <v>Mapped</v>
      </c>
    </row>
    <row r="54" ht="42" customHeight="1">
      <c r="A54" s="10" t="str">
        <v>T04.04</v>
      </c>
      <c r="B54" s="10" t="str">
        <v>D04</v>
      </c>
      <c r="C54" s="10" t="str">
        <v>Journals, ledgers, trial balances, and closing entries.</v>
      </c>
      <c r="D54" s="16" t="str">
        <v>T04.04</v>
      </c>
      <c r="E54" s="10" t="str">
        <v>Mapped</v>
      </c>
    </row>
    <row r="55" ht="42" customHeight="1">
      <c r="A55" s="9" t="str">
        <v>T04.05</v>
      </c>
      <c r="B55" s="9" t="str">
        <v>D04</v>
      </c>
      <c r="C55" s="9" t="str">
        <v>Cash accounting versus accrual accounting.</v>
      </c>
      <c r="D55" s="17" t="str">
        <v>T04.05</v>
      </c>
      <c r="E55" s="9" t="str">
        <v>Mapped</v>
      </c>
    </row>
    <row r="56" ht="42" customHeight="1">
      <c r="A56" s="10" t="str">
        <v>T04.06</v>
      </c>
      <c r="B56" s="10" t="str">
        <v>D04</v>
      </c>
      <c r="C56" s="10" t="str">
        <v>Revenue recognition and expense recognition.</v>
      </c>
      <c r="D56" s="16" t="str">
        <v>T04.06</v>
      </c>
      <c r="E56" s="10" t="str">
        <v>Mapped</v>
      </c>
    </row>
    <row r="57" ht="42" customHeight="1">
      <c r="A57" s="9" t="str">
        <v>T04.07</v>
      </c>
      <c r="B57" s="9" t="str">
        <v>D04</v>
      </c>
      <c r="C57" s="9" t="str">
        <v>Accruals, deferrals, prepayments, and provisions.</v>
      </c>
      <c r="D57" s="17" t="str">
        <v>T04.07</v>
      </c>
      <c r="E57" s="9" t="str">
        <v>Mapped</v>
      </c>
    </row>
    <row r="58" ht="42" customHeight="1">
      <c r="A58" s="10" t="str">
        <v>T04.08</v>
      </c>
      <c r="B58" s="10" t="str">
        <v>D04</v>
      </c>
      <c r="C58" s="10" t="str">
        <v>Capital expenditure versus operating expenditure.</v>
      </c>
      <c r="D58" s="16" t="str">
        <v>T04.08</v>
      </c>
      <c r="E58" s="10" t="str">
        <v>Mapped</v>
      </c>
    </row>
    <row r="59" ht="42" customHeight="1">
      <c r="A59" s="9" t="str">
        <v>T04.09</v>
      </c>
      <c r="B59" s="9" t="str">
        <v>D04</v>
      </c>
      <c r="C59" s="9" t="str">
        <v>Capitalisation versus immediate expensing.</v>
      </c>
      <c r="D59" s="17" t="str">
        <v>T04.09</v>
      </c>
      <c r="E59" s="9" t="str">
        <v>Mapped</v>
      </c>
    </row>
    <row r="60" ht="42" customHeight="1">
      <c r="A60" s="10" t="str">
        <v>T04.10</v>
      </c>
      <c r="B60" s="10" t="str">
        <v>D04</v>
      </c>
      <c r="C60" s="10" t="str">
        <v>Historical cost, fair value, and amortised cost.</v>
      </c>
      <c r="D60" s="16" t="str">
        <v>T04.10</v>
      </c>
      <c r="E60" s="10" t="str">
        <v>Mapped</v>
      </c>
    </row>
    <row r="61" ht="42" customHeight="1">
      <c r="A61" s="9" t="str">
        <v>T04.11</v>
      </c>
      <c r="B61" s="9" t="str">
        <v>D04</v>
      </c>
      <c r="C61" s="9" t="str">
        <v>Materiality, prudence, consistency, and going concern.</v>
      </c>
      <c r="D61" s="17" t="str">
        <v>T04.11</v>
      </c>
      <c r="E61" s="9" t="str">
        <v>Mapped</v>
      </c>
    </row>
    <row r="62" ht="42" customHeight="1">
      <c r="A62" s="10" t="str">
        <v>T04.12</v>
      </c>
      <c r="B62" s="10" t="str">
        <v>D04</v>
      </c>
      <c r="C62" s="10" t="str">
        <v>Accounting estimates, policy changes, and errors.</v>
      </c>
      <c r="D62" s="16" t="str">
        <v>T04.12</v>
      </c>
      <c r="E62" s="10" t="str">
        <v>Mapped</v>
      </c>
    </row>
    <row r="63" ht="42" customHeight="1">
      <c r="A63" s="9" t="str">
        <v>T04.13</v>
      </c>
      <c r="B63" s="9" t="str">
        <v>D04</v>
      </c>
      <c r="C63" s="9" t="str">
        <v>Reporting periods and comparative statements.</v>
      </c>
      <c r="D63" s="17" t="str">
        <v>T04.13</v>
      </c>
      <c r="E63" s="9" t="str">
        <v>Mapped</v>
      </c>
    </row>
    <row r="64" ht="42" customHeight="1">
      <c r="A64" s="10" t="str">
        <v>T04.14</v>
      </c>
      <c r="B64" s="10" t="str">
        <v>D04</v>
      </c>
      <c r="C64" s="10" t="str">
        <v>Standalone versus consolidated accounts.</v>
      </c>
      <c r="D64" s="16" t="str">
        <v>T04.14</v>
      </c>
      <c r="E64" s="10" t="str">
        <v>Mapped</v>
      </c>
    </row>
    <row r="65" ht="42" customHeight="1">
      <c r="A65" s="9" t="str">
        <v>T04.15</v>
      </c>
      <c r="B65" s="9" t="str">
        <v>D04</v>
      </c>
      <c r="C65" s="9" t="str">
        <v>Financial reporting frameworks: Ind AS, IFRS, and US GAAP.</v>
      </c>
      <c r="D65" s="17" t="str">
        <v>T04.15</v>
      </c>
      <c r="E65" s="9" t="str">
        <v>Mapped</v>
      </c>
    </row>
    <row r="66" ht="42" customHeight="1">
      <c r="A66" s="10" t="str">
        <v>T04.16</v>
      </c>
      <c r="B66" s="10" t="str">
        <v>D04</v>
      </c>
      <c r="C66" s="10" t="str">
        <v>Annual reports, interim reports, and regulatory filings.</v>
      </c>
      <c r="D66" s="16" t="str">
        <v>T04.16</v>
      </c>
      <c r="E66" s="10" t="str">
        <v>Mapped</v>
      </c>
    </row>
    <row r="67" ht="42" customHeight="1">
      <c r="A67" s="9" t="str">
        <v>T05.01</v>
      </c>
      <c r="B67" s="9" t="str">
        <v>D05</v>
      </c>
      <c r="C67" s="9" t="str">
        <v>Revenue, sales, and other operating income.</v>
      </c>
      <c r="D67" s="17" t="str">
        <v>T05.01</v>
      </c>
      <c r="E67" s="9" t="str">
        <v>Mapped</v>
      </c>
    </row>
    <row r="68" ht="42" customHeight="1">
      <c r="A68" s="10" t="str">
        <v>T05.02</v>
      </c>
      <c r="B68" s="10" t="str">
        <v>D05</v>
      </c>
      <c r="C68" s="10" t="str">
        <v>Gross versus net revenue recognition.</v>
      </c>
      <c r="D68" s="16" t="str">
        <v>T05.02</v>
      </c>
      <c r="E68" s="10" t="str">
        <v>Mapped</v>
      </c>
    </row>
    <row r="69" ht="42" customHeight="1">
      <c r="A69" s="9" t="str">
        <v>T05.03</v>
      </c>
      <c r="B69" s="9" t="str">
        <v>D05</v>
      </c>
      <c r="C69" s="9" t="str">
        <v>Sales returns, discounts, rebates, and indirect taxes.</v>
      </c>
      <c r="D69" s="17" t="str">
        <v>T05.03</v>
      </c>
      <c r="E69" s="9" t="str">
        <v>Mapped</v>
      </c>
    </row>
    <row r="70" ht="42" customHeight="1">
      <c r="A70" s="10" t="str">
        <v>T05.04</v>
      </c>
      <c r="B70" s="10" t="str">
        <v>D05</v>
      </c>
      <c r="C70" s="10" t="str">
        <v>Cost of goods sold and cost of services.</v>
      </c>
      <c r="D70" s="16" t="str">
        <v>T05.04</v>
      </c>
      <c r="E70" s="10" t="str">
        <v>Mapped</v>
      </c>
    </row>
    <row r="71" ht="42" customHeight="1">
      <c r="A71" s="9" t="str">
        <v>T05.05</v>
      </c>
      <c r="B71" s="9" t="str">
        <v>D05</v>
      </c>
      <c r="C71" s="9" t="str">
        <v>Inventory changes and production costs.</v>
      </c>
      <c r="D71" s="17" t="str">
        <v>T05.05</v>
      </c>
      <c r="E71" s="9" t="str">
        <v>Mapped</v>
      </c>
    </row>
    <row r="72" ht="42" customHeight="1">
      <c r="A72" s="10" t="str">
        <v>T05.06</v>
      </c>
      <c r="B72" s="10" t="str">
        <v>D05</v>
      </c>
      <c r="C72" s="10" t="str">
        <v>Gross profit and gross margin.</v>
      </c>
      <c r="D72" s="16" t="str">
        <v>T05.06</v>
      </c>
      <c r="E72" s="10" t="str">
        <v>Mapped</v>
      </c>
    </row>
    <row r="73" ht="42" customHeight="1">
      <c r="A73" s="9" t="str">
        <v>T05.07</v>
      </c>
      <c r="B73" s="9" t="str">
        <v>D05</v>
      </c>
      <c r="C73" s="9" t="str">
        <v>Employee expenses.</v>
      </c>
      <c r="D73" s="17" t="str">
        <v>T05.07</v>
      </c>
      <c r="E73" s="9" t="str">
        <v>Mapped</v>
      </c>
    </row>
    <row r="74" ht="42" customHeight="1">
      <c r="A74" s="10" t="str">
        <v>T05.08</v>
      </c>
      <c r="B74" s="10" t="str">
        <v>D05</v>
      </c>
      <c r="C74" s="10" t="str">
        <v>Selling, general, and administrative expenses.</v>
      </c>
      <c r="D74" s="16" t="str">
        <v>T05.08</v>
      </c>
      <c r="E74" s="10" t="str">
        <v>Mapped</v>
      </c>
    </row>
    <row r="75" ht="42" customHeight="1">
      <c r="A75" s="9" t="str">
        <v>T05.09</v>
      </c>
      <c r="B75" s="9" t="str">
        <v>D05</v>
      </c>
      <c r="C75" s="9" t="str">
        <v>Research and development expenses.</v>
      </c>
      <c r="D75" s="17" t="str">
        <v>T05.09</v>
      </c>
      <c r="E75" s="9" t="str">
        <v>Mapped</v>
      </c>
    </row>
    <row r="76" ht="42" customHeight="1">
      <c r="A76" s="10" t="str">
        <v>T05.10</v>
      </c>
      <c r="B76" s="10" t="str">
        <v>D05</v>
      </c>
      <c r="C76" s="10" t="str">
        <v>Depreciation, amortisation, and impairment.</v>
      </c>
      <c r="D76" s="16" t="str">
        <v>T05.10</v>
      </c>
      <c r="E76" s="10" t="str">
        <v>Mapped</v>
      </c>
    </row>
    <row r="77" ht="42" customHeight="1">
      <c r="A77" s="9" t="str">
        <v>T05.11</v>
      </c>
      <c r="B77" s="9" t="str">
        <v>D05</v>
      </c>
      <c r="C77" s="9" t="str">
        <v>EBITDA, EBIT, and operating profit.</v>
      </c>
      <c r="D77" s="17" t="str">
        <v>T05.11</v>
      </c>
      <c r="E77" s="9" t="str">
        <v>Mapped</v>
      </c>
    </row>
    <row r="78" ht="42" customHeight="1">
      <c r="A78" s="10" t="str">
        <v>T05.12</v>
      </c>
      <c r="B78" s="10" t="str">
        <v>D05</v>
      </c>
      <c r="C78" s="10" t="str">
        <v>Finance costs and interest income.</v>
      </c>
      <c r="D78" s="16" t="str">
        <v>T05.12</v>
      </c>
      <c r="E78" s="10" t="str">
        <v>Mapped</v>
      </c>
    </row>
    <row r="79" ht="42" customHeight="1">
      <c r="A79" s="9" t="str">
        <v>T05.13</v>
      </c>
      <c r="B79" s="9" t="str">
        <v>D05</v>
      </c>
      <c r="C79" s="9" t="str">
        <v>Other income and investment gains.</v>
      </c>
      <c r="D79" s="17" t="str">
        <v>T05.13</v>
      </c>
      <c r="E79" s="9" t="str">
        <v>Mapped</v>
      </c>
    </row>
    <row r="80" ht="42" customHeight="1">
      <c r="A80" s="10" t="str">
        <v>T05.14</v>
      </c>
      <c r="B80" s="10" t="str">
        <v>D05</v>
      </c>
      <c r="C80" s="10" t="str">
        <v>Exceptional items and non-recurring adjustments.</v>
      </c>
      <c r="D80" s="16" t="str">
        <v>T05.14</v>
      </c>
      <c r="E80" s="10" t="str">
        <v>Mapped</v>
      </c>
    </row>
    <row r="81" ht="42" customHeight="1">
      <c r="A81" s="9" t="str">
        <v>T05.15</v>
      </c>
      <c r="B81" s="9" t="str">
        <v>D05</v>
      </c>
      <c r="C81" s="9" t="str">
        <v>Profit before tax and income tax expense.</v>
      </c>
      <c r="D81" s="17" t="str">
        <v>T05.15</v>
      </c>
      <c r="E81" s="9" t="str">
        <v>Mapped</v>
      </c>
    </row>
    <row r="82" ht="42" customHeight="1">
      <c r="A82" s="10" t="str">
        <v>T05.16</v>
      </c>
      <c r="B82" s="10" t="str">
        <v>D05</v>
      </c>
      <c r="C82" s="10" t="str">
        <v>Continuing versus discontinued operations.</v>
      </c>
      <c r="D82" s="16" t="str">
        <v>T05.16</v>
      </c>
      <c r="E82" s="10" t="str">
        <v>Mapped</v>
      </c>
    </row>
    <row r="83" ht="42" customHeight="1">
      <c r="A83" s="9" t="str">
        <v>T05.17</v>
      </c>
      <c r="B83" s="9" t="str">
        <v>D05</v>
      </c>
      <c r="C83" s="9" t="str">
        <v>Net profit and profit attributable to shareholders.</v>
      </c>
      <c r="D83" s="17" t="str">
        <v>T05.17</v>
      </c>
      <c r="E83" s="9" t="str">
        <v>Mapped</v>
      </c>
    </row>
    <row r="84" ht="42" customHeight="1">
      <c r="A84" s="10" t="str">
        <v>T05.18</v>
      </c>
      <c r="B84" s="10" t="str">
        <v>D05</v>
      </c>
      <c r="C84" s="10" t="str">
        <v>Basic and diluted earnings per share.</v>
      </c>
      <c r="D84" s="16" t="str">
        <v>T05.18</v>
      </c>
      <c r="E84" s="10" t="str">
        <v>Mapped</v>
      </c>
    </row>
    <row r="85" ht="42" customHeight="1">
      <c r="A85" s="9" t="str">
        <v>T05.19</v>
      </c>
      <c r="B85" s="9" t="str">
        <v>D05</v>
      </c>
      <c r="C85" s="9" t="str">
        <v>Other comprehensive income and total comprehensive income.</v>
      </c>
      <c r="D85" s="17" t="str">
        <v>T05.19</v>
      </c>
      <c r="E85" s="9" t="str">
        <v>Mapped</v>
      </c>
    </row>
    <row r="86" ht="42" customHeight="1">
      <c r="A86" s="10" t="str">
        <v>T05.20</v>
      </c>
      <c r="B86" s="10" t="str">
        <v>D05</v>
      </c>
      <c r="C86" s="10" t="str">
        <v>Segment revenue and segment profitability.</v>
      </c>
      <c r="D86" s="16" t="str">
        <v>T05.20</v>
      </c>
      <c r="E86" s="10" t="str">
        <v>Mapped</v>
      </c>
    </row>
    <row r="87" ht="42" customHeight="1">
      <c r="A87" s="9" t="str">
        <v>T06.01</v>
      </c>
      <c r="B87" s="9" t="str">
        <v>D06</v>
      </c>
      <c r="C87" s="9" t="str">
        <v>Current versus non-current classification.</v>
      </c>
      <c r="D87" s="17" t="str">
        <v>T06.01</v>
      </c>
      <c r="E87" s="9" t="str">
        <v>Mapped</v>
      </c>
    </row>
    <row r="88" ht="42" customHeight="1">
      <c r="A88" s="10" t="str">
        <v>T06.02</v>
      </c>
      <c r="B88" s="10" t="str">
        <v>D06</v>
      </c>
      <c r="C88" s="10" t="str">
        <v>Cash and cash equivalents.</v>
      </c>
      <c r="D88" s="16" t="str">
        <v>T06.02</v>
      </c>
      <c r="E88" s="10" t="str">
        <v>Mapped</v>
      </c>
    </row>
    <row r="89" ht="42" customHeight="1">
      <c r="A89" s="9" t="str">
        <v>T06.03</v>
      </c>
      <c r="B89" s="9" t="str">
        <v>D06</v>
      </c>
      <c r="C89" s="9" t="str">
        <v>Restricted cash and liquid investments.</v>
      </c>
      <c r="D89" s="17" t="str">
        <v>T06.03</v>
      </c>
      <c r="E89" s="9" t="str">
        <v>Mapped</v>
      </c>
    </row>
    <row r="90" ht="42" customHeight="1">
      <c r="A90" s="10" t="str">
        <v>T06.04</v>
      </c>
      <c r="B90" s="10" t="str">
        <v>D06</v>
      </c>
      <c r="C90" s="10" t="str">
        <v>Trade receivables and expected credit losses.</v>
      </c>
      <c r="D90" s="16" t="str">
        <v>T06.04</v>
      </c>
      <c r="E90" s="10" t="str">
        <v>Mapped</v>
      </c>
    </row>
    <row r="91" ht="42" customHeight="1">
      <c r="A91" s="9" t="str">
        <v>T06.05</v>
      </c>
      <c r="B91" s="9" t="str">
        <v>D06</v>
      </c>
      <c r="C91" s="9" t="str">
        <v>Inventory: raw materials, work in progress, and finished goods.</v>
      </c>
      <c r="D91" s="17" t="str">
        <v>T06.05</v>
      </c>
      <c r="E91" s="9" t="str">
        <v>Mapped</v>
      </c>
    </row>
    <row r="92" ht="42" customHeight="1">
      <c r="A92" s="10" t="str">
        <v>T06.06</v>
      </c>
      <c r="B92" s="10" t="str">
        <v>D06</v>
      </c>
      <c r="C92" s="10" t="str">
        <v>Prepayments, advances, and other current assets.</v>
      </c>
      <c r="D92" s="16" t="str">
        <v>T06.06</v>
      </c>
      <c r="E92" s="10" t="str">
        <v>Mapped</v>
      </c>
    </row>
    <row r="93" ht="42" customHeight="1">
      <c r="A93" s="9" t="str">
        <v>T06.07</v>
      </c>
      <c r="B93" s="9" t="str">
        <v>D06</v>
      </c>
      <c r="C93" s="9" t="str">
        <v>Property, plant, and equipment.</v>
      </c>
      <c r="D93" s="17" t="str">
        <v>T06.07</v>
      </c>
      <c r="E93" s="9" t="str">
        <v>Mapped</v>
      </c>
    </row>
    <row r="94" ht="42" customHeight="1">
      <c r="A94" s="10" t="str">
        <v>T06.08</v>
      </c>
      <c r="B94" s="10" t="str">
        <v>D06</v>
      </c>
      <c r="C94" s="10" t="str">
        <v>Capital work in progress.</v>
      </c>
      <c r="D94" s="16" t="str">
        <v>T06.08</v>
      </c>
      <c r="E94" s="10" t="str">
        <v>Mapped</v>
      </c>
    </row>
    <row r="95" ht="42" customHeight="1">
      <c r="A95" s="9" t="str">
        <v>T06.09</v>
      </c>
      <c r="B95" s="9" t="str">
        <v>D06</v>
      </c>
      <c r="C95" s="9" t="str">
        <v>Right-of-use assets.</v>
      </c>
      <c r="D95" s="17" t="str">
        <v>T06.09</v>
      </c>
      <c r="E95" s="9" t="str">
        <v>Mapped</v>
      </c>
    </row>
    <row r="96" ht="42" customHeight="1">
      <c r="A96" s="10" t="str">
        <v>T06.10</v>
      </c>
      <c r="B96" s="10" t="str">
        <v>D06</v>
      </c>
      <c r="C96" s="10" t="str">
        <v>Intangible assets and goodwill.</v>
      </c>
      <c r="D96" s="16" t="str">
        <v>T06.10</v>
      </c>
      <c r="E96" s="10" t="str">
        <v>Mapped</v>
      </c>
    </row>
    <row r="97" ht="42" customHeight="1">
      <c r="A97" s="9" t="str">
        <v>T06.11</v>
      </c>
      <c r="B97" s="9" t="str">
        <v>D06</v>
      </c>
      <c r="C97" s="9" t="str">
        <v>Financial investments and investment property.</v>
      </c>
      <c r="D97" s="17" t="str">
        <v>T06.11</v>
      </c>
      <c r="E97" s="9" t="str">
        <v>Mapped</v>
      </c>
    </row>
    <row r="98" ht="42" customHeight="1">
      <c r="A98" s="10" t="str">
        <v>T06.12</v>
      </c>
      <c r="B98" s="10" t="str">
        <v>D06</v>
      </c>
      <c r="C98" s="10" t="str">
        <v>Deferred tax assets and liabilities.</v>
      </c>
      <c r="D98" s="16" t="str">
        <v>T06.12</v>
      </c>
      <c r="E98" s="10" t="str">
        <v>Mapped</v>
      </c>
    </row>
    <row r="99" ht="42" customHeight="1">
      <c r="A99" s="9" t="str">
        <v>T06.13</v>
      </c>
      <c r="B99" s="9" t="str">
        <v>D06</v>
      </c>
      <c r="C99" s="9" t="str">
        <v>Trade payables and accrued expenses.</v>
      </c>
      <c r="D99" s="17" t="str">
        <v>T06.13</v>
      </c>
      <c r="E99" s="9" t="str">
        <v>Mapped</v>
      </c>
    </row>
    <row r="100" ht="42" customHeight="1">
      <c r="A100" s="10" t="str">
        <v>T06.14</v>
      </c>
      <c r="B100" s="10" t="str">
        <v>D06</v>
      </c>
      <c r="C100" s="10" t="str">
        <v>Contract assets, contract liabilities, and deferred revenue.</v>
      </c>
      <c r="D100" s="16" t="str">
        <v>T06.14</v>
      </c>
      <c r="E100" s="10" t="str">
        <v>Mapped</v>
      </c>
    </row>
    <row r="101" ht="42" customHeight="1">
      <c r="A101" s="9" t="str">
        <v>T06.15</v>
      </c>
      <c r="B101" s="9" t="str">
        <v>D06</v>
      </c>
      <c r="C101" s="9" t="str">
        <v>Short-term and long-term borrowings.</v>
      </c>
      <c r="D101" s="17" t="str">
        <v>T06.15</v>
      </c>
      <c r="E101" s="9" t="str">
        <v>Mapped</v>
      </c>
    </row>
    <row r="102" ht="42" customHeight="1">
      <c r="A102" s="10" t="str">
        <v>T06.16</v>
      </c>
      <c r="B102" s="10" t="str">
        <v>D06</v>
      </c>
      <c r="C102" s="10" t="str">
        <v>Lease liabilities.</v>
      </c>
      <c r="D102" s="16" t="str">
        <v>T06.16</v>
      </c>
      <c r="E102" s="10" t="str">
        <v>Mapped</v>
      </c>
    </row>
    <row r="103" ht="42" customHeight="1">
      <c r="A103" s="9" t="str">
        <v>T06.17</v>
      </c>
      <c r="B103" s="9" t="str">
        <v>D06</v>
      </c>
      <c r="C103" s="9" t="str">
        <v>Provisions, pension obligations, and employee benefits.</v>
      </c>
      <c r="D103" s="17" t="str">
        <v>T06.17</v>
      </c>
      <c r="E103" s="9" t="str">
        <v>Mapped</v>
      </c>
    </row>
    <row r="104" ht="42" customHeight="1">
      <c r="A104" s="10" t="str">
        <v>T06.18</v>
      </c>
      <c r="B104" s="10" t="str">
        <v>D06</v>
      </c>
      <c r="C104" s="10" t="str">
        <v>Share capital, securities premium, and retained earnings.</v>
      </c>
      <c r="D104" s="16" t="str">
        <v>T06.18</v>
      </c>
      <c r="E104" s="10" t="str">
        <v>Mapped</v>
      </c>
    </row>
    <row r="105" ht="42" customHeight="1">
      <c r="A105" s="9" t="str">
        <v>T06.19</v>
      </c>
      <c r="B105" s="9" t="str">
        <v>D06</v>
      </c>
      <c r="C105" s="9" t="str">
        <v>Reserves, treasury shares, and non-controlling interests.</v>
      </c>
      <c r="D105" s="17" t="str">
        <v>T06.19</v>
      </c>
      <c r="E105" s="9" t="str">
        <v>Mapped</v>
      </c>
    </row>
    <row r="106" ht="42" customHeight="1">
      <c r="A106" s="10" t="str">
        <v>T06.20</v>
      </c>
      <c r="B106" s="10" t="str">
        <v>D06</v>
      </c>
      <c r="C106" s="10" t="str">
        <v>Contingent liabilities, guarantees, and off-balance-sheet commitments.</v>
      </c>
      <c r="D106" s="16" t="str">
        <v>T06.20</v>
      </c>
      <c r="E106" s="10" t="str">
        <v>Mapped</v>
      </c>
    </row>
    <row r="107" ht="42" customHeight="1">
      <c r="A107" s="9" t="str">
        <v>T07.01</v>
      </c>
      <c r="B107" s="9" t="str">
        <v>D07</v>
      </c>
      <c r="C107" s="9" t="str">
        <v>Cash flow from operations, investing, and financing.</v>
      </c>
      <c r="D107" s="17" t="str">
        <v>T07.01</v>
      </c>
      <c r="E107" s="9" t="str">
        <v>Mapped</v>
      </c>
    </row>
    <row r="108" ht="42" customHeight="1">
      <c r="A108" s="10" t="str">
        <v>T07.02</v>
      </c>
      <c r="B108" s="10" t="str">
        <v>D07</v>
      </c>
      <c r="C108" s="10" t="str">
        <v>Direct versus indirect operating cash flow.</v>
      </c>
      <c r="D108" s="16" t="str">
        <v>T07.02</v>
      </c>
      <c r="E108" s="10" t="str">
        <v>Mapped</v>
      </c>
    </row>
    <row r="109" ht="42" customHeight="1">
      <c r="A109" s="9" t="str">
        <v>T07.03</v>
      </c>
      <c r="B109" s="9" t="str">
        <v>D07</v>
      </c>
      <c r="C109" s="9" t="str">
        <v>Reconciling profit to operating cash flow.</v>
      </c>
      <c r="D109" s="17" t="str">
        <v>T07.03</v>
      </c>
      <c r="E109" s="9" t="str">
        <v>Mapped</v>
      </c>
    </row>
    <row r="110" ht="42" customHeight="1">
      <c r="A110" s="10" t="str">
        <v>T07.04</v>
      </c>
      <c r="B110" s="10" t="str">
        <v>D07</v>
      </c>
      <c r="C110" s="10" t="str">
        <v>Non-cash expenses and non-cash income.</v>
      </c>
      <c r="D110" s="16" t="str">
        <v>T07.04</v>
      </c>
      <c r="E110" s="10" t="str">
        <v>Mapped</v>
      </c>
    </row>
    <row r="111" ht="42" customHeight="1">
      <c r="A111" s="9" t="str">
        <v>T07.05</v>
      </c>
      <c r="B111" s="9" t="str">
        <v>D07</v>
      </c>
      <c r="C111" s="9" t="str">
        <v>Working-capital adjustments.</v>
      </c>
      <c r="D111" s="17" t="str">
        <v>T07.05</v>
      </c>
      <c r="E111" s="9" t="str">
        <v>Mapped</v>
      </c>
    </row>
    <row r="112" ht="42" customHeight="1">
      <c r="A112" s="10" t="str">
        <v>T07.06</v>
      </c>
      <c r="B112" s="10" t="str">
        <v>D07</v>
      </c>
      <c r="C112" s="10" t="str">
        <v>Capital expenditure and asset disposal proceeds.</v>
      </c>
      <c r="D112" s="16" t="str">
        <v>T07.06</v>
      </c>
      <c r="E112" s="10" t="str">
        <v>Mapped</v>
      </c>
    </row>
    <row r="113" ht="42" customHeight="1">
      <c r="A113" s="9" t="str">
        <v>T07.07</v>
      </c>
      <c r="B113" s="9" t="str">
        <v>D07</v>
      </c>
      <c r="C113" s="9" t="str">
        <v>Acquisitions and investment transactions.</v>
      </c>
      <c r="D113" s="17" t="str">
        <v>T07.07</v>
      </c>
      <c r="E113" s="9" t="str">
        <v>Mapped</v>
      </c>
    </row>
    <row r="114" ht="42" customHeight="1">
      <c r="A114" s="10" t="str">
        <v>T07.08</v>
      </c>
      <c r="B114" s="10" t="str">
        <v>D07</v>
      </c>
      <c r="C114" s="10" t="str">
        <v>Debt issuance and repayment.</v>
      </c>
      <c r="D114" s="16" t="str">
        <v>T07.08</v>
      </c>
      <c r="E114" s="10" t="str">
        <v>Mapped</v>
      </c>
    </row>
    <row r="115" ht="42" customHeight="1">
      <c r="A115" s="9" t="str">
        <v>T07.09</v>
      </c>
      <c r="B115" s="9" t="str">
        <v>D07</v>
      </c>
      <c r="C115" s="9" t="str">
        <v>Equity issuance, buybacks, and dividends.</v>
      </c>
      <c r="D115" s="17" t="str">
        <v>T07.09</v>
      </c>
      <c r="E115" s="9" t="str">
        <v>Mapped</v>
      </c>
    </row>
    <row r="116" ht="42" customHeight="1">
      <c r="A116" s="10" t="str">
        <v>T07.10</v>
      </c>
      <c r="B116" s="10" t="str">
        <v>D07</v>
      </c>
      <c r="C116" s="10" t="str">
        <v>Interest and dividend classifications across reporting frameworks.</v>
      </c>
      <c r="D116" s="16" t="str">
        <v>T07.10</v>
      </c>
      <c r="E116" s="10" t="str">
        <v>Mapped</v>
      </c>
    </row>
    <row r="117" ht="42" customHeight="1">
      <c r="A117" s="9" t="str">
        <v>T07.11</v>
      </c>
      <c r="B117" s="9" t="str">
        <v>D07</v>
      </c>
      <c r="C117" s="9" t="str">
        <v>Foreign-exchange effects on cash.</v>
      </c>
      <c r="D117" s="17" t="str">
        <v>T07.11</v>
      </c>
      <c r="E117" s="9" t="str">
        <v>Mapped</v>
      </c>
    </row>
    <row r="118" ht="42" customHeight="1">
      <c r="A118" s="10" t="str">
        <v>T07.12</v>
      </c>
      <c r="B118" s="10" t="str">
        <v>D07</v>
      </c>
      <c r="C118" s="10" t="str">
        <v>Restricted cash and cash reconciliation.</v>
      </c>
      <c r="D118" s="16" t="str">
        <v>T07.12</v>
      </c>
      <c r="E118" s="10" t="str">
        <v>Mapped</v>
      </c>
    </row>
    <row r="119" ht="42" customHeight="1">
      <c r="A119" s="9" t="str">
        <v>T07.13</v>
      </c>
      <c r="B119" s="9" t="str">
        <v>D07</v>
      </c>
      <c r="C119" s="9" t="str">
        <v>Free cash flow and its different definitions.</v>
      </c>
      <c r="D119" s="17" t="str">
        <v>T07.13</v>
      </c>
      <c r="E119" s="9" t="str">
        <v>Mapped</v>
      </c>
    </row>
    <row r="120" ht="42" customHeight="1">
      <c r="A120" s="10" t="str">
        <v>T07.14</v>
      </c>
      <c r="B120" s="10" t="str">
        <v>D07</v>
      </c>
      <c r="C120" s="10" t="str">
        <v>How transactions move through all three statements.</v>
      </c>
      <c r="D120" s="16" t="str">
        <v>T07.14</v>
      </c>
      <c r="E120" s="10" t="str">
        <v>Mapped</v>
      </c>
    </row>
    <row r="121" ht="42" customHeight="1">
      <c r="A121" s="9" t="str">
        <v>T07.15</v>
      </c>
      <c r="B121" s="9" t="str">
        <v>D07</v>
      </c>
      <c r="C121" s="9" t="str">
        <v>Why profitable companies can run out of cash.</v>
      </c>
      <c r="D121" s="17" t="str">
        <v>T07.15</v>
      </c>
      <c r="E121" s="9" t="str">
        <v>Mapped</v>
      </c>
    </row>
    <row r="122" ht="42" customHeight="1">
      <c r="A122" s="10" t="str">
        <v>T07.16</v>
      </c>
      <c r="B122" s="10" t="str">
        <v>D07</v>
      </c>
      <c r="C122" s="10" t="str">
        <v>Why cash-rich companies can report losses.</v>
      </c>
      <c r="D122" s="16" t="str">
        <v>T07.16</v>
      </c>
      <c r="E122" s="10" t="str">
        <v>Mapped</v>
      </c>
    </row>
    <row r="123" ht="42" customHeight="1">
      <c r="A123" s="9" t="str">
        <v>T08.01</v>
      </c>
      <c r="B123" s="9" t="str">
        <v>D08</v>
      </c>
      <c r="C123" s="9" t="str">
        <v>Business combinations and purchase-price allocation.</v>
      </c>
      <c r="D123" s="17" t="str">
        <v>T08.01</v>
      </c>
      <c r="E123" s="9" t="str">
        <v>Mapped</v>
      </c>
    </row>
    <row r="124" ht="42" customHeight="1">
      <c r="A124" s="10" t="str">
        <v>T08.02</v>
      </c>
      <c r="B124" s="10" t="str">
        <v>D08</v>
      </c>
      <c r="C124" s="10" t="str">
        <v>Goodwill recognition and impairment testing.</v>
      </c>
      <c r="D124" s="16" t="str">
        <v>T08.02</v>
      </c>
      <c r="E124" s="10" t="str">
        <v>Mapped</v>
      </c>
    </row>
    <row r="125" ht="42" customHeight="1">
      <c r="A125" s="9" t="str">
        <v>T08.03</v>
      </c>
      <c r="B125" s="9" t="str">
        <v>D08</v>
      </c>
      <c r="C125" s="9" t="str">
        <v>Subsidiaries, associates, and joint ventures.</v>
      </c>
      <c r="D125" s="17" t="str">
        <v>T08.03</v>
      </c>
      <c r="E125" s="9" t="str">
        <v>Mapped</v>
      </c>
    </row>
    <row r="126" ht="42" customHeight="1">
      <c r="A126" s="10" t="str">
        <v>T08.04</v>
      </c>
      <c r="B126" s="10" t="str">
        <v>D08</v>
      </c>
      <c r="C126" s="10" t="str">
        <v>Consolidation and intercompany eliminations.</v>
      </c>
      <c r="D126" s="16" t="str">
        <v>T08.04</v>
      </c>
      <c r="E126" s="10" t="str">
        <v>Mapped</v>
      </c>
    </row>
    <row r="127" ht="42" customHeight="1">
      <c r="A127" s="9" t="str">
        <v>T08.05</v>
      </c>
      <c r="B127" s="9" t="str">
        <v>D08</v>
      </c>
      <c r="C127" s="9" t="str">
        <v>Equity-method accounting.</v>
      </c>
      <c r="D127" s="17" t="str">
        <v>T08.05</v>
      </c>
      <c r="E127" s="9" t="str">
        <v>Mapped</v>
      </c>
    </row>
    <row r="128" ht="42" customHeight="1">
      <c r="A128" s="10" t="str">
        <v>T08.06</v>
      </c>
      <c r="B128" s="10" t="str">
        <v>D08</v>
      </c>
      <c r="C128" s="10" t="str">
        <v>Lease accounting.</v>
      </c>
      <c r="D128" s="16" t="str">
        <v>T08.06</v>
      </c>
      <c r="E128" s="10" t="str">
        <v>Mapped</v>
      </c>
    </row>
    <row r="129" ht="42" customHeight="1">
      <c r="A129" s="9" t="str">
        <v>T08.07</v>
      </c>
      <c r="B129" s="9" t="str">
        <v>D08</v>
      </c>
      <c r="C129" s="9" t="str">
        <v>Financial instrument classification and measurement.</v>
      </c>
      <c r="D129" s="17" t="str">
        <v>T08.07</v>
      </c>
      <c r="E129" s="9" t="str">
        <v>Mapped</v>
      </c>
    </row>
    <row r="130" ht="42" customHeight="1">
      <c r="A130" s="10" t="str">
        <v>T08.08</v>
      </c>
      <c r="B130" s="10" t="str">
        <v>D08</v>
      </c>
      <c r="C130" s="10" t="str">
        <v>Hedge accounting.</v>
      </c>
      <c r="D130" s="16" t="str">
        <v>T08.08</v>
      </c>
      <c r="E130" s="10" t="str">
        <v>Mapped</v>
      </c>
    </row>
    <row r="131" ht="42" customHeight="1">
      <c r="A131" s="9" t="str">
        <v>T08.09</v>
      </c>
      <c r="B131" s="9" t="str">
        <v>D08</v>
      </c>
      <c r="C131" s="9" t="str">
        <v>Foreign-currency transactions and translation.</v>
      </c>
      <c r="D131" s="17" t="str">
        <v>T08.09</v>
      </c>
      <c r="E131" s="9" t="str">
        <v>Mapped</v>
      </c>
    </row>
    <row r="132" ht="42" customHeight="1">
      <c r="A132" s="10" t="str">
        <v>T08.10</v>
      </c>
      <c r="B132" s="10" t="str">
        <v>D08</v>
      </c>
      <c r="C132" s="10" t="str">
        <v>Share-based compensation.</v>
      </c>
      <c r="D132" s="16" t="str">
        <v>T08.10</v>
      </c>
      <c r="E132" s="10" t="str">
        <v>Mapped</v>
      </c>
    </row>
    <row r="133" ht="42" customHeight="1">
      <c r="A133" s="9" t="str">
        <v>T08.11</v>
      </c>
      <c r="B133" s="9" t="str">
        <v>D08</v>
      </c>
      <c r="C133" s="9" t="str">
        <v>Pension and post-employment accounting.</v>
      </c>
      <c r="D133" s="17" t="str">
        <v>T08.11</v>
      </c>
      <c r="E133" s="9" t="str">
        <v>Mapped</v>
      </c>
    </row>
    <row r="134" ht="42" customHeight="1">
      <c r="A134" s="10" t="str">
        <v>T08.12</v>
      </c>
      <c r="B134" s="10" t="str">
        <v>D08</v>
      </c>
      <c r="C134" s="10" t="str">
        <v>Deferred tax and tax-loss carryforwards.</v>
      </c>
      <c r="D134" s="16" t="str">
        <v>T08.12</v>
      </c>
      <c r="E134" s="10" t="str">
        <v>Mapped</v>
      </c>
    </row>
    <row r="135" ht="42" customHeight="1">
      <c r="A135" s="9" t="str">
        <v>T08.13</v>
      </c>
      <c r="B135" s="9" t="str">
        <v>D08</v>
      </c>
      <c r="C135" s="9" t="str">
        <v>Construction and long-term contract accounting.</v>
      </c>
      <c r="D135" s="17" t="str">
        <v>T08.13</v>
      </c>
      <c r="E135" s="9" t="str">
        <v>Mapped</v>
      </c>
    </row>
    <row r="136" ht="42" customHeight="1">
      <c r="A136" s="10" t="str">
        <v>T08.14</v>
      </c>
      <c r="B136" s="10" t="str">
        <v>D08</v>
      </c>
      <c r="C136" s="10" t="str">
        <v>Securitisation and derecognition.</v>
      </c>
      <c r="D136" s="16" t="str">
        <v>T08.14</v>
      </c>
      <c r="E136" s="10" t="str">
        <v>Mapped</v>
      </c>
    </row>
    <row r="137" ht="42" customHeight="1">
      <c r="A137" s="9" t="str">
        <v>T08.15</v>
      </c>
      <c r="B137" s="9" t="str">
        <v>D08</v>
      </c>
      <c r="C137" s="9" t="str">
        <v>Related-party transactions.</v>
      </c>
      <c r="D137" s="17" t="str">
        <v>T08.15</v>
      </c>
      <c r="E137" s="9" t="str">
        <v>Mapped</v>
      </c>
    </row>
    <row r="138" ht="42" customHeight="1">
      <c r="A138" s="10" t="str">
        <v>T08.16</v>
      </c>
      <c r="B138" s="10" t="str">
        <v>D08</v>
      </c>
      <c r="C138" s="10" t="str">
        <v>Accounting for restructuring, disposals, and discontinued operations.</v>
      </c>
      <c r="D138" s="16" t="str">
        <v>T08.16</v>
      </c>
      <c r="E138" s="10" t="str">
        <v>Mapped</v>
      </c>
    </row>
    <row r="139" ht="42" customHeight="1">
      <c r="A139" s="9" t="str">
        <v>T09.01</v>
      </c>
      <c r="B139" s="9" t="str">
        <v>D09</v>
      </c>
      <c r="C139" s="9" t="str">
        <v>Common-size statements.</v>
      </c>
      <c r="D139" s="17" t="str">
        <v>T09.01</v>
      </c>
      <c r="E139" s="9" t="str">
        <v>Mapped</v>
      </c>
    </row>
    <row r="140" ht="42" customHeight="1">
      <c r="A140" s="10" t="str">
        <v>T09.02</v>
      </c>
      <c r="B140" s="10" t="str">
        <v>D09</v>
      </c>
      <c r="C140" s="10" t="str">
        <v>Horizontal and vertical analysis.</v>
      </c>
      <c r="D140" s="16" t="str">
        <v>T09.02</v>
      </c>
      <c r="E140" s="10" t="str">
        <v>Mapped</v>
      </c>
    </row>
    <row r="141" ht="42" customHeight="1">
      <c r="A141" s="9" t="str">
        <v>T09.03</v>
      </c>
      <c r="B141" s="9" t="str">
        <v>D09</v>
      </c>
      <c r="C141" s="9" t="str">
        <v>Growth analysis and trend analysis.</v>
      </c>
      <c r="D141" s="17" t="str">
        <v>T09.03</v>
      </c>
      <c r="E141" s="9" t="str">
        <v>Mapped</v>
      </c>
    </row>
    <row r="142" ht="42" customHeight="1">
      <c r="A142" s="10" t="str">
        <v>T09.04</v>
      </c>
      <c r="B142" s="10" t="str">
        <v>D09</v>
      </c>
      <c r="C142" s="10" t="str">
        <v>Liquidity ratios.</v>
      </c>
      <c r="D142" s="16" t="str">
        <v>T09.04</v>
      </c>
      <c r="E142" s="10" t="str">
        <v>Mapped</v>
      </c>
    </row>
    <row r="143" ht="42" customHeight="1">
      <c r="A143" s="9" t="str">
        <v>T09.05</v>
      </c>
      <c r="B143" s="9" t="str">
        <v>D09</v>
      </c>
      <c r="C143" s="9" t="str">
        <v>Profitability and margin ratios.</v>
      </c>
      <c r="D143" s="17" t="str">
        <v>T09.05</v>
      </c>
      <c r="E143" s="9" t="str">
        <v>Mapped</v>
      </c>
    </row>
    <row r="144" ht="42" customHeight="1">
      <c r="A144" s="10" t="str">
        <v>T09.06</v>
      </c>
      <c r="B144" s="10" t="str">
        <v>D09</v>
      </c>
      <c r="C144" s="10" t="str">
        <v>Efficiency and asset-turnover ratios.</v>
      </c>
      <c r="D144" s="16" t="str">
        <v>T09.06</v>
      </c>
      <c r="E144" s="10" t="str">
        <v>Mapped</v>
      </c>
    </row>
    <row r="145" ht="42" customHeight="1">
      <c r="A145" s="9" t="str">
        <v>T09.07</v>
      </c>
      <c r="B145" s="9" t="str">
        <v>D09</v>
      </c>
      <c r="C145" s="9" t="str">
        <v>Leverage, coverage, and solvency ratios.</v>
      </c>
      <c r="D145" s="17" t="str">
        <v>T09.07</v>
      </c>
      <c r="E145" s="9" t="str">
        <v>Mapped</v>
      </c>
    </row>
    <row r="146" ht="42" customHeight="1">
      <c r="A146" s="10" t="str">
        <v>T09.08</v>
      </c>
      <c r="B146" s="10" t="str">
        <v>D09</v>
      </c>
      <c r="C146" s="10" t="str">
        <v>ROA, ROE, ROCE, and ROIC.</v>
      </c>
      <c r="D146" s="16" t="str">
        <v>T09.08</v>
      </c>
      <c r="E146" s="10" t="str">
        <v>Mapped</v>
      </c>
    </row>
    <row r="147" ht="42" customHeight="1">
      <c r="A147" s="9" t="str">
        <v>T09.09</v>
      </c>
      <c r="B147" s="9" t="str">
        <v>D09</v>
      </c>
      <c r="C147" s="9" t="str">
        <v>DuPont analysis.</v>
      </c>
      <c r="D147" s="17" t="str">
        <v>T09.09</v>
      </c>
      <c r="E147" s="9" t="str">
        <v>Mapped</v>
      </c>
    </row>
    <row r="148" ht="42" customHeight="1">
      <c r="A148" s="10" t="str">
        <v>T09.10</v>
      </c>
      <c r="B148" s="10" t="str">
        <v>D09</v>
      </c>
      <c r="C148" s="10" t="str">
        <v>Cash conversion and earnings-to-cash conversion.</v>
      </c>
      <c r="D148" s="16" t="str">
        <v>T09.10</v>
      </c>
      <c r="E148" s="10" t="str">
        <v>Mapped</v>
      </c>
    </row>
    <row r="149" ht="42" customHeight="1">
      <c r="A149" s="9" t="str">
        <v>T09.11</v>
      </c>
      <c r="B149" s="9" t="str">
        <v>D09</v>
      </c>
      <c r="C149" s="9" t="str">
        <v>Operating leverage and financial leverage.</v>
      </c>
      <c r="D149" s="17" t="str">
        <v>T09.11</v>
      </c>
      <c r="E149" s="9" t="str">
        <v>Mapped</v>
      </c>
    </row>
    <row r="150" ht="42" customHeight="1">
      <c r="A150" s="10" t="str">
        <v>T09.12</v>
      </c>
      <c r="B150" s="10" t="str">
        <v>D09</v>
      </c>
      <c r="C150" s="10" t="str">
        <v>Sustainable growth and internal growth.</v>
      </c>
      <c r="D150" s="16" t="str">
        <v>T09.12</v>
      </c>
      <c r="E150" s="10" t="str">
        <v>Mapped</v>
      </c>
    </row>
    <row r="151" ht="42" customHeight="1">
      <c r="A151" s="9" t="str">
        <v>T09.13</v>
      </c>
      <c r="B151" s="9" t="str">
        <v>D09</v>
      </c>
      <c r="C151" s="9" t="str">
        <v>Incremental returns on capital.</v>
      </c>
      <c r="D151" s="17" t="str">
        <v>T09.13</v>
      </c>
      <c r="E151" s="9" t="str">
        <v>Mapped</v>
      </c>
    </row>
    <row r="152" ht="42" customHeight="1">
      <c r="A152" s="10" t="str">
        <v>T09.14</v>
      </c>
      <c r="B152" s="10" t="str">
        <v>D09</v>
      </c>
      <c r="C152" s="10" t="str">
        <v>Segment analysis.</v>
      </c>
      <c r="D152" s="16" t="str">
        <v>T09.14</v>
      </c>
      <c r="E152" s="10" t="str">
        <v>Mapped</v>
      </c>
    </row>
    <row r="153" ht="42" customHeight="1">
      <c r="A153" s="9" t="str">
        <v>T09.15</v>
      </c>
      <c r="B153" s="9" t="str">
        <v>D09</v>
      </c>
      <c r="C153" s="9" t="str">
        <v>Peer benchmarking and industry-specific ratios.</v>
      </c>
      <c r="D153" s="17" t="str">
        <v>T09.15</v>
      </c>
      <c r="E153" s="9" t="str">
        <v>Mapped</v>
      </c>
    </row>
    <row r="154" ht="42" customHeight="1">
      <c r="A154" s="10" t="str">
        <v>T09.16</v>
      </c>
      <c r="B154" s="10" t="str">
        <v>D09</v>
      </c>
      <c r="C154" s="10" t="str">
        <v>Normalising financial statements.</v>
      </c>
      <c r="D154" s="16" t="str">
        <v>T09.16</v>
      </c>
      <c r="E154" s="10" t="str">
        <v>Mapped</v>
      </c>
    </row>
    <row r="155" ht="42" customHeight="1">
      <c r="A155" s="9" t="str">
        <v>T09.17</v>
      </c>
      <c r="B155" s="9" t="str">
        <v>D09</v>
      </c>
      <c r="C155" s="9" t="str">
        <v>Seasonality, cyclicality, and base effects.</v>
      </c>
      <c r="D155" s="17" t="str">
        <v>T09.17</v>
      </c>
      <c r="E155" s="9" t="str">
        <v>Mapped</v>
      </c>
    </row>
    <row r="156" ht="42" customHeight="1">
      <c r="A156" s="10" t="str">
        <v>T09.18</v>
      </c>
      <c r="B156" s="10" t="str">
        <v>D09</v>
      </c>
      <c r="C156" s="10" t="str">
        <v>Reconciling reported, adjusted, and underlying performance.</v>
      </c>
      <c r="D156" s="16" t="str">
        <v>T09.18</v>
      </c>
      <c r="E156" s="10" t="str">
        <v>Mapped</v>
      </c>
    </row>
    <row r="157" ht="42" customHeight="1">
      <c r="A157" s="9" t="str">
        <v>T10.01</v>
      </c>
      <c r="B157" s="9" t="str">
        <v>D10</v>
      </c>
      <c r="C157" s="9" t="str">
        <v>Earnings quality versus earnings growth.</v>
      </c>
      <c r="D157" s="17" t="str">
        <v>T10.01</v>
      </c>
      <c r="E157" s="9" t="str">
        <v>Mapped</v>
      </c>
    </row>
    <row r="158" ht="42" customHeight="1">
      <c r="A158" s="10" t="str">
        <v>T10.02</v>
      </c>
      <c r="B158" s="10" t="str">
        <v>D10</v>
      </c>
      <c r="C158" s="10" t="str">
        <v>Aggressive revenue recognition.</v>
      </c>
      <c r="D158" s="16" t="str">
        <v>T10.02</v>
      </c>
      <c r="E158" s="10" t="str">
        <v>Mapped</v>
      </c>
    </row>
    <row r="159" ht="42" customHeight="1">
      <c r="A159" s="9" t="str">
        <v>T10.03</v>
      </c>
      <c r="B159" s="9" t="str">
        <v>D10</v>
      </c>
      <c r="C159" s="9" t="str">
        <v>Channel stuffing and round-tripping.</v>
      </c>
      <c r="D159" s="17" t="str">
        <v>T10.03</v>
      </c>
      <c r="E159" s="9" t="str">
        <v>Mapped</v>
      </c>
    </row>
    <row r="160" ht="42" customHeight="1">
      <c r="A160" s="10" t="str">
        <v>T10.04</v>
      </c>
      <c r="B160" s="10" t="str">
        <v>D10</v>
      </c>
      <c r="C160" s="10" t="str">
        <v>Expense deferral and improper capitalisation.</v>
      </c>
      <c r="D160" s="16" t="str">
        <v>T10.04</v>
      </c>
      <c r="E160" s="10" t="str">
        <v>Mapped</v>
      </c>
    </row>
    <row r="161" ht="42" customHeight="1">
      <c r="A161" s="9" t="str">
        <v>T10.05</v>
      </c>
      <c r="B161" s="9" t="str">
        <v>D10</v>
      </c>
      <c r="C161" s="9" t="str">
        <v>Provision manipulation and reserve releases.</v>
      </c>
      <c r="D161" s="17" t="str">
        <v>T10.05</v>
      </c>
      <c r="E161" s="9" t="str">
        <v>Mapped</v>
      </c>
    </row>
    <row r="162" ht="42" customHeight="1">
      <c r="A162" s="10" t="str">
        <v>T10.06</v>
      </c>
      <c r="B162" s="10" t="str">
        <v>D10</v>
      </c>
      <c r="C162" s="10" t="str">
        <v>Accrual quality.</v>
      </c>
      <c r="D162" s="16" t="str">
        <v>T10.06</v>
      </c>
      <c r="E162" s="10" t="str">
        <v>Mapped</v>
      </c>
    </row>
    <row r="163" ht="42" customHeight="1">
      <c r="A163" s="9" t="str">
        <v>T10.07</v>
      </c>
      <c r="B163" s="9" t="str">
        <v>D10</v>
      </c>
      <c r="C163" s="9" t="str">
        <v>Receivables and inventory warning signs.</v>
      </c>
      <c r="D163" s="17" t="str">
        <v>T10.07</v>
      </c>
      <c r="E163" s="9" t="str">
        <v>Mapped</v>
      </c>
    </row>
    <row r="164" ht="42" customHeight="1">
      <c r="A164" s="10" t="str">
        <v>T10.08</v>
      </c>
      <c r="B164" s="10" t="str">
        <v>D10</v>
      </c>
      <c r="C164" s="10" t="str">
        <v>Cash-flow classification manipulation.</v>
      </c>
      <c r="D164" s="16" t="str">
        <v>T10.08</v>
      </c>
      <c r="E164" s="10" t="str">
        <v>Mapped</v>
      </c>
    </row>
    <row r="165" ht="42" customHeight="1">
      <c r="A165" s="9" t="str">
        <v>T10.09</v>
      </c>
      <c r="B165" s="9" t="str">
        <v>D10</v>
      </c>
      <c r="C165" s="9" t="str">
        <v>Related-party dealings and fund diversion.</v>
      </c>
      <c r="D165" s="17" t="str">
        <v>T10.09</v>
      </c>
      <c r="E165" s="9" t="str">
        <v>Mapped</v>
      </c>
    </row>
    <row r="166" ht="42" customHeight="1">
      <c r="A166" s="10" t="str">
        <v>T10.10</v>
      </c>
      <c r="B166" s="10" t="str">
        <v>D10</v>
      </c>
      <c r="C166" s="10" t="str">
        <v>Hidden leverage and guarantees.</v>
      </c>
      <c r="D166" s="16" t="str">
        <v>T10.10</v>
      </c>
      <c r="E166" s="10" t="str">
        <v>Mapped</v>
      </c>
    </row>
    <row r="167" ht="42" customHeight="1">
      <c r="A167" s="9" t="str">
        <v>T10.11</v>
      </c>
      <c r="B167" s="9" t="str">
        <v>D10</v>
      </c>
      <c r="C167" s="9" t="str">
        <v>Auditor opinions, qualifications, and emphasis-of-matter paragraphs.</v>
      </c>
      <c r="D167" s="17" t="str">
        <v>T10.11</v>
      </c>
      <c r="E167" s="9" t="str">
        <v>Mapped</v>
      </c>
    </row>
    <row r="168" ht="42" customHeight="1">
      <c r="A168" s="10" t="str">
        <v>T10.12</v>
      </c>
      <c r="B168" s="10" t="str">
        <v>D10</v>
      </c>
      <c r="C168" s="10" t="str">
        <v>Restatements and internal-control weaknesses.</v>
      </c>
      <c r="D168" s="16" t="str">
        <v>T10.12</v>
      </c>
      <c r="E168" s="10" t="str">
        <v>Mapped</v>
      </c>
    </row>
    <row r="169" ht="42" customHeight="1">
      <c r="A169" s="9" t="str">
        <v>T10.13</v>
      </c>
      <c r="B169" s="9" t="str">
        <v>D10</v>
      </c>
      <c r="C169" s="9" t="str">
        <v>Financial distress and fraud-screening models.</v>
      </c>
      <c r="D169" s="17" t="str">
        <v>T10.13</v>
      </c>
      <c r="E169" s="9" t="str">
        <v>Mapped</v>
      </c>
    </row>
    <row r="170" ht="42" customHeight="1">
      <c r="A170" s="10" t="str">
        <v>T10.14</v>
      </c>
      <c r="B170" s="10" t="str">
        <v>D10</v>
      </c>
      <c r="C170" s="10" t="str">
        <v>Management adjustments and misleading non-GAAP metrics.</v>
      </c>
      <c r="D170" s="16" t="str">
        <v>T10.14</v>
      </c>
      <c r="E170" s="10" t="str">
        <v>Mapped</v>
      </c>
    </row>
    <row r="171" ht="42" customHeight="1">
      <c r="A171" s="9" t="str">
        <v>T10.15</v>
      </c>
      <c r="B171" s="9" t="str">
        <v>D10</v>
      </c>
      <c r="C171" s="9" t="str">
        <v>Financial footnote investigation.</v>
      </c>
      <c r="D171" s="17" t="str">
        <v>T10.15</v>
      </c>
      <c r="E171" s="9" t="str">
        <v>Mapped</v>
      </c>
    </row>
    <row r="172" ht="42" customHeight="1">
      <c r="A172" s="10" t="str">
        <v>T11.01</v>
      </c>
      <c r="B172" s="10" t="str">
        <v>D11</v>
      </c>
      <c r="C172" s="10" t="str">
        <v>Revenue models and cost structures.</v>
      </c>
      <c r="D172" s="16" t="str">
        <v>T11.01</v>
      </c>
      <c r="E172" s="10" t="str">
        <v>Mapped</v>
      </c>
    </row>
    <row r="173" ht="42" customHeight="1">
      <c r="A173" s="9" t="str">
        <v>T11.02</v>
      </c>
      <c r="B173" s="9" t="str">
        <v>D11</v>
      </c>
      <c r="C173" s="9" t="str">
        <v>Fixed, variable, and semi-variable costs.</v>
      </c>
      <c r="D173" s="17" t="str">
        <v>T11.02</v>
      </c>
      <c r="E173" s="9" t="str">
        <v>Mapped</v>
      </c>
    </row>
    <row r="174" ht="42" customHeight="1">
      <c r="A174" s="10" t="str">
        <v>T11.03</v>
      </c>
      <c r="B174" s="10" t="str">
        <v>D11</v>
      </c>
      <c r="C174" s="10" t="str">
        <v>Contribution margin and break-even analysis.</v>
      </c>
      <c r="D174" s="16" t="str">
        <v>T11.03</v>
      </c>
      <c r="E174" s="10" t="str">
        <v>Mapped</v>
      </c>
    </row>
    <row r="175" ht="42" customHeight="1">
      <c r="A175" s="9" t="str">
        <v>T11.04</v>
      </c>
      <c r="B175" s="9" t="str">
        <v>D11</v>
      </c>
      <c r="C175" s="9" t="str">
        <v>Price-volume-mix analysis.</v>
      </c>
      <c r="D175" s="17" t="str">
        <v>T11.04</v>
      </c>
      <c r="E175" s="9" t="str">
        <v>Mapped</v>
      </c>
    </row>
    <row r="176" ht="42" customHeight="1">
      <c r="A176" s="10" t="str">
        <v>T11.05</v>
      </c>
      <c r="B176" s="10" t="str">
        <v>D11</v>
      </c>
      <c r="C176" s="10" t="str">
        <v>Capacity utilisation and operating leverage.</v>
      </c>
      <c r="D176" s="16" t="str">
        <v>T11.05</v>
      </c>
      <c r="E176" s="10" t="str">
        <v>Mapped</v>
      </c>
    </row>
    <row r="177" ht="42" customHeight="1">
      <c r="A177" s="9" t="str">
        <v>T11.06</v>
      </c>
      <c r="B177" s="9" t="str">
        <v>D11</v>
      </c>
      <c r="C177" s="9" t="str">
        <v>Economies of scale and economies of scope.</v>
      </c>
      <c r="D177" s="17" t="str">
        <v>T11.06</v>
      </c>
      <c r="E177" s="9" t="str">
        <v>Mapped</v>
      </c>
    </row>
    <row r="178" ht="42" customHeight="1">
      <c r="A178" s="10" t="str">
        <v>T11.07</v>
      </c>
      <c r="B178" s="10" t="str">
        <v>D11</v>
      </c>
      <c r="C178" s="10" t="str">
        <v>Customer acquisition cost.</v>
      </c>
      <c r="D178" s="16" t="str">
        <v>T11.07</v>
      </c>
      <c r="E178" s="10" t="str">
        <v>Mapped</v>
      </c>
    </row>
    <row r="179" ht="42" customHeight="1">
      <c r="A179" s="9" t="str">
        <v>T11.08</v>
      </c>
      <c r="B179" s="9" t="str">
        <v>D11</v>
      </c>
      <c r="C179" s="9" t="str">
        <v>Customer lifetime value.</v>
      </c>
      <c r="D179" s="17" t="str">
        <v>T11.08</v>
      </c>
      <c r="E179" s="9" t="str">
        <v>Mapped</v>
      </c>
    </row>
    <row r="180" ht="42" customHeight="1">
      <c r="A180" s="10" t="str">
        <v>T11.09</v>
      </c>
      <c r="B180" s="10" t="str">
        <v>D11</v>
      </c>
      <c r="C180" s="10" t="str">
        <v>Retention, churn, and cohort economics.</v>
      </c>
      <c r="D180" s="16" t="str">
        <v>T11.09</v>
      </c>
      <c r="E180" s="10" t="str">
        <v>Mapped</v>
      </c>
    </row>
    <row r="181" ht="42" customHeight="1">
      <c r="A181" s="9" t="str">
        <v>T11.10</v>
      </c>
      <c r="B181" s="9" t="str">
        <v>D11</v>
      </c>
      <c r="C181" s="9" t="str">
        <v>Customer and product profitability.</v>
      </c>
      <c r="D181" s="17" t="str">
        <v>T11.10</v>
      </c>
      <c r="E181" s="9" t="str">
        <v>Mapped</v>
      </c>
    </row>
    <row r="182" ht="42" customHeight="1">
      <c r="A182" s="10" t="str">
        <v>T11.11</v>
      </c>
      <c r="B182" s="10" t="str">
        <v>D11</v>
      </c>
      <c r="C182" s="10" t="str">
        <v>Payback periods and contribution after acquisition costs.</v>
      </c>
      <c r="D182" s="16" t="str">
        <v>T11.11</v>
      </c>
      <c r="E182" s="10" t="str">
        <v>Mapped</v>
      </c>
    </row>
    <row r="183" ht="42" customHeight="1">
      <c r="A183" s="9" t="str">
        <v>T11.12</v>
      </c>
      <c r="B183" s="9" t="str">
        <v>D11</v>
      </c>
      <c r="C183" s="9" t="str">
        <v>Working-capital intensity and capital intensity.</v>
      </c>
      <c r="D183" s="17" t="str">
        <v>T11.12</v>
      </c>
      <c r="E183" s="9" t="str">
        <v>Mapped</v>
      </c>
    </row>
    <row r="184" ht="42" customHeight="1">
      <c r="A184" s="10" t="str">
        <v>T11.13</v>
      </c>
      <c r="B184" s="10" t="str">
        <v>D11</v>
      </c>
      <c r="C184" s="10" t="str">
        <v>Network effects and financial implications.</v>
      </c>
      <c r="D184" s="16" t="str">
        <v>T11.13</v>
      </c>
      <c r="E184" s="10" t="str">
        <v>Mapped</v>
      </c>
    </row>
    <row r="185" ht="42" customHeight="1">
      <c r="A185" s="9" t="str">
        <v>T11.14</v>
      </c>
      <c r="B185" s="9" t="str">
        <v>D11</v>
      </c>
      <c r="C185" s="9" t="str">
        <v>Pricing, discounting, and revenue management.</v>
      </c>
      <c r="D185" s="17" t="str">
        <v>T11.14</v>
      </c>
      <c r="E185" s="9" t="str">
        <v>Mapped</v>
      </c>
    </row>
    <row r="186" ht="42" customHeight="1">
      <c r="A186" s="10" t="str">
        <v>T11.15</v>
      </c>
      <c r="B186" s="10" t="str">
        <v>D11</v>
      </c>
      <c r="C186" s="10" t="str">
        <v>Linking business drivers to financial results.</v>
      </c>
      <c r="D186" s="16" t="str">
        <v>T11.15</v>
      </c>
      <c r="E186" s="10" t="str">
        <v>Mapped</v>
      </c>
    </row>
    <row r="187" ht="42" customHeight="1">
      <c r="A187" s="9" t="str">
        <v>T12.01</v>
      </c>
      <c r="B187" s="9" t="str">
        <v>D12</v>
      </c>
      <c r="C187" s="9" t="str">
        <v>Objectives of the firm and shareholder value.</v>
      </c>
      <c r="D187" s="17" t="str">
        <v>T12.01</v>
      </c>
      <c r="E187" s="9" t="str">
        <v>Mapped</v>
      </c>
    </row>
    <row r="188" ht="42" customHeight="1">
      <c r="A188" s="10" t="str">
        <v>T12.02</v>
      </c>
      <c r="B188" s="10" t="str">
        <v>D12</v>
      </c>
      <c r="C188" s="10" t="str">
        <v>Stakeholder trade-offs and agency costs.</v>
      </c>
      <c r="D188" s="16" t="str">
        <v>T12.02</v>
      </c>
      <c r="E188" s="10" t="str">
        <v>Mapped</v>
      </c>
    </row>
    <row r="189" ht="42" customHeight="1">
      <c r="A189" s="9" t="str">
        <v>T12.03</v>
      </c>
      <c r="B189" s="9" t="str">
        <v>D12</v>
      </c>
      <c r="C189" s="9" t="str">
        <v>Investment, financing, and payout decisions.</v>
      </c>
      <c r="D189" s="17" t="str">
        <v>T12.03</v>
      </c>
      <c r="E189" s="9" t="str">
        <v>Mapped</v>
      </c>
    </row>
    <row r="190" ht="42" customHeight="1">
      <c r="A190" s="10" t="str">
        <v>T12.04</v>
      </c>
      <c r="B190" s="10" t="str">
        <v>D12</v>
      </c>
      <c r="C190" s="10" t="str">
        <v>Capital budgeting.</v>
      </c>
      <c r="D190" s="16" t="str">
        <v>T12.04</v>
      </c>
      <c r="E190" s="10" t="str">
        <v>Mapped</v>
      </c>
    </row>
    <row r="191" ht="42" customHeight="1">
      <c r="A191" s="9" t="str">
        <v>T12.05</v>
      </c>
      <c r="B191" s="9" t="str">
        <v>D12</v>
      </c>
      <c r="C191" s="9" t="str">
        <v>Incremental cash flows.</v>
      </c>
      <c r="D191" s="17" t="str">
        <v>T12.05</v>
      </c>
      <c r="E191" s="9" t="str">
        <v>Mapped</v>
      </c>
    </row>
    <row r="192" ht="42" customHeight="1">
      <c r="A192" s="10" t="str">
        <v>T12.06</v>
      </c>
      <c r="B192" s="10" t="str">
        <v>D12</v>
      </c>
      <c r="C192" s="10" t="str">
        <v>Sunk costs, opportunity costs, and externalities.</v>
      </c>
      <c r="D192" s="16" t="str">
        <v>T12.06</v>
      </c>
      <c r="E192" s="10" t="str">
        <v>Mapped</v>
      </c>
    </row>
    <row r="193" ht="42" customHeight="1">
      <c r="A193" s="9" t="str">
        <v>T12.07</v>
      </c>
      <c r="B193" s="9" t="str">
        <v>D12</v>
      </c>
      <c r="C193" s="9" t="str">
        <v>Replacement, expansion, and mutually exclusive projects.</v>
      </c>
      <c r="D193" s="17" t="str">
        <v>T12.07</v>
      </c>
      <c r="E193" s="9" t="str">
        <v>Mapped</v>
      </c>
    </row>
    <row r="194" ht="42" customHeight="1">
      <c r="A194" s="10" t="str">
        <v>T12.08</v>
      </c>
      <c r="B194" s="10" t="str">
        <v>D12</v>
      </c>
      <c r="C194" s="10" t="str">
        <v>NPV, IRR, MIRR, payback, and profitability index.</v>
      </c>
      <c r="D194" s="16" t="str">
        <v>T12.08</v>
      </c>
      <c r="E194" s="10" t="str">
        <v>Mapped</v>
      </c>
    </row>
    <row r="195" ht="42" customHeight="1">
      <c r="A195" s="9" t="str">
        <v>T12.09</v>
      </c>
      <c r="B195" s="9" t="str">
        <v>D12</v>
      </c>
      <c r="C195" s="9" t="str">
        <v>Equivalent annual cost.</v>
      </c>
      <c r="D195" s="17" t="str">
        <v>T12.09</v>
      </c>
      <c r="E195" s="9" t="str">
        <v>Mapped</v>
      </c>
    </row>
    <row r="196" ht="42" customHeight="1">
      <c r="A196" s="10" t="str">
        <v>T12.10</v>
      </c>
      <c r="B196" s="10" t="str">
        <v>D12</v>
      </c>
      <c r="C196" s="10" t="str">
        <v>Capital rationing.</v>
      </c>
      <c r="D196" s="16" t="str">
        <v>T12.10</v>
      </c>
      <c r="E196" s="10" t="str">
        <v>Mapped</v>
      </c>
    </row>
    <row r="197" ht="42" customHeight="1">
      <c r="A197" s="9" t="str">
        <v>T12.11</v>
      </c>
      <c r="B197" s="9" t="str">
        <v>D12</v>
      </c>
      <c r="C197" s="9" t="str">
        <v>Project risk and scenario analysis.</v>
      </c>
      <c r="D197" s="17" t="str">
        <v>T12.11</v>
      </c>
      <c r="E197" s="9" t="str">
        <v>Mapped</v>
      </c>
    </row>
    <row r="198" ht="42" customHeight="1">
      <c r="A198" s="10" t="str">
        <v>T12.12</v>
      </c>
      <c r="B198" s="10" t="str">
        <v>D12</v>
      </c>
      <c r="C198" s="10" t="str">
        <v>Real options: delay, expand, abandon, and switch.</v>
      </c>
      <c r="D198" s="16" t="str">
        <v>T12.12</v>
      </c>
      <c r="E198" s="10" t="str">
        <v>Mapped</v>
      </c>
    </row>
    <row r="199" ht="42" customHeight="1">
      <c r="A199" s="9" t="str">
        <v>T12.13</v>
      </c>
      <c r="B199" s="9" t="str">
        <v>D12</v>
      </c>
      <c r="C199" s="9" t="str">
        <v>Dividends and share repurchases.</v>
      </c>
      <c r="D199" s="17" t="str">
        <v>T12.13</v>
      </c>
      <c r="E199" s="9" t="str">
        <v>Mapped</v>
      </c>
    </row>
    <row r="200" ht="42" customHeight="1">
      <c r="A200" s="10" t="str">
        <v>T12.14</v>
      </c>
      <c r="B200" s="10" t="str">
        <v>D12</v>
      </c>
      <c r="C200" s="10" t="str">
        <v>Organic growth versus acquisitions.</v>
      </c>
      <c r="D200" s="16" t="str">
        <v>T12.14</v>
      </c>
      <c r="E200" s="10" t="str">
        <v>Mapped</v>
      </c>
    </row>
    <row r="201" ht="42" customHeight="1">
      <c r="A201" s="9" t="str">
        <v>T12.15</v>
      </c>
      <c r="B201" s="9" t="str">
        <v>D12</v>
      </c>
      <c r="C201" s="9" t="str">
        <v>Capital allocation performance and management incentives.</v>
      </c>
      <c r="D201" s="17" t="str">
        <v>T12.15</v>
      </c>
      <c r="E201" s="9" t="str">
        <v>Mapped</v>
      </c>
    </row>
    <row r="202" ht="42" customHeight="1">
      <c r="A202" s="10" t="str">
        <v>T13.01</v>
      </c>
      <c r="B202" s="10" t="str">
        <v>D13</v>
      </c>
      <c r="C202" s="10" t="str">
        <v>Cost of equity.</v>
      </c>
      <c r="D202" s="16" t="str">
        <v>T13.01</v>
      </c>
      <c r="E202" s="10" t="str">
        <v>Mapped</v>
      </c>
    </row>
    <row r="203" ht="42" customHeight="1">
      <c r="A203" s="9" t="str">
        <v>T13.02</v>
      </c>
      <c r="B203" s="9" t="str">
        <v>D13</v>
      </c>
      <c r="C203" s="9" t="str">
        <v>Capital Asset Pricing Model.</v>
      </c>
      <c r="D203" s="17" t="str">
        <v>T13.02</v>
      </c>
      <c r="E203" s="9" t="str">
        <v>Mapped</v>
      </c>
    </row>
    <row r="204" ht="42" customHeight="1">
      <c r="A204" s="10" t="str">
        <v>T13.03</v>
      </c>
      <c r="B204" s="10" t="str">
        <v>D13</v>
      </c>
      <c r="C204" s="10" t="str">
        <v>Risk-free rate and equity risk premium.</v>
      </c>
      <c r="D204" s="16" t="str">
        <v>T13.03</v>
      </c>
      <c r="E204" s="10" t="str">
        <v>Mapped</v>
      </c>
    </row>
    <row r="205" ht="42" customHeight="1">
      <c r="A205" s="9" t="str">
        <v>T13.04</v>
      </c>
      <c r="B205" s="9" t="str">
        <v>D13</v>
      </c>
      <c r="C205" s="9" t="str">
        <v>Beta estimation.</v>
      </c>
      <c r="D205" s="17" t="str">
        <v>T13.04</v>
      </c>
      <c r="E205" s="9" t="str">
        <v>Mapped</v>
      </c>
    </row>
    <row r="206" ht="42" customHeight="1">
      <c r="A206" s="10" t="str">
        <v>T13.05</v>
      </c>
      <c r="B206" s="10" t="str">
        <v>D13</v>
      </c>
      <c r="C206" s="10" t="str">
        <v>Levered and unlevered beta.</v>
      </c>
      <c r="D206" s="16" t="str">
        <v>T13.05</v>
      </c>
      <c r="E206" s="10" t="str">
        <v>Mapped</v>
      </c>
    </row>
    <row r="207" ht="42" customHeight="1">
      <c r="A207" s="9" t="str">
        <v>T13.06</v>
      </c>
      <c r="B207" s="9" t="str">
        <v>D13</v>
      </c>
      <c r="C207" s="9" t="str">
        <v>Bottom-up beta.</v>
      </c>
      <c r="D207" s="17" t="str">
        <v>T13.06</v>
      </c>
      <c r="E207" s="9" t="str">
        <v>Mapped</v>
      </c>
    </row>
    <row r="208" ht="42" customHeight="1">
      <c r="A208" s="10" t="str">
        <v>T13.07</v>
      </c>
      <c r="B208" s="10" t="str">
        <v>D13</v>
      </c>
      <c r="C208" s="10" t="str">
        <v>Country risk and currency consistency.</v>
      </c>
      <c r="D208" s="16" t="str">
        <v>T13.07</v>
      </c>
      <c r="E208" s="10" t="str">
        <v>Mapped</v>
      </c>
    </row>
    <row r="209" ht="42" customHeight="1">
      <c r="A209" s="9" t="str">
        <v>T13.08</v>
      </c>
      <c r="B209" s="9" t="str">
        <v>D13</v>
      </c>
      <c r="C209" s="9" t="str">
        <v>Cost of debt and credit spreads.</v>
      </c>
      <c r="D209" s="17" t="str">
        <v>T13.08</v>
      </c>
      <c r="E209" s="9" t="str">
        <v>Mapped</v>
      </c>
    </row>
    <row r="210" ht="42" customHeight="1">
      <c r="A210" s="10" t="str">
        <v>T13.09</v>
      </c>
      <c r="B210" s="10" t="str">
        <v>D13</v>
      </c>
      <c r="C210" s="10" t="str">
        <v>Preferred capital and hybrid instruments.</v>
      </c>
      <c r="D210" s="16" t="str">
        <v>T13.09</v>
      </c>
      <c r="E210" s="10" t="str">
        <v>Mapped</v>
      </c>
    </row>
    <row r="211" ht="42" customHeight="1">
      <c r="A211" s="9" t="str">
        <v>T13.10</v>
      </c>
      <c r="B211" s="9" t="str">
        <v>D13</v>
      </c>
      <c r="C211" s="9" t="str">
        <v>Weighted average cost of capital.</v>
      </c>
      <c r="D211" s="17" t="str">
        <v>T13.10</v>
      </c>
      <c r="E211" s="9" t="str">
        <v>Mapped</v>
      </c>
    </row>
    <row r="212" ht="42" customHeight="1">
      <c r="A212" s="10" t="str">
        <v>T13.11</v>
      </c>
      <c r="B212" s="10" t="str">
        <v>D13</v>
      </c>
      <c r="C212" s="10" t="str">
        <v>Market-value versus book-value weights.</v>
      </c>
      <c r="D212" s="16" t="str">
        <v>T13.11</v>
      </c>
      <c r="E212" s="10" t="str">
        <v>Mapped</v>
      </c>
    </row>
    <row r="213" ht="42" customHeight="1">
      <c r="A213" s="9" t="str">
        <v>T13.12</v>
      </c>
      <c r="B213" s="9" t="str">
        <v>D13</v>
      </c>
      <c r="C213" s="9" t="str">
        <v>Marginal versus historical financing costs.</v>
      </c>
      <c r="D213" s="17" t="str">
        <v>T13.12</v>
      </c>
      <c r="E213" s="9" t="str">
        <v>Mapped</v>
      </c>
    </row>
    <row r="214" ht="42" customHeight="1">
      <c r="A214" s="10" t="str">
        <v>T13.13</v>
      </c>
      <c r="B214" s="10" t="str">
        <v>D13</v>
      </c>
      <c r="C214" s="10" t="str">
        <v>Modigliani-Miller propositions.</v>
      </c>
      <c r="D214" s="16" t="str">
        <v>T13.13</v>
      </c>
      <c r="E214" s="10" t="str">
        <v>Mapped</v>
      </c>
    </row>
    <row r="215" ht="42" customHeight="1">
      <c r="A215" s="9" t="str">
        <v>T13.14</v>
      </c>
      <c r="B215" s="9" t="str">
        <v>D13</v>
      </c>
      <c r="C215" s="9" t="str">
        <v>Interest tax shields.</v>
      </c>
      <c r="D215" s="17" t="str">
        <v>T13.14</v>
      </c>
      <c r="E215" s="9" t="str">
        <v>Mapped</v>
      </c>
    </row>
    <row r="216" ht="42" customHeight="1">
      <c r="A216" s="10" t="str">
        <v>T13.15</v>
      </c>
      <c r="B216" s="10" t="str">
        <v>D13</v>
      </c>
      <c r="C216" s="10" t="str">
        <v>Trade-off theory and pecking-order theory.</v>
      </c>
      <c r="D216" s="16" t="str">
        <v>T13.15</v>
      </c>
      <c r="E216" s="10" t="str">
        <v>Mapped</v>
      </c>
    </row>
    <row r="217" ht="42" customHeight="1">
      <c r="A217" s="9" t="str">
        <v>T13.16</v>
      </c>
      <c r="B217" s="9" t="str">
        <v>D13</v>
      </c>
      <c r="C217" s="9" t="str">
        <v>Financial distress costs and optimal leverage.</v>
      </c>
      <c r="D217" s="17" t="str">
        <v>T13.16</v>
      </c>
      <c r="E217" s="9" t="str">
        <v>Mapped</v>
      </c>
    </row>
    <row r="218" ht="42" customHeight="1">
      <c r="A218" s="10" t="str">
        <v>T13.17</v>
      </c>
      <c r="B218" s="10" t="str">
        <v>D13</v>
      </c>
      <c r="C218" s="10" t="str">
        <v>Adjusted present value.</v>
      </c>
      <c r="D218" s="16" t="str">
        <v>T13.17</v>
      </c>
      <c r="E218" s="10" t="str">
        <v>Mapped</v>
      </c>
    </row>
    <row r="219" ht="42" customHeight="1">
      <c r="A219" s="9" t="str">
        <v>T13.18</v>
      </c>
      <c r="B219" s="9" t="str">
        <v>D13</v>
      </c>
      <c r="C219" s="9" t="str">
        <v>Changing leverage and project-specific discount rates.</v>
      </c>
      <c r="D219" s="17" t="str">
        <v>T13.18</v>
      </c>
      <c r="E219" s="9" t="str">
        <v>Mapped</v>
      </c>
    </row>
    <row r="220" ht="42" customHeight="1">
      <c r="A220" s="10" t="str">
        <v>T14.01</v>
      </c>
      <c r="B220" s="10" t="str">
        <v>D14</v>
      </c>
      <c r="C220" s="10" t="str">
        <v>Operating working capital versus total working capital.</v>
      </c>
      <c r="D220" s="16" t="str">
        <v>T14.01</v>
      </c>
      <c r="E220" s="10" t="str">
        <v>Mapped</v>
      </c>
    </row>
    <row r="221" ht="42" customHeight="1">
      <c r="A221" s="9" t="str">
        <v>T14.02</v>
      </c>
      <c r="B221" s="9" t="str">
        <v>D14</v>
      </c>
      <c r="C221" s="9" t="str">
        <v>Cash conversion cycle.</v>
      </c>
      <c r="D221" s="17" t="str">
        <v>T14.02</v>
      </c>
      <c r="E221" s="9" t="str">
        <v>Mapped</v>
      </c>
    </row>
    <row r="222" ht="42" customHeight="1">
      <c r="A222" s="10" t="str">
        <v>T14.03</v>
      </c>
      <c r="B222" s="10" t="str">
        <v>D14</v>
      </c>
      <c r="C222" s="10" t="str">
        <v>Inventory days, receivable days, and payable days.</v>
      </c>
      <c r="D222" s="16" t="str">
        <v>T14.03</v>
      </c>
      <c r="E222" s="10" t="str">
        <v>Mapped</v>
      </c>
    </row>
    <row r="223" ht="42" customHeight="1">
      <c r="A223" s="9" t="str">
        <v>T14.04</v>
      </c>
      <c r="B223" s="9" t="str">
        <v>D14</v>
      </c>
      <c r="C223" s="9" t="str">
        <v>Cash budgeting and short-term liquidity forecasting.</v>
      </c>
      <c r="D223" s="17" t="str">
        <v>T14.04</v>
      </c>
      <c r="E223" s="9" t="str">
        <v>Mapped</v>
      </c>
    </row>
    <row r="224" ht="42" customHeight="1">
      <c r="A224" s="10" t="str">
        <v>T14.05</v>
      </c>
      <c r="B224" s="10" t="str">
        <v>D14</v>
      </c>
      <c r="C224" s="10" t="str">
        <v>Customer credit policy and collections.</v>
      </c>
      <c r="D224" s="16" t="str">
        <v>T14.05</v>
      </c>
      <c r="E224" s="10" t="str">
        <v>Mapped</v>
      </c>
    </row>
    <row r="225" ht="42" customHeight="1">
      <c r="A225" s="9" t="str">
        <v>T14.06</v>
      </c>
      <c r="B225" s="9" t="str">
        <v>D14</v>
      </c>
      <c r="C225" s="9" t="str">
        <v>Inventory financing.</v>
      </c>
      <c r="D225" s="17" t="str">
        <v>T14.06</v>
      </c>
      <c r="E225" s="9" t="str">
        <v>Mapped</v>
      </c>
    </row>
    <row r="226" ht="42" customHeight="1">
      <c r="A226" s="10" t="str">
        <v>T14.07</v>
      </c>
      <c r="B226" s="10" t="str">
        <v>D14</v>
      </c>
      <c r="C226" s="10" t="str">
        <v>Supplier terms and payment management.</v>
      </c>
      <c r="D226" s="16" t="str">
        <v>T14.07</v>
      </c>
      <c r="E226" s="10" t="str">
        <v>Mapped</v>
      </c>
    </row>
    <row r="227" ht="42" customHeight="1">
      <c r="A227" s="9" t="str">
        <v>T14.08</v>
      </c>
      <c r="B227" s="9" t="str">
        <v>D14</v>
      </c>
      <c r="C227" s="9" t="str">
        <v>Factoring and invoice discounting.</v>
      </c>
      <c r="D227" s="17" t="str">
        <v>T14.08</v>
      </c>
      <c r="E227" s="9" t="str">
        <v>Mapped</v>
      </c>
    </row>
    <row r="228" ht="42" customHeight="1">
      <c r="A228" s="10" t="str">
        <v>T14.09</v>
      </c>
      <c r="B228" s="10" t="str">
        <v>D14</v>
      </c>
      <c r="C228" s="10" t="str">
        <v>Reverse factoring and supply-chain finance.</v>
      </c>
      <c r="D228" s="16" t="str">
        <v>T14.09</v>
      </c>
      <c r="E228" s="10" t="str">
        <v>Mapped</v>
      </c>
    </row>
    <row r="229" ht="42" customHeight="1">
      <c r="A229" s="9" t="str">
        <v>T14.10</v>
      </c>
      <c r="B229" s="9" t="str">
        <v>D14</v>
      </c>
      <c r="C229" s="9" t="str">
        <v>Cash-credit facilities, overdrafts, and revolving credit.</v>
      </c>
      <c r="D229" s="17" t="str">
        <v>T14.10</v>
      </c>
      <c r="E229" s="9" t="str">
        <v>Mapped</v>
      </c>
    </row>
    <row r="230" ht="42" customHeight="1">
      <c r="A230" s="10" t="str">
        <v>T14.11</v>
      </c>
      <c r="B230" s="10" t="str">
        <v>D14</v>
      </c>
      <c r="C230" s="10" t="str">
        <v>Commercial paper and short-term funding.</v>
      </c>
      <c r="D230" s="16" t="str">
        <v>T14.11</v>
      </c>
      <c r="E230" s="10" t="str">
        <v>Mapped</v>
      </c>
    </row>
    <row r="231" ht="42" customHeight="1">
      <c r="A231" s="9" t="str">
        <v>T14.12</v>
      </c>
      <c r="B231" s="9" t="str">
        <v>D14</v>
      </c>
      <c r="C231" s="9" t="str">
        <v>Cash pooling and intercompany funding.</v>
      </c>
      <c r="D231" s="17" t="str">
        <v>T14.12</v>
      </c>
      <c r="E231" s="9" t="str">
        <v>Mapped</v>
      </c>
    </row>
    <row r="232" ht="42" customHeight="1">
      <c r="A232" s="10" t="str">
        <v>T14.13</v>
      </c>
      <c r="B232" s="10" t="str">
        <v>D14</v>
      </c>
      <c r="C232" s="10" t="str">
        <v>Treasury investment policies.</v>
      </c>
      <c r="D232" s="16" t="str">
        <v>T14.13</v>
      </c>
      <c r="E232" s="10" t="str">
        <v>Mapped</v>
      </c>
    </row>
    <row r="233" ht="42" customHeight="1">
      <c r="A233" s="9" t="str">
        <v>T14.14</v>
      </c>
      <c r="B233" s="9" t="str">
        <v>D14</v>
      </c>
      <c r="C233" s="9" t="str">
        <v>Foreign-exchange and interest-rate exposure.</v>
      </c>
      <c r="D233" s="17" t="str">
        <v>T14.14</v>
      </c>
      <c r="E233" s="9" t="str">
        <v>Mapped</v>
      </c>
    </row>
    <row r="234" ht="42" customHeight="1">
      <c r="A234" s="10" t="str">
        <v>T14.15</v>
      </c>
      <c r="B234" s="10" t="str">
        <v>D14</v>
      </c>
      <c r="C234" s="10" t="str">
        <v>Liquidity buffers and contingency funding.</v>
      </c>
      <c r="D234" s="16" t="str">
        <v>T14.15</v>
      </c>
      <c r="E234" s="10" t="str">
        <v>Mapped</v>
      </c>
    </row>
    <row r="235" ht="42" customHeight="1">
      <c r="A235" s="9" t="str">
        <v>T14.16</v>
      </c>
      <c r="B235" s="9" t="str">
        <v>D14</v>
      </c>
      <c r="C235" s="9" t="str">
        <v>Treasury controls and counterparty management.</v>
      </c>
      <c r="D235" s="17" t="str">
        <v>T14.16</v>
      </c>
      <c r="E235" s="9" t="str">
        <v>Mapped</v>
      </c>
    </row>
    <row r="236" ht="42" customHeight="1">
      <c r="A236" s="10" t="str">
        <v>T15.01</v>
      </c>
      <c r="B236" s="10" t="str">
        <v>D15</v>
      </c>
      <c r="C236" s="10" t="str">
        <v>Strategic financial planning.</v>
      </c>
      <c r="D236" s="16" t="str">
        <v>T15.01</v>
      </c>
      <c r="E236" s="10" t="str">
        <v>Mapped</v>
      </c>
    </row>
    <row r="237" ht="42" customHeight="1">
      <c r="A237" s="9" t="str">
        <v>T15.02</v>
      </c>
      <c r="B237" s="9" t="str">
        <v>D15</v>
      </c>
      <c r="C237" s="9" t="str">
        <v>Annual operating plans.</v>
      </c>
      <c r="D237" s="17" t="str">
        <v>T15.02</v>
      </c>
      <c r="E237" s="9" t="str">
        <v>Mapped</v>
      </c>
    </row>
    <row r="238" ht="42" customHeight="1">
      <c r="A238" s="10" t="str">
        <v>T15.03</v>
      </c>
      <c r="B238" s="10" t="str">
        <v>D15</v>
      </c>
      <c r="C238" s="10" t="str">
        <v>Master budgets and departmental budgets.</v>
      </c>
      <c r="D238" s="16" t="str">
        <v>T15.03</v>
      </c>
      <c r="E238" s="10" t="str">
        <v>Mapped</v>
      </c>
    </row>
    <row r="239" ht="42" customHeight="1">
      <c r="A239" s="9" t="str">
        <v>T15.04</v>
      </c>
      <c r="B239" s="9" t="str">
        <v>D15</v>
      </c>
      <c r="C239" s="9" t="str">
        <v>Zero-based, incremental, and activity-based budgeting.</v>
      </c>
      <c r="D239" s="17" t="str">
        <v>T15.04</v>
      </c>
      <c r="E239" s="9" t="str">
        <v>Mapped</v>
      </c>
    </row>
    <row r="240" ht="42" customHeight="1">
      <c r="A240" s="10" t="str">
        <v>T15.05</v>
      </c>
      <c r="B240" s="10" t="str">
        <v>D15</v>
      </c>
      <c r="C240" s="10" t="str">
        <v>Flexible budgets and rolling forecasts.</v>
      </c>
      <c r="D240" s="16" t="str">
        <v>T15.05</v>
      </c>
      <c r="E240" s="10" t="str">
        <v>Mapped</v>
      </c>
    </row>
    <row r="241" ht="42" customHeight="1">
      <c r="A241" s="9" t="str">
        <v>T15.06</v>
      </c>
      <c r="B241" s="9" t="str">
        <v>D15</v>
      </c>
      <c r="C241" s="9" t="str">
        <v>Revenue, cost, headcount, and capital expenditure forecasting.</v>
      </c>
      <c r="D241" s="17" t="str">
        <v>T15.06</v>
      </c>
      <c r="E241" s="9" t="str">
        <v>Mapped</v>
      </c>
    </row>
    <row r="242" ht="42" customHeight="1">
      <c r="A242" s="10" t="str">
        <v>T15.07</v>
      </c>
      <c r="B242" s="10" t="str">
        <v>D15</v>
      </c>
      <c r="C242" s="10" t="str">
        <v>Variance analysis.</v>
      </c>
      <c r="D242" s="16" t="str">
        <v>T15.07</v>
      </c>
      <c r="E242" s="10" t="str">
        <v>Mapped</v>
      </c>
    </row>
    <row r="243" ht="42" customHeight="1">
      <c r="A243" s="9" t="str">
        <v>T15.08</v>
      </c>
      <c r="B243" s="9" t="str">
        <v>D15</v>
      </c>
      <c r="C243" s="9" t="str">
        <v>Standard costing and activity-based costing.</v>
      </c>
      <c r="D243" s="17" t="str">
        <v>T15.08</v>
      </c>
      <c r="E243" s="9" t="str">
        <v>Mapped</v>
      </c>
    </row>
    <row r="244" ht="42" customHeight="1">
      <c r="A244" s="10" t="str">
        <v>T15.09</v>
      </c>
      <c r="B244" s="10" t="str">
        <v>D15</v>
      </c>
      <c r="C244" s="10" t="str">
        <v>Cost allocation and responsibility centres.</v>
      </c>
      <c r="D244" s="16" t="str">
        <v>T15.09</v>
      </c>
      <c r="E244" s="10" t="str">
        <v>Mapped</v>
      </c>
    </row>
    <row r="245" ht="42" customHeight="1">
      <c r="A245" s="9" t="str">
        <v>T15.10</v>
      </c>
      <c r="B245" s="9" t="str">
        <v>D15</v>
      </c>
      <c r="C245" s="9" t="str">
        <v>Relevant costing and make-or-buy decisions.</v>
      </c>
      <c r="D245" s="17" t="str">
        <v>T15.10</v>
      </c>
      <c r="E245" s="9" t="str">
        <v>Mapped</v>
      </c>
    </row>
    <row r="246" ht="42" customHeight="1">
      <c r="A246" s="10" t="str">
        <v>T15.11</v>
      </c>
      <c r="B246" s="10" t="str">
        <v>D15</v>
      </c>
      <c r="C246" s="10" t="str">
        <v>Transfer pricing for internal decisions.</v>
      </c>
      <c r="D246" s="16" t="str">
        <v>T15.11</v>
      </c>
      <c r="E246" s="10" t="str">
        <v>Mapped</v>
      </c>
    </row>
    <row r="247" ht="42" customHeight="1">
      <c r="A247" s="9" t="str">
        <v>T15.12</v>
      </c>
      <c r="B247" s="9" t="str">
        <v>D15</v>
      </c>
      <c r="C247" s="9" t="str">
        <v>Product-mix and capacity decisions.</v>
      </c>
      <c r="D247" s="17" t="str">
        <v>T15.12</v>
      </c>
      <c r="E247" s="9" t="str">
        <v>Mapped</v>
      </c>
    </row>
    <row r="248" ht="42" customHeight="1">
      <c r="A248" s="10" t="str">
        <v>T15.13</v>
      </c>
      <c r="B248" s="10" t="str">
        <v>D15</v>
      </c>
      <c r="C248" s="10" t="str">
        <v>Management dashboards and KPI trees.</v>
      </c>
      <c r="D248" s="16" t="str">
        <v>T15.13</v>
      </c>
      <c r="E248" s="10" t="str">
        <v>Mapped</v>
      </c>
    </row>
    <row r="249" ht="42" customHeight="1">
      <c r="A249" s="9" t="str">
        <v>T15.14</v>
      </c>
      <c r="B249" s="9" t="str">
        <v>D15</v>
      </c>
      <c r="C249" s="9" t="str">
        <v>Forecast accuracy.</v>
      </c>
      <c r="D249" s="17" t="str">
        <v>T15.14</v>
      </c>
      <c r="E249" s="9" t="str">
        <v>Mapped</v>
      </c>
    </row>
    <row r="250" ht="42" customHeight="1">
      <c r="A250" s="10" t="str">
        <v>T15.15</v>
      </c>
      <c r="B250" s="10" t="str">
        <v>D15</v>
      </c>
      <c r="C250" s="10" t="str">
        <v>Business partnering and board reporting.</v>
      </c>
      <c r="D250" s="16" t="str">
        <v>T15.15</v>
      </c>
      <c r="E250" s="10" t="str">
        <v>Mapped</v>
      </c>
    </row>
    <row r="251" ht="42" customHeight="1">
      <c r="A251" s="9" t="str">
        <v>T16.01</v>
      </c>
      <c r="B251" s="9" t="str">
        <v>D16</v>
      </c>
      <c r="C251" s="9" t="str">
        <v>Model structure, assumptions, and conventions.</v>
      </c>
      <c r="D251" s="17" t="str">
        <v>T16.01</v>
      </c>
      <c r="E251" s="9" t="str">
        <v>Mapped</v>
      </c>
    </row>
    <row r="252" ht="42" customHeight="1">
      <c r="A252" s="10" t="str">
        <v>T16.02</v>
      </c>
      <c r="B252" s="10" t="str">
        <v>D16</v>
      </c>
      <c r="C252" s="10" t="str">
        <v>Historical financial statement preparation.</v>
      </c>
      <c r="D252" s="16" t="str">
        <v>T16.02</v>
      </c>
      <c r="E252" s="10" t="str">
        <v>Mapped</v>
      </c>
    </row>
    <row r="253" ht="42" customHeight="1">
      <c r="A253" s="9" t="str">
        <v>T16.03</v>
      </c>
      <c r="B253" s="9" t="str">
        <v>D16</v>
      </c>
      <c r="C253" s="9" t="str">
        <v>Three-statement models.</v>
      </c>
      <c r="D253" s="17" t="str">
        <v>T16.03</v>
      </c>
      <c r="E253" s="9" t="str">
        <v>Mapped</v>
      </c>
    </row>
    <row r="254" ht="42" customHeight="1">
      <c r="A254" s="10" t="str">
        <v>T16.04</v>
      </c>
      <c r="B254" s="10" t="str">
        <v>D16</v>
      </c>
      <c r="C254" s="10" t="str">
        <v>Revenue and operating-cost schedules.</v>
      </c>
      <c r="D254" s="16" t="str">
        <v>T16.04</v>
      </c>
      <c r="E254" s="10" t="str">
        <v>Mapped</v>
      </c>
    </row>
    <row r="255" ht="42" customHeight="1">
      <c r="A255" s="9" t="str">
        <v>T16.05</v>
      </c>
      <c r="B255" s="9" t="str">
        <v>D16</v>
      </c>
      <c r="C255" s="9" t="str">
        <v>Working-capital schedules.</v>
      </c>
      <c r="D255" s="17" t="str">
        <v>T16.05</v>
      </c>
      <c r="E255" s="9" t="str">
        <v>Mapped</v>
      </c>
    </row>
    <row r="256" ht="42" customHeight="1">
      <c r="A256" s="10" t="str">
        <v>T16.06</v>
      </c>
      <c r="B256" s="10" t="str">
        <v>D16</v>
      </c>
      <c r="C256" s="10" t="str">
        <v>Fixed-asset and depreciation schedules.</v>
      </c>
      <c r="D256" s="16" t="str">
        <v>T16.06</v>
      </c>
      <c r="E256" s="10" t="str">
        <v>Mapped</v>
      </c>
    </row>
    <row r="257" ht="42" customHeight="1">
      <c r="A257" s="9" t="str">
        <v>T16.07</v>
      </c>
      <c r="B257" s="9" t="str">
        <v>D16</v>
      </c>
      <c r="C257" s="9" t="str">
        <v>Debt, interest, and cash schedules.</v>
      </c>
      <c r="D257" s="17" t="str">
        <v>T16.07</v>
      </c>
      <c r="E257" s="9" t="str">
        <v>Mapped</v>
      </c>
    </row>
    <row r="258" ht="42" customHeight="1">
      <c r="A258" s="10" t="str">
        <v>T16.08</v>
      </c>
      <c r="B258" s="10" t="str">
        <v>D16</v>
      </c>
      <c r="C258" s="10" t="str">
        <v>Tax and equity schedules.</v>
      </c>
      <c r="D258" s="16" t="str">
        <v>T16.08</v>
      </c>
      <c r="E258" s="10" t="str">
        <v>Mapped</v>
      </c>
    </row>
    <row r="259" ht="42" customHeight="1">
      <c r="A259" s="9" t="str">
        <v>T16.09</v>
      </c>
      <c r="B259" s="9" t="str">
        <v>D16</v>
      </c>
      <c r="C259" s="9" t="str">
        <v>Circularity and model balancing.</v>
      </c>
      <c r="D259" s="17" t="str">
        <v>T16.09</v>
      </c>
      <c r="E259" s="9" t="str">
        <v>Mapped</v>
      </c>
    </row>
    <row r="260" ht="42" customHeight="1">
      <c r="A260" s="10" t="str">
        <v>T16.10</v>
      </c>
      <c r="B260" s="10" t="str">
        <v>D16</v>
      </c>
      <c r="C260" s="10" t="str">
        <v>Scenario and sensitivity models.</v>
      </c>
      <c r="D260" s="16" t="str">
        <v>T16.10</v>
      </c>
      <c r="E260" s="10" t="str">
        <v>Mapped</v>
      </c>
    </row>
    <row r="261" ht="42" customHeight="1">
      <c r="A261" s="9" t="str">
        <v>T16.11</v>
      </c>
      <c r="B261" s="9" t="str">
        <v>D16</v>
      </c>
      <c r="C261" s="9" t="str">
        <v>DCF and comparable-company models.</v>
      </c>
      <c r="D261" s="17" t="str">
        <v>T16.11</v>
      </c>
      <c r="E261" s="9" t="str">
        <v>Mapped</v>
      </c>
    </row>
    <row r="262" ht="42" customHeight="1">
      <c r="A262" s="10" t="str">
        <v>T16.12</v>
      </c>
      <c r="B262" s="10" t="str">
        <v>D16</v>
      </c>
      <c r="C262" s="10" t="str">
        <v>Merger and acquisition models.</v>
      </c>
      <c r="D262" s="16" t="str">
        <v>T16.12</v>
      </c>
      <c r="E262" s="10" t="str">
        <v>Mapped</v>
      </c>
    </row>
    <row r="263" ht="42" customHeight="1">
      <c r="A263" s="9" t="str">
        <v>T16.13</v>
      </c>
      <c r="B263" s="9" t="str">
        <v>D16</v>
      </c>
      <c r="C263" s="9" t="str">
        <v>Leveraged buyout models.</v>
      </c>
      <c r="D263" s="17" t="str">
        <v>T16.13</v>
      </c>
      <c r="E263" s="9" t="str">
        <v>Mapped</v>
      </c>
    </row>
    <row r="264" ht="42" customHeight="1">
      <c r="A264" s="10" t="str">
        <v>T16.14</v>
      </c>
      <c r="B264" s="10" t="str">
        <v>D16</v>
      </c>
      <c r="C264" s="10" t="str">
        <v>Project finance and real estate models.</v>
      </c>
      <c r="D264" s="16" t="str">
        <v>T16.14</v>
      </c>
      <c r="E264" s="10" t="str">
        <v>Mapped</v>
      </c>
    </row>
    <row r="265" ht="42" customHeight="1">
      <c r="A265" s="9" t="str">
        <v>T16.15</v>
      </c>
      <c r="B265" s="9" t="str">
        <v>D16</v>
      </c>
      <c r="C265" s="9" t="str">
        <v>Bank, insurance, and startup models.</v>
      </c>
      <c r="D265" s="17" t="str">
        <v>T16.15</v>
      </c>
      <c r="E265" s="9" t="str">
        <v>Mapped</v>
      </c>
    </row>
    <row r="266" ht="42" customHeight="1">
      <c r="A266" s="10" t="str">
        <v>T16.16</v>
      </c>
      <c r="B266" s="10" t="str">
        <v>D16</v>
      </c>
      <c r="C266" s="10" t="str">
        <v>Model auditing, error checks, and documentation.</v>
      </c>
      <c r="D266" s="16" t="str">
        <v>T16.16</v>
      </c>
      <c r="E266" s="10" t="str">
        <v>Mapped</v>
      </c>
    </row>
    <row r="267" ht="42" customHeight="1">
      <c r="A267" s="9" t="str">
        <v>T17.01</v>
      </c>
      <c r="B267" s="9" t="str">
        <v>D17</v>
      </c>
      <c r="C267" s="9" t="str">
        <v>Price versus value.</v>
      </c>
      <c r="D267" s="17" t="str">
        <v>T17.01</v>
      </c>
      <c r="E267" s="9" t="str">
        <v>Mapped</v>
      </c>
    </row>
    <row r="268" ht="42" customHeight="1">
      <c r="A268" s="10" t="str">
        <v>T17.02</v>
      </c>
      <c r="B268" s="10" t="str">
        <v>D17</v>
      </c>
      <c r="C268" s="10" t="str">
        <v>Intrinsic valuation versus relative valuation.</v>
      </c>
      <c r="D268" s="16" t="str">
        <v>T17.02</v>
      </c>
      <c r="E268" s="10" t="str">
        <v>Mapped</v>
      </c>
    </row>
    <row r="269" ht="42" customHeight="1">
      <c r="A269" s="9" t="str">
        <v>T17.03</v>
      </c>
      <c r="B269" s="9" t="str">
        <v>D17</v>
      </c>
      <c r="C269" s="9" t="str">
        <v>Enterprise value versus equity value.</v>
      </c>
      <c r="D269" s="17" t="str">
        <v>T17.03</v>
      </c>
      <c r="E269" s="9" t="str">
        <v>Mapped</v>
      </c>
    </row>
    <row r="270" ht="42" customHeight="1">
      <c r="A270" s="10" t="str">
        <v>T17.04</v>
      </c>
      <c r="B270" s="10" t="str">
        <v>D17</v>
      </c>
      <c r="C270" s="10" t="str">
        <v>The enterprise-to-equity value bridge.</v>
      </c>
      <c r="D270" s="16" t="str">
        <v>T17.04</v>
      </c>
      <c r="E270" s="10" t="str">
        <v>Mapped</v>
      </c>
    </row>
    <row r="271" ht="42" customHeight="1">
      <c r="A271" s="9" t="str">
        <v>T17.05</v>
      </c>
      <c r="B271" s="9" t="str">
        <v>D17</v>
      </c>
      <c r="C271" s="9" t="str">
        <v>FCFF and FCFE.</v>
      </c>
      <c r="D271" s="17" t="str">
        <v>T17.05</v>
      </c>
      <c r="E271" s="9" t="str">
        <v>Mapped</v>
      </c>
    </row>
    <row r="272" ht="42" customHeight="1">
      <c r="A272" s="10" t="str">
        <v>T17.06</v>
      </c>
      <c r="B272" s="10" t="str">
        <v>D17</v>
      </c>
      <c r="C272" s="10" t="str">
        <v>Dividend discount models.</v>
      </c>
      <c r="D272" s="16" t="str">
        <v>T17.06</v>
      </c>
      <c r="E272" s="10" t="str">
        <v>Mapped</v>
      </c>
    </row>
    <row r="273" ht="42" customHeight="1">
      <c r="A273" s="9" t="str">
        <v>T17.07</v>
      </c>
      <c r="B273" s="9" t="str">
        <v>D17</v>
      </c>
      <c r="C273" s="9" t="str">
        <v>Discounted cash-flow valuation.</v>
      </c>
      <c r="D273" s="17" t="str">
        <v>T17.07</v>
      </c>
      <c r="E273" s="9" t="str">
        <v>Mapped</v>
      </c>
    </row>
    <row r="274" ht="42" customHeight="1">
      <c r="A274" s="10" t="str">
        <v>T17.08</v>
      </c>
      <c r="B274" s="10" t="str">
        <v>D17</v>
      </c>
      <c r="C274" s="10" t="str">
        <v>Adjusted present value.</v>
      </c>
      <c r="D274" s="16" t="str">
        <v>T17.08</v>
      </c>
      <c r="E274" s="10" t="str">
        <v>Mapped</v>
      </c>
    </row>
    <row r="275" ht="42" customHeight="1">
      <c r="A275" s="9" t="str">
        <v>T17.09</v>
      </c>
      <c r="B275" s="9" t="str">
        <v>D17</v>
      </c>
      <c r="C275" s="9" t="str">
        <v>Residual income and economic profit valuation.</v>
      </c>
      <c r="D275" s="17" t="str">
        <v>T17.09</v>
      </c>
      <c r="E275" s="9" t="str">
        <v>Mapped</v>
      </c>
    </row>
    <row r="276" ht="42" customHeight="1">
      <c r="A276" s="10" t="str">
        <v>T17.10</v>
      </c>
      <c r="B276" s="10" t="str">
        <v>D17</v>
      </c>
      <c r="C276" s="10" t="str">
        <v>Forecast horizons and competitive advantage periods.</v>
      </c>
      <c r="D276" s="16" t="str">
        <v>T17.10</v>
      </c>
      <c r="E276" s="10" t="str">
        <v>Mapped</v>
      </c>
    </row>
    <row r="277" ht="42" customHeight="1">
      <c r="A277" s="9" t="str">
        <v>T17.11</v>
      </c>
      <c r="B277" s="9" t="str">
        <v>D17</v>
      </c>
      <c r="C277" s="9" t="str">
        <v>Reinvestment, growth, and return on capital.</v>
      </c>
      <c r="D277" s="17" t="str">
        <v>T17.11</v>
      </c>
      <c r="E277" s="9" t="str">
        <v>Mapped</v>
      </c>
    </row>
    <row r="278" ht="42" customHeight="1">
      <c r="A278" s="10" t="str">
        <v>T17.12</v>
      </c>
      <c r="B278" s="10" t="str">
        <v>D17</v>
      </c>
      <c r="C278" s="10" t="str">
        <v>Terminal growth and terminal value.</v>
      </c>
      <c r="D278" s="16" t="str">
        <v>T17.12</v>
      </c>
      <c r="E278" s="10" t="str">
        <v>Mapped</v>
      </c>
    </row>
    <row r="279" ht="42" customHeight="1">
      <c r="A279" s="9" t="str">
        <v>T17.13</v>
      </c>
      <c r="B279" s="9" t="str">
        <v>D17</v>
      </c>
      <c r="C279" s="9" t="str">
        <v>Exit-multiple terminal values.</v>
      </c>
      <c r="D279" s="17" t="str">
        <v>T17.13</v>
      </c>
      <c r="E279" s="9" t="str">
        <v>Mapped</v>
      </c>
    </row>
    <row r="280" ht="42" customHeight="1">
      <c r="A280" s="10" t="str">
        <v>T17.14</v>
      </c>
      <c r="B280" s="10" t="str">
        <v>D17</v>
      </c>
      <c r="C280" s="10" t="str">
        <v>Mid-year discounting and stub periods.</v>
      </c>
      <c r="D280" s="16" t="str">
        <v>T17.14</v>
      </c>
      <c r="E280" s="10" t="str">
        <v>Mapped</v>
      </c>
    </row>
    <row r="281" ht="42" customHeight="1">
      <c r="A281" s="9" t="str">
        <v>T17.15</v>
      </c>
      <c r="B281" s="9" t="str">
        <v>D17</v>
      </c>
      <c r="C281" s="9" t="str">
        <v>Excess cash and non-operating assets.</v>
      </c>
      <c r="D281" s="17" t="str">
        <v>T17.15</v>
      </c>
      <c r="E281" s="9" t="str">
        <v>Mapped</v>
      </c>
    </row>
    <row r="282" ht="42" customHeight="1">
      <c r="A282" s="10" t="str">
        <v>T17.16</v>
      </c>
      <c r="B282" s="10" t="str">
        <v>D17</v>
      </c>
      <c r="C282" s="10" t="str">
        <v>Debt, leases, pension deficits, and minority interests.</v>
      </c>
      <c r="D282" s="16" t="str">
        <v>T17.16</v>
      </c>
      <c r="E282" s="10" t="str">
        <v>Mapped</v>
      </c>
    </row>
    <row r="283" ht="42" customHeight="1">
      <c r="A283" s="9" t="str">
        <v>T17.17</v>
      </c>
      <c r="B283" s="9" t="str">
        <v>D17</v>
      </c>
      <c r="C283" s="9" t="str">
        <v>Share dilution, options, and restricted stock.</v>
      </c>
      <c r="D283" s="17" t="str">
        <v>T17.17</v>
      </c>
      <c r="E283" s="9" t="str">
        <v>Mapped</v>
      </c>
    </row>
    <row r="284" ht="42" customHeight="1">
      <c r="A284" s="10" t="str">
        <v>T17.18</v>
      </c>
      <c r="B284" s="10" t="str">
        <v>D17</v>
      </c>
      <c r="C284" s="10" t="str">
        <v>Sensitivity analysis, scenarios, and reverse DCF.</v>
      </c>
      <c r="D284" s="16" t="str">
        <v>T17.18</v>
      </c>
      <c r="E284" s="10" t="str">
        <v>Mapped</v>
      </c>
    </row>
    <row r="285" ht="42" customHeight="1">
      <c r="A285" s="9" t="str">
        <v>T17.19</v>
      </c>
      <c r="B285" s="9" t="str">
        <v>D17</v>
      </c>
      <c r="C285" s="9" t="str">
        <v>Valuation ranges and uncertainty.</v>
      </c>
      <c r="D285" s="17" t="str">
        <v>T17.19</v>
      </c>
      <c r="E285" s="9" t="str">
        <v>Mapped</v>
      </c>
    </row>
    <row r="286" ht="42" customHeight="1">
      <c r="A286" s="10" t="str">
        <v>T18.01</v>
      </c>
      <c r="B286" s="10" t="str">
        <v>D18</v>
      </c>
      <c r="C286" s="10" t="str">
        <v>Comparable-company selection.</v>
      </c>
      <c r="D286" s="16" t="str">
        <v>T18.01</v>
      </c>
      <c r="E286" s="10" t="str">
        <v>Mapped</v>
      </c>
    </row>
    <row r="287" ht="42" customHeight="1">
      <c r="A287" s="9" t="str">
        <v>T18.02</v>
      </c>
      <c r="B287" s="9" t="str">
        <v>D18</v>
      </c>
      <c r="C287" s="9" t="str">
        <v>Comparable transaction analysis.</v>
      </c>
      <c r="D287" s="17" t="str">
        <v>T18.02</v>
      </c>
      <c r="E287" s="9" t="str">
        <v>Mapped</v>
      </c>
    </row>
    <row r="288" ht="42" customHeight="1">
      <c r="A288" s="10" t="str">
        <v>T18.03</v>
      </c>
      <c r="B288" s="10" t="str">
        <v>D18</v>
      </c>
      <c r="C288" s="10" t="str">
        <v>Trailing versus forward multiples.</v>
      </c>
      <c r="D288" s="16" t="str">
        <v>T18.03</v>
      </c>
      <c r="E288" s="10" t="str">
        <v>Mapped</v>
      </c>
    </row>
    <row r="289" ht="42" customHeight="1">
      <c r="A289" s="9" t="str">
        <v>T18.04</v>
      </c>
      <c r="B289" s="9" t="str">
        <v>D18</v>
      </c>
      <c r="C289" s="9" t="str">
        <v>P/E, PEG, P/B, and P/S.</v>
      </c>
      <c r="D289" s="17" t="str">
        <v>T18.04</v>
      </c>
      <c r="E289" s="9" t="str">
        <v>Mapped</v>
      </c>
    </row>
    <row r="290" ht="42" customHeight="1">
      <c r="A290" s="10" t="str">
        <v>T18.05</v>
      </c>
      <c r="B290" s="10" t="str">
        <v>D18</v>
      </c>
      <c r="C290" s="10" t="str">
        <v>EV/revenue, EV/EBITDA, and EV/EBIT.</v>
      </c>
      <c r="D290" s="16" t="str">
        <v>T18.05</v>
      </c>
      <c r="E290" s="10" t="str">
        <v>Mapped</v>
      </c>
    </row>
    <row r="291" ht="42" customHeight="1">
      <c r="A291" s="9" t="str">
        <v>T18.06</v>
      </c>
      <c r="B291" s="9" t="str">
        <v>D18</v>
      </c>
      <c r="C291" s="9" t="str">
        <v>Cash-flow and sector-specific multiples.</v>
      </c>
      <c r="D291" s="17" t="str">
        <v>T18.06</v>
      </c>
      <c r="E291" s="9" t="str">
        <v>Mapped</v>
      </c>
    </row>
    <row r="292" ht="42" customHeight="1">
      <c r="A292" s="10" t="str">
        <v>T18.07</v>
      </c>
      <c r="B292" s="10" t="str">
        <v>D18</v>
      </c>
      <c r="C292" s="10" t="str">
        <v>Normalising earnings and accounting differences.</v>
      </c>
      <c r="D292" s="16" t="str">
        <v>T18.07</v>
      </c>
      <c r="E292" s="10" t="str">
        <v>Mapped</v>
      </c>
    </row>
    <row r="293" ht="42" customHeight="1">
      <c r="A293" s="9" t="str">
        <v>T18.08</v>
      </c>
      <c r="B293" s="9" t="str">
        <v>D18</v>
      </c>
      <c r="C293" s="9" t="str">
        <v>Growth, risk, margins, and returns as multiple drivers.</v>
      </c>
      <c r="D293" s="17" t="str">
        <v>T18.08</v>
      </c>
      <c r="E293" s="9" t="str">
        <v>Mapped</v>
      </c>
    </row>
    <row r="294" ht="42" customHeight="1">
      <c r="A294" s="10" t="str">
        <v>T18.09</v>
      </c>
      <c r="B294" s="10" t="str">
        <v>D18</v>
      </c>
      <c r="C294" s="10" t="str">
        <v>Sum-of-the-parts valuation.</v>
      </c>
      <c r="D294" s="16" t="str">
        <v>T18.09</v>
      </c>
      <c r="E294" s="10" t="str">
        <v>Mapped</v>
      </c>
    </row>
    <row r="295" ht="42" customHeight="1">
      <c r="A295" s="9" t="str">
        <v>T18.10</v>
      </c>
      <c r="B295" s="9" t="str">
        <v>D18</v>
      </c>
      <c r="C295" s="9" t="str">
        <v>Net asset value and liquidation value.</v>
      </c>
      <c r="D295" s="17" t="str">
        <v>T18.10</v>
      </c>
      <c r="E295" s="9" t="str">
        <v>Mapped</v>
      </c>
    </row>
    <row r="296" ht="42" customHeight="1">
      <c r="A296" s="10" t="str">
        <v>T18.11</v>
      </c>
      <c r="B296" s="10" t="str">
        <v>D18</v>
      </c>
      <c r="C296" s="10" t="str">
        <v>Replacement cost.</v>
      </c>
      <c r="D296" s="16" t="str">
        <v>T18.11</v>
      </c>
      <c r="E296" s="10" t="str">
        <v>Mapped</v>
      </c>
    </row>
    <row r="297" ht="42" customHeight="1">
      <c r="A297" s="9" t="str">
        <v>T18.12</v>
      </c>
      <c r="B297" s="9" t="str">
        <v>D18</v>
      </c>
      <c r="C297" s="9" t="str">
        <v>Private-company valuation.</v>
      </c>
      <c r="D297" s="17" t="str">
        <v>T18.12</v>
      </c>
      <c r="E297" s="9" t="str">
        <v>Mapped</v>
      </c>
    </row>
    <row r="298" ht="42" customHeight="1">
      <c r="A298" s="10" t="str">
        <v>T18.13</v>
      </c>
      <c r="B298" s="10" t="str">
        <v>D18</v>
      </c>
      <c r="C298" s="10" t="str">
        <v>Startup and pre-revenue valuation.</v>
      </c>
      <c r="D298" s="16" t="str">
        <v>T18.13</v>
      </c>
      <c r="E298" s="10" t="str">
        <v>Mapped</v>
      </c>
    </row>
    <row r="299" ht="42" customHeight="1">
      <c r="A299" s="9" t="str">
        <v>T18.14</v>
      </c>
      <c r="B299" s="9" t="str">
        <v>D18</v>
      </c>
      <c r="C299" s="9" t="str">
        <v>Cyclical, commodity, and distressed-company valuation.</v>
      </c>
      <c r="D299" s="17" t="str">
        <v>T18.14</v>
      </c>
      <c r="E299" s="9" t="str">
        <v>Mapped</v>
      </c>
    </row>
    <row r="300" ht="42" customHeight="1">
      <c r="A300" s="10" t="str">
        <v>T18.15</v>
      </c>
      <c r="B300" s="10" t="str">
        <v>D18</v>
      </c>
      <c r="C300" s="10" t="str">
        <v>Bank, NBFC, and insurance valuation.</v>
      </c>
      <c r="D300" s="16" t="str">
        <v>T18.15</v>
      </c>
      <c r="E300" s="10" t="str">
        <v>Mapped</v>
      </c>
    </row>
    <row r="301" ht="42" customHeight="1">
      <c r="A301" s="9" t="str">
        <v>T18.16</v>
      </c>
      <c r="B301" s="9" t="str">
        <v>D18</v>
      </c>
      <c r="C301" s="9" t="str">
        <v>Intangible assets, brands, patents, and customer relationships.</v>
      </c>
      <c r="D301" s="17" t="str">
        <v>T18.16</v>
      </c>
      <c r="E301" s="9" t="str">
        <v>Mapped</v>
      </c>
    </row>
    <row r="302" ht="42" customHeight="1">
      <c r="A302" s="10" t="str">
        <v>T18.17</v>
      </c>
      <c r="B302" s="10" t="str">
        <v>D18</v>
      </c>
      <c r="C302" s="10" t="str">
        <v>Control premiums and marketability considerations.</v>
      </c>
      <c r="D302" s="16" t="str">
        <v>T18.17</v>
      </c>
      <c r="E302" s="10" t="str">
        <v>Mapped</v>
      </c>
    </row>
    <row r="303" ht="42" customHeight="1">
      <c r="A303" s="9" t="str">
        <v>T18.18</v>
      </c>
      <c r="B303" s="9" t="str">
        <v>D18</v>
      </c>
      <c r="C303" s="9" t="str">
        <v>Business valuation versus transaction pricing.</v>
      </c>
      <c r="D303" s="17" t="str">
        <v>T18.18</v>
      </c>
      <c r="E303" s="9" t="str">
        <v>Mapped</v>
      </c>
    </row>
    <row r="304" ht="42" customHeight="1">
      <c r="A304" s="10" t="str">
        <v>T19.01</v>
      </c>
      <c r="B304" s="10" t="str">
        <v>D19</v>
      </c>
      <c r="C304" s="10" t="str">
        <v>Common shares, preference shares, and depositary receipts.</v>
      </c>
      <c r="D304" s="16" t="str">
        <v>T19.01</v>
      </c>
      <c r="E304" s="10" t="str">
        <v>Mapped</v>
      </c>
    </row>
    <row r="305" ht="42" customHeight="1">
      <c r="A305" s="9" t="str">
        <v>T19.02</v>
      </c>
      <c r="B305" s="9" t="str">
        <v>D19</v>
      </c>
      <c r="C305" s="9" t="str">
        <v>Primary and secondary equity markets.</v>
      </c>
      <c r="D305" s="17" t="str">
        <v>T19.02</v>
      </c>
      <c r="E305" s="9" t="str">
        <v>Mapped</v>
      </c>
    </row>
    <row r="306" ht="42" customHeight="1">
      <c r="A306" s="10" t="str">
        <v>T19.03</v>
      </c>
      <c r="B306" s="10" t="str">
        <v>D19</v>
      </c>
      <c r="C306" s="10" t="str">
        <v>IPOs, follow-on offerings, rights issues, and private placements.</v>
      </c>
      <c r="D306" s="16" t="str">
        <v>T19.03</v>
      </c>
      <c r="E306" s="10" t="str">
        <v>Mapped</v>
      </c>
    </row>
    <row r="307" ht="42" customHeight="1">
      <c r="A307" s="9" t="str">
        <v>T19.04</v>
      </c>
      <c r="B307" s="9" t="str">
        <v>D19</v>
      </c>
      <c r="C307" s="9" t="str">
        <v>Stock exchanges, indices, and market capitalisation.</v>
      </c>
      <c r="D307" s="17" t="str">
        <v>T19.04</v>
      </c>
      <c r="E307" s="9" t="str">
        <v>Mapped</v>
      </c>
    </row>
    <row r="308" ht="42" customHeight="1">
      <c r="A308" s="10" t="str">
        <v>T19.05</v>
      </c>
      <c r="B308" s="10" t="str">
        <v>D19</v>
      </c>
      <c r="C308" s="10" t="str">
        <v>Free float and index construction.</v>
      </c>
      <c r="D308" s="16" t="str">
        <v>T19.05</v>
      </c>
      <c r="E308" s="10" t="str">
        <v>Mapped</v>
      </c>
    </row>
    <row r="309" ht="42" customHeight="1">
      <c r="A309" s="9" t="str">
        <v>T19.06</v>
      </c>
      <c r="B309" s="9" t="str">
        <v>D19</v>
      </c>
      <c r="C309" s="9" t="str">
        <v>Dividends, splits, bonus issues, and buybacks.</v>
      </c>
      <c r="D309" s="17" t="str">
        <v>T19.06</v>
      </c>
      <c r="E309" s="9" t="str">
        <v>Mapped</v>
      </c>
    </row>
    <row r="310" ht="42" customHeight="1">
      <c r="A310" s="10" t="str">
        <v>T19.07</v>
      </c>
      <c r="B310" s="10" t="str">
        <v>D19</v>
      </c>
      <c r="C310" s="10" t="str">
        <v>Order types and execution basics.</v>
      </c>
      <c r="D310" s="16" t="str">
        <v>T19.07</v>
      </c>
      <c r="E310" s="10" t="str">
        <v>Mapped</v>
      </c>
    </row>
    <row r="311" ht="42" customHeight="1">
      <c r="A311" s="9" t="str">
        <v>T19.08</v>
      </c>
      <c r="B311" s="9" t="str">
        <v>D19</v>
      </c>
      <c r="C311" s="9" t="str">
        <v>Margin trading and short selling.</v>
      </c>
      <c r="D311" s="17" t="str">
        <v>T19.08</v>
      </c>
      <c r="E311" s="9" t="str">
        <v>Mapped</v>
      </c>
    </row>
    <row r="312" ht="42" customHeight="1">
      <c r="A312" s="10" t="str">
        <v>T19.09</v>
      </c>
      <c r="B312" s="10" t="str">
        <v>D19</v>
      </c>
      <c r="C312" s="10" t="str">
        <v>Securities lending.</v>
      </c>
      <c r="D312" s="16" t="str">
        <v>T19.09</v>
      </c>
      <c r="E312" s="10" t="str">
        <v>Mapped</v>
      </c>
    </row>
    <row r="313" ht="42" customHeight="1">
      <c r="A313" s="9" t="str">
        <v>T19.10</v>
      </c>
      <c r="B313" s="9" t="str">
        <v>D19</v>
      </c>
      <c r="C313" s="9" t="str">
        <v>Fundamental analysis.</v>
      </c>
      <c r="D313" s="17" t="str">
        <v>T19.10</v>
      </c>
      <c r="E313" s="9" t="str">
        <v>Mapped</v>
      </c>
    </row>
    <row r="314" ht="42" customHeight="1">
      <c r="A314" s="10" t="str">
        <v>T19.11</v>
      </c>
      <c r="B314" s="10" t="str">
        <v>D19</v>
      </c>
      <c r="C314" s="10" t="str">
        <v>Industry analysis and competitive advantage.</v>
      </c>
      <c r="D314" s="16" t="str">
        <v>T19.11</v>
      </c>
      <c r="E314" s="10" t="str">
        <v>Mapped</v>
      </c>
    </row>
    <row r="315" ht="42" customHeight="1">
      <c r="A315" s="9" t="str">
        <v>T19.12</v>
      </c>
      <c r="B315" s="9" t="str">
        <v>D19</v>
      </c>
      <c r="C315" s="9" t="str">
        <v>Investment theses, catalysts, and risk factors.</v>
      </c>
      <c r="D315" s="17" t="str">
        <v>T19.12</v>
      </c>
      <c r="E315" s="9" t="str">
        <v>Mapped</v>
      </c>
    </row>
    <row r="316" ht="42" customHeight="1">
      <c r="A316" s="10" t="str">
        <v>T19.13</v>
      </c>
      <c r="B316" s="10" t="str">
        <v>D19</v>
      </c>
      <c r="C316" s="10" t="str">
        <v>Earnings estimates and earnings surprises.</v>
      </c>
      <c r="D316" s="16" t="str">
        <v>T19.13</v>
      </c>
      <c r="E316" s="10" t="str">
        <v>Mapped</v>
      </c>
    </row>
    <row r="317" ht="42" customHeight="1">
      <c r="A317" s="9" t="str">
        <v>T19.14</v>
      </c>
      <c r="B317" s="9" t="str">
        <v>D19</v>
      </c>
      <c r="C317" s="9" t="str">
        <v>Equity research reports.</v>
      </c>
      <c r="D317" s="17" t="str">
        <v>T19.14</v>
      </c>
      <c r="E317" s="9" t="str">
        <v>Mapped</v>
      </c>
    </row>
    <row r="318" ht="42" customHeight="1">
      <c r="A318" s="10" t="str">
        <v>T19.15</v>
      </c>
      <c r="B318" s="10" t="str">
        <v>D19</v>
      </c>
      <c r="C318" s="10" t="str">
        <v>Growth, value, quality, momentum, and income investing.</v>
      </c>
      <c r="D318" s="16" t="str">
        <v>T19.15</v>
      </c>
      <c r="E318" s="10" t="str">
        <v>Mapped</v>
      </c>
    </row>
    <row r="319" ht="42" customHeight="1">
      <c r="A319" s="9" t="str">
        <v>T19.16</v>
      </c>
      <c r="B319" s="9" t="str">
        <v>D19</v>
      </c>
      <c r="C319" s="9" t="str">
        <v>Technical analysis and its limitations.</v>
      </c>
      <c r="D319" s="17" t="str">
        <v>T19.16</v>
      </c>
      <c r="E319" s="9" t="str">
        <v>Mapped</v>
      </c>
    </row>
    <row r="320" ht="42" customHeight="1">
      <c r="A320" s="10" t="str">
        <v>T19.17</v>
      </c>
      <c r="B320" s="10" t="str">
        <v>D19</v>
      </c>
      <c r="C320" s="10" t="str">
        <v>Shareholding patterns and promoter pledging.</v>
      </c>
      <c r="D320" s="16" t="str">
        <v>T19.17</v>
      </c>
      <c r="E320" s="10" t="str">
        <v>Mapped</v>
      </c>
    </row>
    <row r="321" ht="42" customHeight="1">
      <c r="A321" s="9" t="str">
        <v>T20.01</v>
      </c>
      <c r="B321" s="9" t="str">
        <v>D20</v>
      </c>
      <c r="C321" s="9" t="str">
        <v>Government securities, treasury bills, and corporate bonds.</v>
      </c>
      <c r="D321" s="17" t="str">
        <v>T20.01</v>
      </c>
      <c r="E321" s="9" t="str">
        <v>Mapped</v>
      </c>
    </row>
    <row r="322" ht="42" customHeight="1">
      <c r="A322" s="10" t="str">
        <v>T20.02</v>
      </c>
      <c r="B322" s="10" t="str">
        <v>D20</v>
      </c>
      <c r="C322" s="10" t="str">
        <v>Municipal, agency, covered, and inflation-linked bonds.</v>
      </c>
      <c r="D322" s="16" t="str">
        <v>T20.02</v>
      </c>
      <c r="E322" s="10" t="str">
        <v>Mapped</v>
      </c>
    </row>
    <row r="323" ht="42" customHeight="1">
      <c r="A323" s="9" t="str">
        <v>T20.03</v>
      </c>
      <c r="B323" s="9" t="str">
        <v>D20</v>
      </c>
      <c r="C323" s="9" t="str">
        <v>Coupon structures and payment conventions.</v>
      </c>
      <c r="D323" s="17" t="str">
        <v>T20.03</v>
      </c>
      <c r="E323" s="9" t="str">
        <v>Mapped</v>
      </c>
    </row>
    <row r="324" ht="42" customHeight="1">
      <c r="A324" s="10" t="str">
        <v>T20.04</v>
      </c>
      <c r="B324" s="10" t="str">
        <v>D20</v>
      </c>
      <c r="C324" s="10" t="str">
        <v>Clean price, dirty price, and accrued interest.</v>
      </c>
      <c r="D324" s="16" t="str">
        <v>T20.04</v>
      </c>
      <c r="E324" s="10" t="str">
        <v>Mapped</v>
      </c>
    </row>
    <row r="325" ht="42" customHeight="1">
      <c r="A325" s="9" t="str">
        <v>T20.05</v>
      </c>
      <c r="B325" s="9" t="str">
        <v>D20</v>
      </c>
      <c r="C325" s="9" t="str">
        <v>Bond pricing.</v>
      </c>
      <c r="D325" s="17" t="str">
        <v>T20.05</v>
      </c>
      <c r="E325" s="9" t="str">
        <v>Mapped</v>
      </c>
    </row>
    <row r="326" ht="42" customHeight="1">
      <c r="A326" s="10" t="str">
        <v>T20.06</v>
      </c>
      <c r="B326" s="10" t="str">
        <v>D20</v>
      </c>
      <c r="C326" s="10" t="str">
        <v>Current yield, yield to maturity, yield to call, and yield to worst.</v>
      </c>
      <c r="D326" s="16" t="str">
        <v>T20.06</v>
      </c>
      <c r="E326" s="10" t="str">
        <v>Mapped</v>
      </c>
    </row>
    <row r="327" ht="42" customHeight="1">
      <c r="A327" s="9" t="str">
        <v>T20.07</v>
      </c>
      <c r="B327" s="9" t="str">
        <v>D20</v>
      </c>
      <c r="C327" s="9" t="str">
        <v>Spot rates, forward rates, and par yields.</v>
      </c>
      <c r="D327" s="17" t="str">
        <v>T20.07</v>
      </c>
      <c r="E327" s="9" t="str">
        <v>Mapped</v>
      </c>
    </row>
    <row r="328" ht="42" customHeight="1">
      <c r="A328" s="10" t="str">
        <v>T20.08</v>
      </c>
      <c r="B328" s="10" t="str">
        <v>D20</v>
      </c>
      <c r="C328" s="10" t="str">
        <v>Yield curves and term-structure theories.</v>
      </c>
      <c r="D328" s="16" t="str">
        <v>T20.08</v>
      </c>
      <c r="E328" s="10" t="str">
        <v>Mapped</v>
      </c>
    </row>
    <row r="329" ht="42" customHeight="1">
      <c r="A329" s="9" t="str">
        <v>T20.09</v>
      </c>
      <c r="B329" s="9" t="str">
        <v>D20</v>
      </c>
      <c r="C329" s="9" t="str">
        <v>Bootstrapping discount curves.</v>
      </c>
      <c r="D329" s="17" t="str">
        <v>T20.09</v>
      </c>
      <c r="E329" s="9" t="str">
        <v>Mapped</v>
      </c>
    </row>
    <row r="330" ht="42" customHeight="1">
      <c r="A330" s="10" t="str">
        <v>T20.10</v>
      </c>
      <c r="B330" s="10" t="str">
        <v>D20</v>
      </c>
      <c r="C330" s="10" t="str">
        <v>Duration, modified duration, and effective duration.</v>
      </c>
      <c r="D330" s="16" t="str">
        <v>T20.10</v>
      </c>
      <c r="E330" s="10" t="str">
        <v>Mapped</v>
      </c>
    </row>
    <row r="331" ht="42" customHeight="1">
      <c r="A331" s="9" t="str">
        <v>T20.11</v>
      </c>
      <c r="B331" s="9" t="str">
        <v>D20</v>
      </c>
      <c r="C331" s="9" t="str">
        <v>Convexity and key-rate duration.</v>
      </c>
      <c r="D331" s="17" t="str">
        <v>T20.11</v>
      </c>
      <c r="E331" s="9" t="str">
        <v>Mapped</v>
      </c>
    </row>
    <row r="332" ht="42" customHeight="1">
      <c r="A332" s="10" t="str">
        <v>T20.12</v>
      </c>
      <c r="B332" s="10" t="str">
        <v>D20</v>
      </c>
      <c r="C332" s="10" t="str">
        <v>Credit spreads and spread duration.</v>
      </c>
      <c r="D332" s="16" t="str">
        <v>T20.12</v>
      </c>
      <c r="E332" s="10" t="str">
        <v>Mapped</v>
      </c>
    </row>
    <row r="333" ht="42" customHeight="1">
      <c r="A333" s="9" t="str">
        <v>T20.13</v>
      </c>
      <c r="B333" s="9" t="str">
        <v>D20</v>
      </c>
      <c r="C333" s="9" t="str">
        <v>Floating-rate notes.</v>
      </c>
      <c r="D333" s="17" t="str">
        <v>T20.13</v>
      </c>
      <c r="E333" s="9" t="str">
        <v>Mapped</v>
      </c>
    </row>
    <row r="334" ht="42" customHeight="1">
      <c r="A334" s="10" t="str">
        <v>T20.14</v>
      </c>
      <c r="B334" s="10" t="str">
        <v>D20</v>
      </c>
      <c r="C334" s="10" t="str">
        <v>Callable, puttable, and convertible bonds.</v>
      </c>
      <c r="D334" s="16" t="str">
        <v>T20.14</v>
      </c>
      <c r="E334" s="10" t="str">
        <v>Mapped</v>
      </c>
    </row>
    <row r="335" ht="42" customHeight="1">
      <c r="A335" s="9" t="str">
        <v>T20.15</v>
      </c>
      <c r="B335" s="9" t="str">
        <v>D20</v>
      </c>
      <c r="C335" s="9" t="str">
        <v>Default, recovery, and bond covenants.</v>
      </c>
      <c r="D335" s="17" t="str">
        <v>T20.15</v>
      </c>
      <c r="E335" s="9" t="str">
        <v>Mapped</v>
      </c>
    </row>
    <row r="336" ht="42" customHeight="1">
      <c r="A336" s="10" t="str">
        <v>T20.16</v>
      </c>
      <c r="B336" s="10" t="str">
        <v>D20</v>
      </c>
      <c r="C336" s="10" t="str">
        <v>Bond portfolio strategies, ladders, and immunisation.</v>
      </c>
      <c r="D336" s="16" t="str">
        <v>T20.16</v>
      </c>
      <c r="E336" s="10" t="str">
        <v>Mapped</v>
      </c>
    </row>
    <row r="337" ht="42" customHeight="1">
      <c r="A337" s="9" t="str">
        <v>T20.17</v>
      </c>
      <c r="B337" s="9" t="str">
        <v>D20</v>
      </c>
      <c r="C337" s="9" t="str">
        <v>Fixed-income attribution and relative value.</v>
      </c>
      <c r="D337" s="17" t="str">
        <v>T20.17</v>
      </c>
      <c r="E337" s="9" t="str">
        <v>Mapped</v>
      </c>
    </row>
    <row r="338" ht="42" customHeight="1">
      <c r="A338" s="10" t="str">
        <v>T21.01</v>
      </c>
      <c r="B338" s="10" t="str">
        <v>D21</v>
      </c>
      <c r="C338" s="10" t="str">
        <v>Forwards and futures.</v>
      </c>
      <c r="D338" s="16" t="str">
        <v>T21.01</v>
      </c>
      <c r="E338" s="10" t="str">
        <v>Mapped</v>
      </c>
    </row>
    <row r="339" ht="42" customHeight="1">
      <c r="A339" s="9" t="str">
        <v>T21.02</v>
      </c>
      <c r="B339" s="9" t="str">
        <v>D21</v>
      </c>
      <c r="C339" s="9" t="str">
        <v>Options: calls and puts.</v>
      </c>
      <c r="D339" s="17" t="str">
        <v>T21.02</v>
      </c>
      <c r="E339" s="9" t="str">
        <v>Mapped</v>
      </c>
    </row>
    <row r="340" ht="42" customHeight="1">
      <c r="A340" s="10" t="str">
        <v>T21.03</v>
      </c>
      <c r="B340" s="10" t="str">
        <v>D21</v>
      </c>
      <c r="C340" s="10" t="str">
        <v>Payoff versus profit diagrams.</v>
      </c>
      <c r="D340" s="16" t="str">
        <v>T21.03</v>
      </c>
      <c r="E340" s="10" t="str">
        <v>Mapped</v>
      </c>
    </row>
    <row r="341" ht="42" customHeight="1">
      <c r="A341" s="9" t="str">
        <v>T21.04</v>
      </c>
      <c r="B341" s="9" t="str">
        <v>D21</v>
      </c>
      <c r="C341" s="9" t="str">
        <v>Moneyness, intrinsic value, and time value.</v>
      </c>
      <c r="D341" s="17" t="str">
        <v>T21.04</v>
      </c>
      <c r="E341" s="9" t="str">
        <v>Mapped</v>
      </c>
    </row>
    <row r="342" ht="42" customHeight="1">
      <c r="A342" s="10" t="str">
        <v>T21.05</v>
      </c>
      <c r="B342" s="10" t="str">
        <v>D21</v>
      </c>
      <c r="C342" s="10" t="str">
        <v>Put-call parity.</v>
      </c>
      <c r="D342" s="16" t="str">
        <v>T21.05</v>
      </c>
      <c r="E342" s="10" t="str">
        <v>Mapped</v>
      </c>
    </row>
    <row r="343" ht="42" customHeight="1">
      <c r="A343" s="9" t="str">
        <v>T21.06</v>
      </c>
      <c r="B343" s="9" t="str">
        <v>D21</v>
      </c>
      <c r="C343" s="9" t="str">
        <v>Binomial option pricing.</v>
      </c>
      <c r="D343" s="17" t="str">
        <v>T21.06</v>
      </c>
      <c r="E343" s="9" t="str">
        <v>Mapped</v>
      </c>
    </row>
    <row r="344" ht="42" customHeight="1">
      <c r="A344" s="10" t="str">
        <v>T21.07</v>
      </c>
      <c r="B344" s="10" t="str">
        <v>D21</v>
      </c>
      <c r="C344" s="10" t="str">
        <v>Black-Scholes foundations and assumptions.</v>
      </c>
      <c r="D344" s="16" t="str">
        <v>T21.07</v>
      </c>
      <c r="E344" s="10" t="str">
        <v>Mapped</v>
      </c>
    </row>
    <row r="345" ht="42" customHeight="1">
      <c r="A345" s="9" t="str">
        <v>T21.08</v>
      </c>
      <c r="B345" s="9" t="str">
        <v>D21</v>
      </c>
      <c r="C345" s="9" t="str">
        <v>Option Greeks.</v>
      </c>
      <c r="D345" s="17" t="str">
        <v>T21.08</v>
      </c>
      <c r="E345" s="9" t="str">
        <v>Mapped</v>
      </c>
    </row>
    <row r="346" ht="42" customHeight="1">
      <c r="A346" s="10" t="str">
        <v>T21.09</v>
      </c>
      <c r="B346" s="10" t="str">
        <v>D21</v>
      </c>
      <c r="C346" s="10" t="str">
        <v>Implied versus realised volatility.</v>
      </c>
      <c r="D346" s="16" t="str">
        <v>T21.09</v>
      </c>
      <c r="E346" s="10" t="str">
        <v>Mapped</v>
      </c>
    </row>
    <row r="347" ht="42" customHeight="1">
      <c r="A347" s="9" t="str">
        <v>T21.10</v>
      </c>
      <c r="B347" s="9" t="str">
        <v>D21</v>
      </c>
      <c r="C347" s="9" t="str">
        <v>Volatility smiles, skews, and term structures.</v>
      </c>
      <c r="D347" s="17" t="str">
        <v>T21.10</v>
      </c>
      <c r="E347" s="9" t="str">
        <v>Mapped</v>
      </c>
    </row>
    <row r="348" ht="42" customHeight="1">
      <c r="A348" s="10" t="str">
        <v>T21.11</v>
      </c>
      <c r="B348" s="10" t="str">
        <v>D21</v>
      </c>
      <c r="C348" s="10" t="str">
        <v>Option strategies: spreads, straddles, strangles, and collars.</v>
      </c>
      <c r="D348" s="16" t="str">
        <v>T21.11</v>
      </c>
      <c r="E348" s="10" t="str">
        <v>Mapped</v>
      </c>
    </row>
    <row r="349" ht="42" customHeight="1">
      <c r="A349" s="9" t="str">
        <v>T21.12</v>
      </c>
      <c r="B349" s="9" t="str">
        <v>D21</v>
      </c>
      <c r="C349" s="9" t="str">
        <v>Interest-rate, currency, and commodity swaps.</v>
      </c>
      <c r="D349" s="17" t="str">
        <v>T21.12</v>
      </c>
      <c r="E349" s="9" t="str">
        <v>Mapped</v>
      </c>
    </row>
    <row r="350" ht="42" customHeight="1">
      <c r="A350" s="10" t="str">
        <v>T21.13</v>
      </c>
      <c r="B350" s="10" t="str">
        <v>D21</v>
      </c>
      <c r="C350" s="10" t="str">
        <v>Credit default swaps.</v>
      </c>
      <c r="D350" s="16" t="str">
        <v>T21.13</v>
      </c>
      <c r="E350" s="10" t="str">
        <v>Mapped</v>
      </c>
    </row>
    <row r="351" ht="42" customHeight="1">
      <c r="A351" s="9" t="str">
        <v>T21.14</v>
      </c>
      <c r="B351" s="9" t="str">
        <v>D21</v>
      </c>
      <c r="C351" s="9" t="str">
        <v>Caps, floors, and swaptions.</v>
      </c>
      <c r="D351" s="17" t="str">
        <v>T21.14</v>
      </c>
      <c r="E351" s="9" t="str">
        <v>Mapped</v>
      </c>
    </row>
    <row r="352" ht="42" customHeight="1">
      <c r="A352" s="10" t="str">
        <v>T21.15</v>
      </c>
      <c r="B352" s="10" t="str">
        <v>D21</v>
      </c>
      <c r="C352" s="10" t="str">
        <v>Exotic options and path-dependent payoffs.</v>
      </c>
      <c r="D352" s="16" t="str">
        <v>T21.15</v>
      </c>
      <c r="E352" s="10" t="str">
        <v>Mapped</v>
      </c>
    </row>
    <row r="353" ht="42" customHeight="1">
      <c r="A353" s="9" t="str">
        <v>T21.16</v>
      </c>
      <c r="B353" s="9" t="str">
        <v>D21</v>
      </c>
      <c r="C353" s="9" t="str">
        <v>Structured notes and embedded derivatives.</v>
      </c>
      <c r="D353" s="17" t="str">
        <v>T21.16</v>
      </c>
      <c r="E353" s="9" t="str">
        <v>Mapped</v>
      </c>
    </row>
    <row r="354" ht="42" customHeight="1">
      <c r="A354" s="10" t="str">
        <v>T21.17</v>
      </c>
      <c r="B354" s="10" t="str">
        <v>D21</v>
      </c>
      <c r="C354" s="10" t="str">
        <v>Hedging, speculation, and arbitrage.</v>
      </c>
      <c r="D354" s="16" t="str">
        <v>T21.17</v>
      </c>
      <c r="E354" s="10" t="str">
        <v>Mapped</v>
      </c>
    </row>
    <row r="355" ht="42" customHeight="1">
      <c r="A355" s="9" t="str">
        <v>T21.18</v>
      </c>
      <c r="B355" s="9" t="str">
        <v>D21</v>
      </c>
      <c r="C355" s="9" t="str">
        <v>Margin, collateral, clearing, and counterparty risk.</v>
      </c>
      <c r="D355" s="17" t="str">
        <v>T21.18</v>
      </c>
      <c r="E355" s="9" t="str">
        <v>Mapped</v>
      </c>
    </row>
    <row r="356" ht="42" customHeight="1">
      <c r="A356" s="10" t="str">
        <v>T21.19</v>
      </c>
      <c r="B356" s="10" t="str">
        <v>D21</v>
      </c>
      <c r="C356" s="10" t="str">
        <v>Basis risk and hedge effectiveness.</v>
      </c>
      <c r="D356" s="16" t="str">
        <v>T21.19</v>
      </c>
      <c r="E356" s="10" t="str">
        <v>Mapped</v>
      </c>
    </row>
    <row r="357" ht="42" customHeight="1">
      <c r="A357" s="9" t="str">
        <v>T22.01</v>
      </c>
      <c r="B357" s="9" t="str">
        <v>D22</v>
      </c>
      <c r="C357" s="9" t="str">
        <v>Investment objectives and constraints.</v>
      </c>
      <c r="D357" s="17" t="str">
        <v>T22.01</v>
      </c>
      <c r="E357" s="9" t="str">
        <v>Mapped</v>
      </c>
    </row>
    <row r="358" ht="42" customHeight="1">
      <c r="A358" s="10" t="str">
        <v>T22.02</v>
      </c>
      <c r="B358" s="10" t="str">
        <v>D22</v>
      </c>
      <c r="C358" s="10" t="str">
        <v>Investment policy statements.</v>
      </c>
      <c r="D358" s="16" t="str">
        <v>T22.02</v>
      </c>
      <c r="E358" s="10" t="str">
        <v>Mapped</v>
      </c>
    </row>
    <row r="359" ht="42" customHeight="1">
      <c r="A359" s="9" t="str">
        <v>T22.03</v>
      </c>
      <c r="B359" s="9" t="str">
        <v>D22</v>
      </c>
      <c r="C359" s="9" t="str">
        <v>Risk tolerance, risk capacity, and investment horizon.</v>
      </c>
      <c r="D359" s="17" t="str">
        <v>T22.03</v>
      </c>
      <c r="E359" s="9" t="str">
        <v>Mapped</v>
      </c>
    </row>
    <row r="360" ht="42" customHeight="1">
      <c r="A360" s="10" t="str">
        <v>T22.04</v>
      </c>
      <c r="B360" s="10" t="str">
        <v>D22</v>
      </c>
      <c r="C360" s="10" t="str">
        <v>Diversification and correlation.</v>
      </c>
      <c r="D360" s="16" t="str">
        <v>T22.04</v>
      </c>
      <c r="E360" s="10" t="str">
        <v>Mapped</v>
      </c>
    </row>
    <row r="361" ht="42" customHeight="1">
      <c r="A361" s="9" t="str">
        <v>T22.05</v>
      </c>
      <c r="B361" s="9" t="str">
        <v>D22</v>
      </c>
      <c r="C361" s="9" t="str">
        <v>Modern portfolio theory.</v>
      </c>
      <c r="D361" s="17" t="str">
        <v>T22.05</v>
      </c>
      <c r="E361" s="9" t="str">
        <v>Mapped</v>
      </c>
    </row>
    <row r="362" ht="42" customHeight="1">
      <c r="A362" s="10" t="str">
        <v>T22.06</v>
      </c>
      <c r="B362" s="10" t="str">
        <v>D22</v>
      </c>
      <c r="C362" s="10" t="str">
        <v>Efficient frontier and minimum-variance portfolios.</v>
      </c>
      <c r="D362" s="16" t="str">
        <v>T22.06</v>
      </c>
      <c r="E362" s="10" t="str">
        <v>Mapped</v>
      </c>
    </row>
    <row r="363" ht="42" customHeight="1">
      <c r="A363" s="9" t="str">
        <v>T22.07</v>
      </c>
      <c r="B363" s="9" t="str">
        <v>D22</v>
      </c>
      <c r="C363" s="9" t="str">
        <v>Capital allocation line and capital market line.</v>
      </c>
      <c r="D363" s="17" t="str">
        <v>T22.07</v>
      </c>
      <c r="E363" s="9" t="str">
        <v>Mapped</v>
      </c>
    </row>
    <row r="364" ht="42" customHeight="1">
      <c r="A364" s="10" t="str">
        <v>T22.08</v>
      </c>
      <c r="B364" s="10" t="str">
        <v>D22</v>
      </c>
      <c r="C364" s="10" t="str">
        <v>CAPM, arbitrage pricing theory, and factor models.</v>
      </c>
      <c r="D364" s="16" t="str">
        <v>T22.08</v>
      </c>
      <c r="E364" s="10" t="str">
        <v>Mapped</v>
      </c>
    </row>
    <row r="365" ht="42" customHeight="1">
      <c r="A365" s="9" t="str">
        <v>T22.09</v>
      </c>
      <c r="B365" s="9" t="str">
        <v>D22</v>
      </c>
      <c r="C365" s="9" t="str">
        <v>Strategic and tactical asset allocation.</v>
      </c>
      <c r="D365" s="17" t="str">
        <v>T22.09</v>
      </c>
      <c r="E365" s="9" t="str">
        <v>Mapped</v>
      </c>
    </row>
    <row r="366" ht="42" customHeight="1">
      <c r="A366" s="10" t="str">
        <v>T22.10</v>
      </c>
      <c r="B366" s="10" t="str">
        <v>D22</v>
      </c>
      <c r="C366" s="10" t="str">
        <v>Active versus passive management.</v>
      </c>
      <c r="D366" s="16" t="str">
        <v>T22.10</v>
      </c>
      <c r="E366" s="10" t="str">
        <v>Mapped</v>
      </c>
    </row>
    <row r="367" ht="42" customHeight="1">
      <c r="A367" s="9" t="str">
        <v>T22.11</v>
      </c>
      <c r="B367" s="9" t="str">
        <v>D22</v>
      </c>
      <c r="C367" s="9" t="str">
        <v>Indexing, tracking error, and active share.</v>
      </c>
      <c r="D367" s="17" t="str">
        <v>T22.11</v>
      </c>
      <c r="E367" s="9" t="str">
        <v>Mapped</v>
      </c>
    </row>
    <row r="368" ht="42" customHeight="1">
      <c r="A368" s="10" t="str">
        <v>T22.12</v>
      </c>
      <c r="B368" s="10" t="str">
        <v>D22</v>
      </c>
      <c r="C368" s="10" t="str">
        <v>Portfolio construction and position sizing.</v>
      </c>
      <c r="D368" s="16" t="str">
        <v>T22.12</v>
      </c>
      <c r="E368" s="10" t="str">
        <v>Mapped</v>
      </c>
    </row>
    <row r="369" ht="42" customHeight="1">
      <c r="A369" s="9" t="str">
        <v>T22.13</v>
      </c>
      <c r="B369" s="9" t="str">
        <v>D22</v>
      </c>
      <c r="C369" s="9" t="str">
        <v>Rebalancing.</v>
      </c>
      <c r="D369" s="17" t="str">
        <v>T22.13</v>
      </c>
      <c r="E369" s="9" t="str">
        <v>Mapped</v>
      </c>
    </row>
    <row r="370" ht="42" customHeight="1">
      <c r="A370" s="10" t="str">
        <v>T22.14</v>
      </c>
      <c r="B370" s="10" t="str">
        <v>D22</v>
      </c>
      <c r="C370" s="10" t="str">
        <v>Benchmark selection.</v>
      </c>
      <c r="D370" s="16" t="str">
        <v>T22.14</v>
      </c>
      <c r="E370" s="10" t="str">
        <v>Mapped</v>
      </c>
    </row>
    <row r="371" ht="42" customHeight="1">
      <c r="A371" s="9" t="str">
        <v>T22.15</v>
      </c>
      <c r="B371" s="9" t="str">
        <v>D22</v>
      </c>
      <c r="C371" s="9" t="str">
        <v>Sharpe, Sortino, Treynor, and information ratios.</v>
      </c>
      <c r="D371" s="17" t="str">
        <v>T22.15</v>
      </c>
      <c r="E371" s="9" t="str">
        <v>Mapped</v>
      </c>
    </row>
    <row r="372" ht="42" customHeight="1">
      <c r="A372" s="10" t="str">
        <v>T22.16</v>
      </c>
      <c r="B372" s="10" t="str">
        <v>D22</v>
      </c>
      <c r="C372" s="10" t="str">
        <v>Alpha and performance attribution.</v>
      </c>
      <c r="D372" s="16" t="str">
        <v>T22.16</v>
      </c>
      <c r="E372" s="10" t="str">
        <v>Mapped</v>
      </c>
    </row>
    <row r="373" ht="42" customHeight="1">
      <c r="A373" s="9" t="str">
        <v>T22.17</v>
      </c>
      <c r="B373" s="9" t="str">
        <v>D22</v>
      </c>
      <c r="C373" s="9" t="str">
        <v>Drawdowns and downside protection.</v>
      </c>
      <c r="D373" s="17" t="str">
        <v>T22.17</v>
      </c>
      <c r="E373" s="9" t="str">
        <v>Mapped</v>
      </c>
    </row>
    <row r="374" ht="42" customHeight="1">
      <c r="A374" s="10" t="str">
        <v>T22.18</v>
      </c>
      <c r="B374" s="10" t="str">
        <v>D22</v>
      </c>
      <c r="C374" s="10" t="str">
        <v>Liability-driven and goals-based investing.</v>
      </c>
      <c r="D374" s="16" t="str">
        <v>T22.18</v>
      </c>
      <c r="E374" s="10" t="str">
        <v>Mapped</v>
      </c>
    </row>
    <row r="375" ht="42" customHeight="1">
      <c r="A375" s="9" t="str">
        <v>T22.19</v>
      </c>
      <c r="B375" s="9" t="str">
        <v>D22</v>
      </c>
      <c r="C375" s="9" t="str">
        <v>Endowment, pension, and institutional portfolios.</v>
      </c>
      <c r="D375" s="17" t="str">
        <v>T22.19</v>
      </c>
      <c r="E375" s="9" t="str">
        <v>Mapped</v>
      </c>
    </row>
    <row r="376" ht="42" customHeight="1">
      <c r="A376" s="10" t="str">
        <v>T23.01</v>
      </c>
      <c r="B376" s="10" t="str">
        <v>D23</v>
      </c>
      <c r="C376" s="10" t="str">
        <v>Mutual funds and exchange-traded funds.</v>
      </c>
      <c r="D376" s="16" t="str">
        <v>T23.01</v>
      </c>
      <c r="E376" s="10" t="str">
        <v>Mapped</v>
      </c>
    </row>
    <row r="377" ht="42" customHeight="1">
      <c r="A377" s="9" t="str">
        <v>T23.02</v>
      </c>
      <c r="B377" s="9" t="str">
        <v>D23</v>
      </c>
      <c r="C377" s="9" t="str">
        <v>Open-end and closed-end funds.</v>
      </c>
      <c r="D377" s="17" t="str">
        <v>T23.02</v>
      </c>
      <c r="E377" s="9" t="str">
        <v>Mapped</v>
      </c>
    </row>
    <row r="378" ht="42" customHeight="1">
      <c r="A378" s="10" t="str">
        <v>T23.03</v>
      </c>
      <c r="B378" s="10" t="str">
        <v>D23</v>
      </c>
      <c r="C378" s="10" t="str">
        <v>Index funds and actively managed funds.</v>
      </c>
      <c r="D378" s="16" t="str">
        <v>T23.03</v>
      </c>
      <c r="E378" s="10" t="str">
        <v>Mapped</v>
      </c>
    </row>
    <row r="379" ht="42" customHeight="1">
      <c r="A379" s="9" t="str">
        <v>T23.04</v>
      </c>
      <c r="B379" s="9" t="str">
        <v>D23</v>
      </c>
      <c r="C379" s="9" t="str">
        <v>Fund NAV, expense ratios, and tracking differences.</v>
      </c>
      <c r="D379" s="17" t="str">
        <v>T23.04</v>
      </c>
      <c r="E379" s="9" t="str">
        <v>Mapped</v>
      </c>
    </row>
    <row r="380" ht="42" customHeight="1">
      <c r="A380" s="10" t="str">
        <v>T23.05</v>
      </c>
      <c r="B380" s="10" t="str">
        <v>D23</v>
      </c>
      <c r="C380" s="10" t="str">
        <v>Fund selection and manager due diligence.</v>
      </c>
      <c r="D380" s="16" t="str">
        <v>T23.05</v>
      </c>
      <c r="E380" s="10" t="str">
        <v>Mapped</v>
      </c>
    </row>
    <row r="381" ht="42" customHeight="1">
      <c r="A381" s="9" t="str">
        <v>T23.06</v>
      </c>
      <c r="B381" s="9" t="str">
        <v>D23</v>
      </c>
      <c r="C381" s="9" t="str">
        <v>Portfolio management services and alternative investment funds.</v>
      </c>
      <c r="D381" s="17" t="str">
        <v>T23.06</v>
      </c>
      <c r="E381" s="9" t="str">
        <v>Mapped</v>
      </c>
    </row>
    <row r="382" ht="42" customHeight="1">
      <c r="A382" s="10" t="str">
        <v>T23.07</v>
      </c>
      <c r="B382" s="10" t="str">
        <v>D23</v>
      </c>
      <c r="C382" s="10" t="str">
        <v>Hedge funds and hedge-fund strategies.</v>
      </c>
      <c r="D382" s="16" t="str">
        <v>T23.07</v>
      </c>
      <c r="E382" s="10" t="str">
        <v>Mapped</v>
      </c>
    </row>
    <row r="383" ht="42" customHeight="1">
      <c r="A383" s="9" t="str">
        <v>T23.08</v>
      </c>
      <c r="B383" s="9" t="str">
        <v>D23</v>
      </c>
      <c r="C383" s="9" t="str">
        <v>Private equity.</v>
      </c>
      <c r="D383" s="17" t="str">
        <v>T23.08</v>
      </c>
      <c r="E383" s="9" t="str">
        <v>Mapped</v>
      </c>
    </row>
    <row r="384" ht="42" customHeight="1">
      <c r="A384" s="10" t="str">
        <v>T23.09</v>
      </c>
      <c r="B384" s="10" t="str">
        <v>D23</v>
      </c>
      <c r="C384" s="10" t="str">
        <v>Venture capital and growth equity.</v>
      </c>
      <c r="D384" s="16" t="str">
        <v>T23.09</v>
      </c>
      <c r="E384" s="10" t="str">
        <v>Mapped</v>
      </c>
    </row>
    <row r="385" ht="42" customHeight="1">
      <c r="A385" s="9" t="str">
        <v>T23.10</v>
      </c>
      <c r="B385" s="9" t="str">
        <v>D23</v>
      </c>
      <c r="C385" s="9" t="str">
        <v>Private credit and direct lending.</v>
      </c>
      <c r="D385" s="17" t="str">
        <v>T23.10</v>
      </c>
      <c r="E385" s="9" t="str">
        <v>Mapped</v>
      </c>
    </row>
    <row r="386" ht="42" customHeight="1">
      <c r="A386" s="10" t="str">
        <v>T23.11</v>
      </c>
      <c r="B386" s="10" t="str">
        <v>D23</v>
      </c>
      <c r="C386" s="10" t="str">
        <v>Distressed debt and special situations.</v>
      </c>
      <c r="D386" s="16" t="str">
        <v>T23.11</v>
      </c>
      <c r="E386" s="10" t="str">
        <v>Mapped</v>
      </c>
    </row>
    <row r="387" ht="42" customHeight="1">
      <c r="A387" s="9" t="str">
        <v>T23.12</v>
      </c>
      <c r="B387" s="9" t="str">
        <v>D23</v>
      </c>
      <c r="C387" s="9" t="str">
        <v>Real estate funds, REITs, and InvITs.</v>
      </c>
      <c r="D387" s="17" t="str">
        <v>T23.12</v>
      </c>
      <c r="E387" s="9" t="str">
        <v>Mapped</v>
      </c>
    </row>
    <row r="388" ht="42" customHeight="1">
      <c r="A388" s="10" t="str">
        <v>T23.13</v>
      </c>
      <c r="B388" s="10" t="str">
        <v>D23</v>
      </c>
      <c r="C388" s="10" t="str">
        <v>Commodities, gold, and natural resources.</v>
      </c>
      <c r="D388" s="16" t="str">
        <v>T23.13</v>
      </c>
      <c r="E388" s="10" t="str">
        <v>Mapped</v>
      </c>
    </row>
    <row r="389" ht="42" customHeight="1">
      <c r="A389" s="9" t="str">
        <v>T23.14</v>
      </c>
      <c r="B389" s="9" t="str">
        <v>D23</v>
      </c>
      <c r="C389" s="9" t="str">
        <v>Infrastructure funds.</v>
      </c>
      <c r="D389" s="17" t="str">
        <v>T23.14</v>
      </c>
      <c r="E389" s="9" t="str">
        <v>Mapped</v>
      </c>
    </row>
    <row r="390" ht="42" customHeight="1">
      <c r="A390" s="10" t="str">
        <v>T23.15</v>
      </c>
      <c r="B390" s="10" t="str">
        <v>D23</v>
      </c>
      <c r="C390" s="10" t="str">
        <v>Collectibles and other alternative stores of value.</v>
      </c>
      <c r="D390" s="16" t="str">
        <v>T23.15</v>
      </c>
      <c r="E390" s="10" t="str">
        <v>Mapped</v>
      </c>
    </row>
    <row r="391" ht="42" customHeight="1">
      <c r="A391" s="9" t="str">
        <v>T23.16</v>
      </c>
      <c r="B391" s="9" t="str">
        <v>D23</v>
      </c>
      <c r="C391" s="9" t="str">
        <v>Fund fees, carried interest, and distribution waterfalls.</v>
      </c>
      <c r="D391" s="17" t="str">
        <v>T23.16</v>
      </c>
      <c r="E391" s="9" t="str">
        <v>Mapped</v>
      </c>
    </row>
    <row r="392" ht="42" customHeight="1">
      <c r="A392" s="10" t="str">
        <v>T23.17</v>
      </c>
      <c r="B392" s="10" t="str">
        <v>D23</v>
      </c>
      <c r="C392" s="10" t="str">
        <v>Capital calls, commitments, and the J-curve.</v>
      </c>
      <c r="D392" s="16" t="str">
        <v>T23.17</v>
      </c>
      <c r="E392" s="10" t="str">
        <v>Mapped</v>
      </c>
    </row>
    <row r="393" ht="42" customHeight="1">
      <c r="A393" s="9" t="str">
        <v>T23.18</v>
      </c>
      <c r="B393" s="9" t="str">
        <v>D23</v>
      </c>
      <c r="C393" s="9" t="str">
        <v>IRR, MOIC, DPI, RVPI, and TVPI.</v>
      </c>
      <c r="D393" s="17" t="str">
        <v>T23.18</v>
      </c>
      <c r="E393" s="9" t="str">
        <v>Mapped</v>
      </c>
    </row>
    <row r="394" ht="42" customHeight="1">
      <c r="A394" s="10" t="str">
        <v>T23.19</v>
      </c>
      <c r="B394" s="10" t="str">
        <v>D23</v>
      </c>
      <c r="C394" s="10" t="str">
        <v>Liquidity, valuation, and survivorship bias in private assets.</v>
      </c>
      <c r="D394" s="16" t="str">
        <v>T23.19</v>
      </c>
      <c r="E394" s="10" t="str">
        <v>Mapped</v>
      </c>
    </row>
    <row r="395" ht="42" customHeight="1">
      <c r="A395" s="9" t="str">
        <v>T24.01</v>
      </c>
      <c r="B395" s="9" t="str">
        <v>D24</v>
      </c>
      <c r="C395" s="9" t="str">
        <v>How banks create and intermediate credit.</v>
      </c>
      <c r="D395" s="17" t="str">
        <v>T24.01</v>
      </c>
      <c r="E395" s="9" t="str">
        <v>Mapped</v>
      </c>
    </row>
    <row r="396" ht="42" customHeight="1">
      <c r="A396" s="10" t="str">
        <v>T24.02</v>
      </c>
      <c r="B396" s="10" t="str">
        <v>D24</v>
      </c>
      <c r="C396" s="10" t="str">
        <v>Bank balance sheets and income statements.</v>
      </c>
      <c r="D396" s="16" t="str">
        <v>T24.02</v>
      </c>
      <c r="E396" s="10" t="str">
        <v>Mapped</v>
      </c>
    </row>
    <row r="397" ht="42" customHeight="1">
      <c r="A397" s="9" t="str">
        <v>T24.03</v>
      </c>
      <c r="B397" s="9" t="str">
        <v>D24</v>
      </c>
      <c r="C397" s="9" t="str">
        <v>Deposits, lending, and wholesale funding.</v>
      </c>
      <c r="D397" s="17" t="str">
        <v>T24.03</v>
      </c>
      <c r="E397" s="9" t="str">
        <v>Mapped</v>
      </c>
    </row>
    <row r="398" ht="42" customHeight="1">
      <c r="A398" s="10" t="str">
        <v>T24.04</v>
      </c>
      <c r="B398" s="10" t="str">
        <v>D24</v>
      </c>
      <c r="C398" s="10" t="str">
        <v>Net interest income and net interest margin.</v>
      </c>
      <c r="D398" s="16" t="str">
        <v>T24.04</v>
      </c>
      <c r="E398" s="10" t="str">
        <v>Mapped</v>
      </c>
    </row>
    <row r="399" ht="42" customHeight="1">
      <c r="A399" s="9" t="str">
        <v>T24.05</v>
      </c>
      <c r="B399" s="9" t="str">
        <v>D24</v>
      </c>
      <c r="C399" s="9" t="str">
        <v>Fee income and operating efficiency.</v>
      </c>
      <c r="D399" s="17" t="str">
        <v>T24.05</v>
      </c>
      <c r="E399" s="9" t="str">
        <v>Mapped</v>
      </c>
    </row>
    <row r="400" ht="42" customHeight="1">
      <c r="A400" s="10" t="str">
        <v>T24.06</v>
      </c>
      <c r="B400" s="10" t="str">
        <v>D24</v>
      </c>
      <c r="C400" s="10" t="str">
        <v>Asset-liability management.</v>
      </c>
      <c r="D400" s="16" t="str">
        <v>T24.06</v>
      </c>
      <c r="E400" s="10" t="str">
        <v>Mapped</v>
      </c>
    </row>
    <row r="401" ht="42" customHeight="1">
      <c r="A401" s="9" t="str">
        <v>T24.07</v>
      </c>
      <c r="B401" s="9" t="str">
        <v>D24</v>
      </c>
      <c r="C401" s="9" t="str">
        <v>Capital adequacy and risk-weighted assets.</v>
      </c>
      <c r="D401" s="17" t="str">
        <v>T24.07</v>
      </c>
      <c r="E401" s="9" t="str">
        <v>Mapped</v>
      </c>
    </row>
    <row r="402" ht="42" customHeight="1">
      <c r="A402" s="10" t="str">
        <v>T24.08</v>
      </c>
      <c r="B402" s="10" t="str">
        <v>D24</v>
      </c>
      <c r="C402" s="10" t="str">
        <v>Liquidity and funding risk.</v>
      </c>
      <c r="D402" s="16" t="str">
        <v>T24.08</v>
      </c>
      <c r="E402" s="10" t="str">
        <v>Mapped</v>
      </c>
    </row>
    <row r="403" ht="42" customHeight="1">
      <c r="A403" s="9" t="str">
        <v>T24.09</v>
      </c>
      <c r="B403" s="9" t="str">
        <v>D24</v>
      </c>
      <c r="C403" s="9" t="str">
        <v>Loan origination and underwriting.</v>
      </c>
      <c r="D403" s="17" t="str">
        <v>T24.09</v>
      </c>
      <c r="E403" s="9" t="str">
        <v>Mapped</v>
      </c>
    </row>
    <row r="404" ht="42" customHeight="1">
      <c r="A404" s="10" t="str">
        <v>T24.10</v>
      </c>
      <c r="B404" s="10" t="str">
        <v>D24</v>
      </c>
      <c r="C404" s="10" t="str">
        <v>Retail, SME, and corporate lending.</v>
      </c>
      <c r="D404" s="16" t="str">
        <v>T24.10</v>
      </c>
      <c r="E404" s="10" t="str">
        <v>Mapped</v>
      </c>
    </row>
    <row r="405" ht="42" customHeight="1">
      <c r="A405" s="9" t="str">
        <v>T24.11</v>
      </c>
      <c r="B405" s="9" t="str">
        <v>D24</v>
      </c>
      <c r="C405" s="9" t="str">
        <v>Credit ratings and credit scoring.</v>
      </c>
      <c r="D405" s="17" t="str">
        <v>T24.11</v>
      </c>
      <c r="E405" s="9" t="str">
        <v>Mapped</v>
      </c>
    </row>
    <row r="406" ht="42" customHeight="1">
      <c r="A406" s="10" t="str">
        <v>T24.12</v>
      </c>
      <c r="B406" s="10" t="str">
        <v>D24</v>
      </c>
      <c r="C406" s="10" t="str">
        <v>Probability of default, loss given default, and exposure at default.</v>
      </c>
      <c r="D406" s="16" t="str">
        <v>T24.12</v>
      </c>
      <c r="E406" s="10" t="str">
        <v>Mapped</v>
      </c>
    </row>
    <row r="407" ht="42" customHeight="1">
      <c r="A407" s="9" t="str">
        <v>T24.13</v>
      </c>
      <c r="B407" s="9" t="str">
        <v>D24</v>
      </c>
      <c r="C407" s="9" t="str">
        <v>Collateral, guarantees, and security structures.</v>
      </c>
      <c r="D407" s="17" t="str">
        <v>T24.13</v>
      </c>
      <c r="E407" s="9" t="str">
        <v>Mapped</v>
      </c>
    </row>
    <row r="408" ht="42" customHeight="1">
      <c r="A408" s="10" t="str">
        <v>T24.14</v>
      </c>
      <c r="B408" s="10" t="str">
        <v>D24</v>
      </c>
      <c r="C408" s="10" t="str">
        <v>Covenants and debt service capacity.</v>
      </c>
      <c r="D408" s="16" t="str">
        <v>T24.14</v>
      </c>
      <c r="E408" s="10" t="str">
        <v>Mapped</v>
      </c>
    </row>
    <row r="409" ht="42" customHeight="1">
      <c r="A409" s="9" t="str">
        <v>T24.15</v>
      </c>
      <c r="B409" s="9" t="str">
        <v>D24</v>
      </c>
      <c r="C409" s="9" t="str">
        <v>Non-performing assets and provisioning.</v>
      </c>
      <c r="D409" s="17" t="str">
        <v>T24.15</v>
      </c>
      <c r="E409" s="9" t="str">
        <v>Mapped</v>
      </c>
    </row>
    <row r="410" ht="42" customHeight="1">
      <c r="A410" s="10" t="str">
        <v>T24.16</v>
      </c>
      <c r="B410" s="10" t="str">
        <v>D24</v>
      </c>
      <c r="C410" s="10" t="str">
        <v>Expected credit losses.</v>
      </c>
      <c r="D410" s="16" t="str">
        <v>T24.16</v>
      </c>
      <c r="E410" s="10" t="str">
        <v>Mapped</v>
      </c>
    </row>
    <row r="411" ht="42" customHeight="1">
      <c r="A411" s="9" t="str">
        <v>T24.17</v>
      </c>
      <c r="B411" s="9" t="str">
        <v>D24</v>
      </c>
      <c r="C411" s="9" t="str">
        <v>Loan restructuring and recovery.</v>
      </c>
      <c r="D411" s="17" t="str">
        <v>T24.17</v>
      </c>
      <c r="E411" s="9" t="str">
        <v>Mapped</v>
      </c>
    </row>
    <row r="412" ht="42" customHeight="1">
      <c r="A412" s="10" t="str">
        <v>T24.18</v>
      </c>
      <c r="B412" s="10" t="str">
        <v>D24</v>
      </c>
      <c r="C412" s="10" t="str">
        <v>NBFCs, microfinance, and housing finance.</v>
      </c>
      <c r="D412" s="16" t="str">
        <v>T24.18</v>
      </c>
      <c r="E412" s="10" t="str">
        <v>Mapped</v>
      </c>
    </row>
    <row r="413" ht="42" customHeight="1">
      <c r="A413" s="9" t="str">
        <v>T24.19</v>
      </c>
      <c r="B413" s="9" t="str">
        <v>D24</v>
      </c>
      <c r="C413" s="9" t="str">
        <v>Securitisation and loan sales.</v>
      </c>
      <c r="D413" s="17" t="str">
        <v>T24.19</v>
      </c>
      <c r="E413" s="9" t="str">
        <v>Mapped</v>
      </c>
    </row>
    <row r="414" ht="42" customHeight="1">
      <c r="A414" s="10" t="str">
        <v>T25.01</v>
      </c>
      <c r="B414" s="10" t="str">
        <v>D25</v>
      </c>
      <c r="C414" s="10" t="str">
        <v>Market, credit, liquidity, and operational risk.</v>
      </c>
      <c r="D414" s="16" t="str">
        <v>T25.01</v>
      </c>
      <c r="E414" s="10" t="str">
        <v>Mapped</v>
      </c>
    </row>
    <row r="415" ht="42" customHeight="1">
      <c r="A415" s="9" t="str">
        <v>T25.02</v>
      </c>
      <c r="B415" s="9" t="str">
        <v>D25</v>
      </c>
      <c r="C415" s="9" t="str">
        <v>Business, strategic, and reputational risk.</v>
      </c>
      <c r="D415" s="17" t="str">
        <v>T25.02</v>
      </c>
      <c r="E415" s="9" t="str">
        <v>Mapped</v>
      </c>
    </row>
    <row r="416" ht="42" customHeight="1">
      <c r="A416" s="10" t="str">
        <v>T25.03</v>
      </c>
      <c r="B416" s="10" t="str">
        <v>D25</v>
      </c>
      <c r="C416" s="10" t="str">
        <v>Counterparty and settlement risk.</v>
      </c>
      <c r="D416" s="16" t="str">
        <v>T25.03</v>
      </c>
      <c r="E416" s="10" t="str">
        <v>Mapped</v>
      </c>
    </row>
    <row r="417" ht="42" customHeight="1">
      <c r="A417" s="9" t="str">
        <v>T25.04</v>
      </c>
      <c r="B417" s="9" t="str">
        <v>D25</v>
      </c>
      <c r="C417" s="9" t="str">
        <v>Concentration and contagion risk.</v>
      </c>
      <c r="D417" s="17" t="str">
        <v>T25.04</v>
      </c>
      <c r="E417" s="9" t="str">
        <v>Mapped</v>
      </c>
    </row>
    <row r="418" ht="42" customHeight="1">
      <c r="A418" s="10" t="str">
        <v>T25.05</v>
      </c>
      <c r="B418" s="10" t="str">
        <v>D25</v>
      </c>
      <c r="C418" s="10" t="str">
        <v>Value at Risk and expected shortfall.</v>
      </c>
      <c r="D418" s="16" t="str">
        <v>T25.05</v>
      </c>
      <c r="E418" s="10" t="str">
        <v>Mapped</v>
      </c>
    </row>
    <row r="419" ht="42" customHeight="1">
      <c r="A419" s="9" t="str">
        <v>T25.06</v>
      </c>
      <c r="B419" s="9" t="str">
        <v>D25</v>
      </c>
      <c r="C419" s="9" t="str">
        <v>Historical, parametric, and Monte Carlo methods.</v>
      </c>
      <c r="D419" s="17" t="str">
        <v>T25.06</v>
      </c>
      <c r="E419" s="9" t="str">
        <v>Mapped</v>
      </c>
    </row>
    <row r="420" ht="42" customHeight="1">
      <c r="A420" s="10" t="str">
        <v>T25.07</v>
      </c>
      <c r="B420" s="10" t="str">
        <v>D25</v>
      </c>
      <c r="C420" s="10" t="str">
        <v>Stress testing and reverse stress testing.</v>
      </c>
      <c r="D420" s="16" t="str">
        <v>T25.07</v>
      </c>
      <c r="E420" s="10" t="str">
        <v>Mapped</v>
      </c>
    </row>
    <row r="421" ht="42" customHeight="1">
      <c r="A421" s="9" t="str">
        <v>T25.08</v>
      </c>
      <c r="B421" s="9" t="str">
        <v>D25</v>
      </c>
      <c r="C421" s="9" t="str">
        <v>Scenario design.</v>
      </c>
      <c r="D421" s="17" t="str">
        <v>T25.08</v>
      </c>
      <c r="E421" s="9" t="str">
        <v>Mapped</v>
      </c>
    </row>
    <row r="422" ht="42" customHeight="1">
      <c r="A422" s="10" t="str">
        <v>T25.09</v>
      </c>
      <c r="B422" s="10" t="str">
        <v>D25</v>
      </c>
      <c r="C422" s="10" t="str">
        <v>Risk limits, risk appetite, and risk governance.</v>
      </c>
      <c r="D422" s="16" t="str">
        <v>T25.09</v>
      </c>
      <c r="E422" s="10" t="str">
        <v>Mapped</v>
      </c>
    </row>
    <row r="423" ht="42" customHeight="1">
      <c r="A423" s="9" t="str">
        <v>T25.10</v>
      </c>
      <c r="B423" s="9" t="str">
        <v>D25</v>
      </c>
      <c r="C423" s="9" t="str">
        <v>Credit portfolio risk.</v>
      </c>
      <c r="D423" s="17" t="str">
        <v>T25.10</v>
      </c>
      <c r="E423" s="9" t="str">
        <v>Mapped</v>
      </c>
    </row>
    <row r="424" ht="42" customHeight="1">
      <c r="A424" s="10" t="str">
        <v>T25.11</v>
      </c>
      <c r="B424" s="10" t="str">
        <v>D25</v>
      </c>
      <c r="C424" s="10" t="str">
        <v>Asset-liability mismatches.</v>
      </c>
      <c r="D424" s="16" t="str">
        <v>T25.11</v>
      </c>
      <c r="E424" s="10" t="str">
        <v>Mapped</v>
      </c>
    </row>
    <row r="425" ht="42" customHeight="1">
      <c r="A425" s="9" t="str">
        <v>T25.12</v>
      </c>
      <c r="B425" s="9" t="str">
        <v>D25</v>
      </c>
      <c r="C425" s="9" t="str">
        <v>Model risk and validation.</v>
      </c>
      <c r="D425" s="17" t="str">
        <v>T25.12</v>
      </c>
      <c r="E425" s="9" t="str">
        <v>Mapped</v>
      </c>
    </row>
    <row r="426" ht="42" customHeight="1">
      <c r="A426" s="10" t="str">
        <v>T25.13</v>
      </c>
      <c r="B426" s="10" t="str">
        <v>D25</v>
      </c>
      <c r="C426" s="10" t="str">
        <v>Operational losses, cyber risk, and fraud risk.</v>
      </c>
      <c r="D426" s="16" t="str">
        <v>T25.13</v>
      </c>
      <c r="E426" s="10" t="str">
        <v>Mapped</v>
      </c>
    </row>
    <row r="427" ht="42" customHeight="1">
      <c r="A427" s="9" t="str">
        <v>T25.14</v>
      </c>
      <c r="B427" s="9" t="str">
        <v>D25</v>
      </c>
      <c r="C427" s="9" t="str">
        <v>Enterprise risk management.</v>
      </c>
      <c r="D427" s="17" t="str">
        <v>T25.14</v>
      </c>
      <c r="E427" s="9" t="str">
        <v>Mapped</v>
      </c>
    </row>
    <row r="428" ht="42" customHeight="1">
      <c r="A428" s="10" t="str">
        <v>T25.15</v>
      </c>
      <c r="B428" s="10" t="str">
        <v>D25</v>
      </c>
      <c r="C428" s="10" t="str">
        <v>Economic capital and risk-adjusted performance.</v>
      </c>
      <c r="D428" s="16" t="str">
        <v>T25.15</v>
      </c>
      <c r="E428" s="10" t="str">
        <v>Mapped</v>
      </c>
    </row>
    <row r="429" ht="42" customHeight="1">
      <c r="A429" s="9" t="str">
        <v>T25.16</v>
      </c>
      <c r="B429" s="9" t="str">
        <v>D25</v>
      </c>
      <c r="C429" s="9" t="str">
        <v>Systemic risk and financial crises.</v>
      </c>
      <c r="D429" s="17" t="str">
        <v>T25.16</v>
      </c>
      <c r="E429" s="9" t="str">
        <v>Mapped</v>
      </c>
    </row>
    <row r="430" ht="42" customHeight="1">
      <c r="A430" s="10" t="str">
        <v>T26.01</v>
      </c>
      <c r="B430" s="10" t="str">
        <v>D26</v>
      </c>
      <c r="C430" s="10" t="str">
        <v>Strategic rationale for acquisitions.</v>
      </c>
      <c r="D430" s="16" t="str">
        <v>T26.01</v>
      </c>
      <c r="E430" s="10" t="str">
        <v>Mapped</v>
      </c>
    </row>
    <row r="431" ht="42" customHeight="1">
      <c r="A431" s="9" t="str">
        <v>T26.02</v>
      </c>
      <c r="B431" s="9" t="str">
        <v>D26</v>
      </c>
      <c r="C431" s="9" t="str">
        <v>Horizontal, vertical, and conglomerate transactions.</v>
      </c>
      <c r="D431" s="17" t="str">
        <v>T26.02</v>
      </c>
      <c r="E431" s="9" t="str">
        <v>Mapped</v>
      </c>
    </row>
    <row r="432" ht="42" customHeight="1">
      <c r="A432" s="10" t="str">
        <v>T26.03</v>
      </c>
      <c r="B432" s="10" t="str">
        <v>D26</v>
      </c>
      <c r="C432" s="10" t="str">
        <v>Buy-side and sell-side processes.</v>
      </c>
      <c r="D432" s="16" t="str">
        <v>T26.03</v>
      </c>
      <c r="E432" s="10" t="str">
        <v>Mapped</v>
      </c>
    </row>
    <row r="433" ht="42" customHeight="1">
      <c r="A433" s="9" t="str">
        <v>T26.04</v>
      </c>
      <c r="B433" s="9" t="str">
        <v>D26</v>
      </c>
      <c r="C433" s="9" t="str">
        <v>Target screening.</v>
      </c>
      <c r="D433" s="17" t="str">
        <v>T26.04</v>
      </c>
      <c r="E433" s="9" t="str">
        <v>Mapped</v>
      </c>
    </row>
    <row r="434" ht="42" customHeight="1">
      <c r="A434" s="10" t="str">
        <v>T26.05</v>
      </c>
      <c r="B434" s="10" t="str">
        <v>D26</v>
      </c>
      <c r="C434" s="10" t="str">
        <v>Financial, commercial, tax, and legal due diligence.</v>
      </c>
      <c r="D434" s="16" t="str">
        <v>T26.05</v>
      </c>
      <c r="E434" s="10" t="str">
        <v>Mapped</v>
      </c>
    </row>
    <row r="435" ht="42" customHeight="1">
      <c r="A435" s="9" t="str">
        <v>T26.06</v>
      </c>
      <c r="B435" s="9" t="str">
        <v>D26</v>
      </c>
      <c r="C435" s="9" t="str">
        <v>Transaction valuation.</v>
      </c>
      <c r="D435" s="17" t="str">
        <v>T26.06</v>
      </c>
      <c r="E435" s="9" t="str">
        <v>Mapped</v>
      </c>
    </row>
    <row r="436" ht="42" customHeight="1">
      <c r="A436" s="10" t="str">
        <v>T26.07</v>
      </c>
      <c r="B436" s="10" t="str">
        <v>D26</v>
      </c>
      <c r="C436" s="10" t="str">
        <v>Synergies, dis-synergies, and integration costs.</v>
      </c>
      <c r="D436" s="16" t="str">
        <v>T26.07</v>
      </c>
      <c r="E436" s="10" t="str">
        <v>Mapped</v>
      </c>
    </row>
    <row r="437" ht="42" customHeight="1">
      <c r="A437" s="9" t="str">
        <v>T26.08</v>
      </c>
      <c r="B437" s="9" t="str">
        <v>D26</v>
      </c>
      <c r="C437" s="9" t="str">
        <v>Cash, stock, and mixed consideration.</v>
      </c>
      <c r="D437" s="17" t="str">
        <v>T26.08</v>
      </c>
      <c r="E437" s="9" t="str">
        <v>Mapped</v>
      </c>
    </row>
    <row r="438" ht="42" customHeight="1">
      <c r="A438" s="10" t="str">
        <v>T26.09</v>
      </c>
      <c r="B438" s="10" t="str">
        <v>D26</v>
      </c>
      <c r="C438" s="10" t="str">
        <v>Acquisition financing.</v>
      </c>
      <c r="D438" s="16" t="str">
        <v>T26.09</v>
      </c>
      <c r="E438" s="10" t="str">
        <v>Mapped</v>
      </c>
    </row>
    <row r="439" ht="42" customHeight="1">
      <c r="A439" s="9" t="str">
        <v>T26.10</v>
      </c>
      <c r="B439" s="9" t="str">
        <v>D26</v>
      </c>
      <c r="C439" s="9" t="str">
        <v>Accretion and dilution.</v>
      </c>
      <c r="D439" s="17" t="str">
        <v>T26.10</v>
      </c>
      <c r="E439" s="9" t="str">
        <v>Mapped</v>
      </c>
    </row>
    <row r="440" ht="42" customHeight="1">
      <c r="A440" s="10" t="str">
        <v>T26.11</v>
      </c>
      <c r="B440" s="10" t="str">
        <v>D26</v>
      </c>
      <c r="C440" s="10" t="str">
        <v>Merger models.</v>
      </c>
      <c r="D440" s="16" t="str">
        <v>T26.11</v>
      </c>
      <c r="E440" s="10" t="str">
        <v>Mapped</v>
      </c>
    </row>
    <row r="441" ht="42" customHeight="1">
      <c r="A441" s="9" t="str">
        <v>T26.12</v>
      </c>
      <c r="B441" s="9" t="str">
        <v>D26</v>
      </c>
      <c r="C441" s="9" t="str">
        <v>Purchase-price adjustments and working-capital mechanisms.</v>
      </c>
      <c r="D441" s="17" t="str">
        <v>T26.12</v>
      </c>
      <c r="E441" s="9" t="str">
        <v>Mapped</v>
      </c>
    </row>
    <row r="442" ht="42" customHeight="1">
      <c r="A442" s="10" t="str">
        <v>T26.13</v>
      </c>
      <c r="B442" s="10" t="str">
        <v>D26</v>
      </c>
      <c r="C442" s="10" t="str">
        <v>Earn-outs and contingent consideration.</v>
      </c>
      <c r="D442" s="16" t="str">
        <v>T26.13</v>
      </c>
      <c r="E442" s="10" t="str">
        <v>Mapped</v>
      </c>
    </row>
    <row r="443" ht="42" customHeight="1">
      <c r="A443" s="9" t="str">
        <v>T26.14</v>
      </c>
      <c r="B443" s="9" t="str">
        <v>D26</v>
      </c>
      <c r="C443" s="9" t="str">
        <v>Leveraged and management buyouts.</v>
      </c>
      <c r="D443" s="17" t="str">
        <v>T26.14</v>
      </c>
      <c r="E443" s="9" t="str">
        <v>Mapped</v>
      </c>
    </row>
    <row r="444" ht="42" customHeight="1">
      <c r="A444" s="10" t="str">
        <v>T26.15</v>
      </c>
      <c r="B444" s="10" t="str">
        <v>D26</v>
      </c>
      <c r="C444" s="10" t="str">
        <v>Divestitures, carve-outs, spin-offs, and split-offs.</v>
      </c>
      <c r="D444" s="16" t="str">
        <v>T26.15</v>
      </c>
      <c r="E444" s="10" t="str">
        <v>Mapped</v>
      </c>
    </row>
    <row r="445" ht="42" customHeight="1">
      <c r="A445" s="9" t="str">
        <v>T26.16</v>
      </c>
      <c r="B445" s="9" t="str">
        <v>D26</v>
      </c>
      <c r="C445" s="9" t="str">
        <v>Takeover defences and shareholder activism.</v>
      </c>
      <c r="D445" s="17" t="str">
        <v>T26.16</v>
      </c>
      <c r="E445" s="9" t="str">
        <v>Mapped</v>
      </c>
    </row>
    <row r="446" ht="42" customHeight="1">
      <c r="A446" s="10" t="str">
        <v>T26.17</v>
      </c>
      <c r="B446" s="10" t="str">
        <v>D26</v>
      </c>
      <c r="C446" s="10" t="str">
        <v>Financial restructuring and debt exchanges.</v>
      </c>
      <c r="D446" s="16" t="str">
        <v>T26.17</v>
      </c>
      <c r="E446" s="10" t="str">
        <v>Mapped</v>
      </c>
    </row>
    <row r="447" ht="42" customHeight="1">
      <c r="A447" s="9" t="str">
        <v>T26.18</v>
      </c>
      <c r="B447" s="9" t="str">
        <v>D26</v>
      </c>
      <c r="C447" s="9" t="str">
        <v>Bankruptcy, insolvency, and recovery waterfalls.</v>
      </c>
      <c r="D447" s="17" t="str">
        <v>T26.18</v>
      </c>
      <c r="E447" s="9" t="str">
        <v>Mapped</v>
      </c>
    </row>
    <row r="448" ht="42" customHeight="1">
      <c r="A448" s="10" t="str">
        <v>T26.19</v>
      </c>
      <c r="B448" s="10" t="str">
        <v>D26</v>
      </c>
      <c r="C448" s="10" t="str">
        <v>Post-merger integration and value tracking.</v>
      </c>
      <c r="D448" s="16" t="str">
        <v>T26.19</v>
      </c>
      <c r="E448" s="10" t="str">
        <v>Mapped</v>
      </c>
    </row>
    <row r="449" ht="42" customHeight="1">
      <c r="A449" s="9" t="str">
        <v>T27.01</v>
      </c>
      <c r="B449" s="9" t="str">
        <v>D27</v>
      </c>
      <c r="C449" s="9" t="str">
        <v>Bootstrapping and startup cash management.</v>
      </c>
      <c r="D449" s="17" t="str">
        <v>T27.01</v>
      </c>
      <c r="E449" s="9" t="str">
        <v>Mapped</v>
      </c>
    </row>
    <row r="450" ht="42" customHeight="1">
      <c r="A450" s="10" t="str">
        <v>T27.02</v>
      </c>
      <c r="B450" s="10" t="str">
        <v>D27</v>
      </c>
      <c r="C450" s="10" t="str">
        <v>Business models and startup financial plans.</v>
      </c>
      <c r="D450" s="16" t="str">
        <v>T27.02</v>
      </c>
      <c r="E450" s="10" t="str">
        <v>Mapped</v>
      </c>
    </row>
    <row r="451" ht="42" customHeight="1">
      <c r="A451" s="9" t="str">
        <v>T27.03</v>
      </c>
      <c r="B451" s="9" t="str">
        <v>D27</v>
      </c>
      <c r="C451" s="9" t="str">
        <v>Burn rate, net burn, and runway.</v>
      </c>
      <c r="D451" s="17" t="str">
        <v>T27.03</v>
      </c>
      <c r="E451" s="9" t="str">
        <v>Mapped</v>
      </c>
    </row>
    <row r="452" ht="42" customHeight="1">
      <c r="A452" s="10" t="str">
        <v>T27.04</v>
      </c>
      <c r="B452" s="10" t="str">
        <v>D27</v>
      </c>
      <c r="C452" s="10" t="str">
        <v>Product-market fit and financing milestones.</v>
      </c>
      <c r="D452" s="16" t="str">
        <v>T27.04</v>
      </c>
      <c r="E452" s="10" t="str">
        <v>Mapped</v>
      </c>
    </row>
    <row r="453" ht="42" customHeight="1">
      <c r="A453" s="9" t="str">
        <v>T27.05</v>
      </c>
      <c r="B453" s="9" t="str">
        <v>D27</v>
      </c>
      <c r="C453" s="9" t="str">
        <v>Angel, seed, venture, and growth funding.</v>
      </c>
      <c r="D453" s="17" t="str">
        <v>T27.05</v>
      </c>
      <c r="E453" s="9" t="str">
        <v>Mapped</v>
      </c>
    </row>
    <row r="454" ht="42" customHeight="1">
      <c r="A454" s="10" t="str">
        <v>T27.06</v>
      </c>
      <c r="B454" s="10" t="str">
        <v>D27</v>
      </c>
      <c r="C454" s="10" t="str">
        <v>Cap tables and dilution.</v>
      </c>
      <c r="D454" s="16" t="str">
        <v>T27.06</v>
      </c>
      <c r="E454" s="10" t="str">
        <v>Mapped</v>
      </c>
    </row>
    <row r="455" ht="42" customHeight="1">
      <c r="A455" s="9" t="str">
        <v>T27.07</v>
      </c>
      <c r="B455" s="9" t="str">
        <v>D27</v>
      </c>
      <c r="C455" s="9" t="str">
        <v>Pre-money and post-money valuation.</v>
      </c>
      <c r="D455" s="17" t="str">
        <v>T27.07</v>
      </c>
      <c r="E455" s="9" t="str">
        <v>Mapped</v>
      </c>
    </row>
    <row r="456" ht="42" customHeight="1">
      <c r="A456" s="10" t="str">
        <v>T27.08</v>
      </c>
      <c r="B456" s="10" t="str">
        <v>D27</v>
      </c>
      <c r="C456" s="10" t="str">
        <v>Convertible notes and SAFE-type instruments.</v>
      </c>
      <c r="D456" s="16" t="str">
        <v>T27.08</v>
      </c>
      <c r="E456" s="10" t="str">
        <v>Mapped</v>
      </c>
    </row>
    <row r="457" ht="42" customHeight="1">
      <c r="A457" s="9" t="str">
        <v>T27.09</v>
      </c>
      <c r="B457" s="9" t="str">
        <v>D27</v>
      </c>
      <c r="C457" s="9" t="str">
        <v>Term sheets.</v>
      </c>
      <c r="D457" s="17" t="str">
        <v>T27.09</v>
      </c>
      <c r="E457" s="9" t="str">
        <v>Mapped</v>
      </c>
    </row>
    <row r="458" ht="42" customHeight="1">
      <c r="A458" s="10" t="str">
        <v>T27.10</v>
      </c>
      <c r="B458" s="10" t="str">
        <v>D27</v>
      </c>
      <c r="C458" s="10" t="str">
        <v>Liquidation preferences and participation rights.</v>
      </c>
      <c r="D458" s="16" t="str">
        <v>T27.10</v>
      </c>
      <c r="E458" s="10" t="str">
        <v>Mapped</v>
      </c>
    </row>
    <row r="459" ht="42" customHeight="1">
      <c r="A459" s="9" t="str">
        <v>T27.11</v>
      </c>
      <c r="B459" s="9" t="str">
        <v>D27</v>
      </c>
      <c r="C459" s="9" t="str">
        <v>Anti-dilution provisions.</v>
      </c>
      <c r="D459" s="17" t="str">
        <v>T27.11</v>
      </c>
      <c r="E459" s="9" t="str">
        <v>Mapped</v>
      </c>
    </row>
    <row r="460" ht="42" customHeight="1">
      <c r="A460" s="10" t="str">
        <v>T27.12</v>
      </c>
      <c r="B460" s="10" t="str">
        <v>D27</v>
      </c>
      <c r="C460" s="10" t="str">
        <v>Founder vesting and employee stock options.</v>
      </c>
      <c r="D460" s="16" t="str">
        <v>T27.12</v>
      </c>
      <c r="E460" s="10" t="str">
        <v>Mapped</v>
      </c>
    </row>
    <row r="461" ht="42" customHeight="1">
      <c r="A461" s="9" t="str">
        <v>T27.13</v>
      </c>
      <c r="B461" s="9" t="str">
        <v>D27</v>
      </c>
      <c r="C461" s="9" t="str">
        <v>Venture debt.</v>
      </c>
      <c r="D461" s="17" t="str">
        <v>T27.13</v>
      </c>
      <c r="E461" s="9" t="str">
        <v>Mapped</v>
      </c>
    </row>
    <row r="462" ht="42" customHeight="1">
      <c r="A462" s="10" t="str">
        <v>T27.14</v>
      </c>
      <c r="B462" s="10" t="str">
        <v>D27</v>
      </c>
      <c r="C462" s="10" t="str">
        <v>Fundraising strategy and investor communication.</v>
      </c>
      <c r="D462" s="16" t="str">
        <v>T27.14</v>
      </c>
      <c r="E462" s="10" t="str">
        <v>Mapped</v>
      </c>
    </row>
    <row r="463" ht="42" customHeight="1">
      <c r="A463" s="9" t="str">
        <v>T27.15</v>
      </c>
      <c r="B463" s="9" t="str">
        <v>D27</v>
      </c>
      <c r="C463" s="9" t="str">
        <v>SaaS, marketplace, consumer, and fintech economics.</v>
      </c>
      <c r="D463" s="17" t="str">
        <v>T27.15</v>
      </c>
      <c r="E463" s="9" t="str">
        <v>Mapped</v>
      </c>
    </row>
    <row r="464" ht="42" customHeight="1">
      <c r="A464" s="10" t="str">
        <v>T27.16</v>
      </c>
      <c r="B464" s="10" t="str">
        <v>D27</v>
      </c>
      <c r="C464" s="10" t="str">
        <v>Down rounds, bridge rounds, and recapitalisation.</v>
      </c>
      <c r="D464" s="16" t="str">
        <v>T27.16</v>
      </c>
      <c r="E464" s="10" t="str">
        <v>Mapped</v>
      </c>
    </row>
    <row r="465" ht="42" customHeight="1">
      <c r="A465" s="9" t="str">
        <v>T27.17</v>
      </c>
      <c r="B465" s="9" t="str">
        <v>D27</v>
      </c>
      <c r="C465" s="9" t="str">
        <v>Exit routes and exit waterfalls.</v>
      </c>
      <c r="D465" s="17" t="str">
        <v>T27.17</v>
      </c>
      <c r="E465" s="9" t="str">
        <v>Mapped</v>
      </c>
    </row>
    <row r="466" ht="42" customHeight="1">
      <c r="A466" s="10" t="str">
        <v>T28.01</v>
      </c>
      <c r="B466" s="10" t="str">
        <v>D28</v>
      </c>
      <c r="C466" s="10" t="str">
        <v>Property types and real estate investment models.</v>
      </c>
      <c r="D466" s="16" t="str">
        <v>T28.01</v>
      </c>
      <c r="E466" s="10" t="str">
        <v>Mapped</v>
      </c>
    </row>
    <row r="467" ht="42" customHeight="1">
      <c r="A467" s="9" t="str">
        <v>T28.02</v>
      </c>
      <c r="B467" s="9" t="str">
        <v>D28</v>
      </c>
      <c r="C467" s="9" t="str">
        <v>Rental income, vacancy, and operating expenses.</v>
      </c>
      <c r="D467" s="17" t="str">
        <v>T28.02</v>
      </c>
      <c r="E467" s="9" t="str">
        <v>Mapped</v>
      </c>
    </row>
    <row r="468" ht="42" customHeight="1">
      <c r="A468" s="10" t="str">
        <v>T28.03</v>
      </c>
      <c r="B468" s="10" t="str">
        <v>D28</v>
      </c>
      <c r="C468" s="10" t="str">
        <v>Net operating income and capitalisation rates.</v>
      </c>
      <c r="D468" s="16" t="str">
        <v>T28.03</v>
      </c>
      <c r="E468" s="10" t="str">
        <v>Mapped</v>
      </c>
    </row>
    <row r="469" ht="42" customHeight="1">
      <c r="A469" s="9" t="str">
        <v>T28.04</v>
      </c>
      <c r="B469" s="9" t="str">
        <v>D28</v>
      </c>
      <c r="C469" s="9" t="str">
        <v>Property valuation.</v>
      </c>
      <c r="D469" s="17" t="str">
        <v>T28.04</v>
      </c>
      <c r="E469" s="9" t="str">
        <v>Mapped</v>
      </c>
    </row>
    <row r="470" ht="42" customHeight="1">
      <c r="A470" s="10" t="str">
        <v>T28.05</v>
      </c>
      <c r="B470" s="10" t="str">
        <v>D28</v>
      </c>
      <c r="C470" s="10" t="str">
        <v>Development feasibility and construction cash flows.</v>
      </c>
      <c r="D470" s="16" t="str">
        <v>T28.05</v>
      </c>
      <c r="E470" s="10" t="str">
        <v>Mapped</v>
      </c>
    </row>
    <row r="471" ht="42" customHeight="1">
      <c r="A471" s="9" t="str">
        <v>T28.06</v>
      </c>
      <c r="B471" s="9" t="str">
        <v>D28</v>
      </c>
      <c r="C471" s="9" t="str">
        <v>Mortgage structures and amortisation.</v>
      </c>
      <c r="D471" s="17" t="str">
        <v>T28.06</v>
      </c>
      <c r="E471" s="9" t="str">
        <v>Mapped</v>
      </c>
    </row>
    <row r="472" ht="42" customHeight="1">
      <c r="A472" s="10" t="str">
        <v>T28.07</v>
      </c>
      <c r="B472" s="10" t="str">
        <v>D28</v>
      </c>
      <c r="C472" s="10" t="str">
        <v>Loan-to-value, debt yield, and debt service coverage.</v>
      </c>
      <c r="D472" s="16" t="str">
        <v>T28.07</v>
      </c>
      <c r="E472" s="10" t="str">
        <v>Mapped</v>
      </c>
    </row>
    <row r="473" ht="42" customHeight="1">
      <c r="A473" s="9" t="str">
        <v>T28.08</v>
      </c>
      <c r="B473" s="9" t="str">
        <v>D28</v>
      </c>
      <c r="C473" s="9" t="str">
        <v>Levered and unlevered property returns.</v>
      </c>
      <c r="D473" s="17" t="str">
        <v>T28.08</v>
      </c>
      <c r="E473" s="9" t="str">
        <v>Mapped</v>
      </c>
    </row>
    <row r="474" ht="42" customHeight="1">
      <c r="A474" s="10" t="str">
        <v>T28.09</v>
      </c>
      <c r="B474" s="10" t="str">
        <v>D28</v>
      </c>
      <c r="C474" s="10" t="str">
        <v>Real estate investment waterfalls.</v>
      </c>
      <c r="D474" s="16" t="str">
        <v>T28.09</v>
      </c>
      <c r="E474" s="10" t="str">
        <v>Mapped</v>
      </c>
    </row>
    <row r="475" ht="42" customHeight="1">
      <c r="A475" s="9" t="str">
        <v>T28.10</v>
      </c>
      <c r="B475" s="9" t="str">
        <v>D28</v>
      </c>
      <c r="C475" s="9" t="str">
        <v>Project finance versus corporate finance.</v>
      </c>
      <c r="D475" s="17" t="str">
        <v>T28.10</v>
      </c>
      <c r="E475" s="9" t="str">
        <v>Mapped</v>
      </c>
    </row>
    <row r="476" ht="42" customHeight="1">
      <c r="A476" s="10" t="str">
        <v>T28.11</v>
      </c>
      <c r="B476" s="10" t="str">
        <v>D28</v>
      </c>
      <c r="C476" s="10" t="str">
        <v>Special-purpose vehicles and limited-recourse structures.</v>
      </c>
      <c r="D476" s="16" t="str">
        <v>T28.11</v>
      </c>
      <c r="E476" s="10" t="str">
        <v>Mapped</v>
      </c>
    </row>
    <row r="477" ht="42" customHeight="1">
      <c r="A477" s="9" t="str">
        <v>T28.12</v>
      </c>
      <c r="B477" s="9" t="str">
        <v>D28</v>
      </c>
      <c r="C477" s="9" t="str">
        <v>Construction risk and operating risk.</v>
      </c>
      <c r="D477" s="17" t="str">
        <v>T28.12</v>
      </c>
      <c r="E477" s="9" t="str">
        <v>Mapped</v>
      </c>
    </row>
    <row r="478" ht="42" customHeight="1">
      <c r="A478" s="10" t="str">
        <v>T28.13</v>
      </c>
      <c r="B478" s="10" t="str">
        <v>D28</v>
      </c>
      <c r="C478" s="10" t="str">
        <v>Concessions, offtake agreements, and public-private partnerships.</v>
      </c>
      <c r="D478" s="16" t="str">
        <v>T28.13</v>
      </c>
      <c r="E478" s="10" t="str">
        <v>Mapped</v>
      </c>
    </row>
    <row r="479" ht="42" customHeight="1">
      <c r="A479" s="9" t="str">
        <v>T28.14</v>
      </c>
      <c r="B479" s="9" t="str">
        <v>D28</v>
      </c>
      <c r="C479" s="9" t="str">
        <v>Debt sizing and debt sculpting.</v>
      </c>
      <c r="D479" s="17" t="str">
        <v>T28.14</v>
      </c>
      <c r="E479" s="9" t="str">
        <v>Mapped</v>
      </c>
    </row>
    <row r="480" ht="42" customHeight="1">
      <c r="A480" s="10" t="str">
        <v>T28.15</v>
      </c>
      <c r="B480" s="10" t="str">
        <v>D28</v>
      </c>
      <c r="C480" s="10" t="str">
        <v>DSCR, LLCR, and PLCR.</v>
      </c>
      <c r="D480" s="16" t="str">
        <v>T28.15</v>
      </c>
      <c r="E480" s="10" t="str">
        <v>Mapped</v>
      </c>
    </row>
    <row r="481" ht="42" customHeight="1">
      <c r="A481" s="9" t="str">
        <v>T28.16</v>
      </c>
      <c r="B481" s="9" t="str">
        <v>D28</v>
      </c>
      <c r="C481" s="9" t="str">
        <v>Reserve accounts and cash waterfalls.</v>
      </c>
      <c r="D481" s="17" t="str">
        <v>T28.16</v>
      </c>
      <c r="E481" s="9" t="str">
        <v>Mapped</v>
      </c>
    </row>
    <row r="482" ht="42" customHeight="1">
      <c r="A482" s="10" t="str">
        <v>T28.17</v>
      </c>
      <c r="B482" s="10" t="str">
        <v>D28</v>
      </c>
      <c r="C482" s="10" t="str">
        <v>Refinancing and project equity returns.</v>
      </c>
      <c r="D482" s="16" t="str">
        <v>T28.17</v>
      </c>
      <c r="E482" s="10" t="str">
        <v>Mapped</v>
      </c>
    </row>
    <row r="483" ht="42" customHeight="1">
      <c r="A483" s="9" t="str">
        <v>T28.18</v>
      </c>
      <c r="B483" s="9" t="str">
        <v>D28</v>
      </c>
      <c r="C483" s="9" t="str">
        <v>Energy, transport, utilities, and social infrastructure finance.</v>
      </c>
      <c r="D483" s="17" t="str">
        <v>T28.18</v>
      </c>
      <c r="E483" s="9" t="str">
        <v>Mapped</v>
      </c>
    </row>
    <row r="484" ht="42" customHeight="1">
      <c r="A484" s="10" t="str">
        <v>T29.01</v>
      </c>
      <c r="B484" s="10" t="str">
        <v>D29</v>
      </c>
      <c r="C484" s="10" t="str">
        <v>Risk pooling and the economics of insurance.</v>
      </c>
      <c r="D484" s="16" t="str">
        <v>T29.01</v>
      </c>
      <c r="E484" s="10" t="str">
        <v>Mapped</v>
      </c>
    </row>
    <row r="485" ht="42" customHeight="1">
      <c r="A485" s="9" t="str">
        <v>T29.02</v>
      </c>
      <c r="B485" s="9" t="str">
        <v>D29</v>
      </c>
      <c r="C485" s="9" t="str">
        <v>Life, health, general, and liability insurance.</v>
      </c>
      <c r="D485" s="17" t="str">
        <v>T29.02</v>
      </c>
      <c r="E485" s="9" t="str">
        <v>Mapped</v>
      </c>
    </row>
    <row r="486" ht="42" customHeight="1">
      <c r="A486" s="10" t="str">
        <v>T29.03</v>
      </c>
      <c r="B486" s="10" t="str">
        <v>D29</v>
      </c>
      <c r="C486" s="10" t="str">
        <v>Term versus savings-linked insurance products.</v>
      </c>
      <c r="D486" s="16" t="str">
        <v>T29.03</v>
      </c>
      <c r="E486" s="10" t="str">
        <v>Mapped</v>
      </c>
    </row>
    <row r="487" ht="42" customHeight="1">
      <c r="A487" s="9" t="str">
        <v>T29.04</v>
      </c>
      <c r="B487" s="9" t="str">
        <v>D29</v>
      </c>
      <c r="C487" s="9" t="str">
        <v>Premiums, deductibles, exclusions, and claims.</v>
      </c>
      <c r="D487" s="17" t="str">
        <v>T29.04</v>
      </c>
      <c r="E487" s="9" t="str">
        <v>Mapped</v>
      </c>
    </row>
    <row r="488" ht="42" customHeight="1">
      <c r="A488" s="10" t="str">
        <v>T29.05</v>
      </c>
      <c r="B488" s="10" t="str">
        <v>D29</v>
      </c>
      <c r="C488" s="10" t="str">
        <v>Underwriting and adverse selection.</v>
      </c>
      <c r="D488" s="16" t="str">
        <v>T29.05</v>
      </c>
      <c r="E488" s="10" t="str">
        <v>Mapped</v>
      </c>
    </row>
    <row r="489" ht="42" customHeight="1">
      <c r="A489" s="9" t="str">
        <v>T29.06</v>
      </c>
      <c r="B489" s="9" t="str">
        <v>D29</v>
      </c>
      <c r="C489" s="9" t="str">
        <v>Reinsurance.</v>
      </c>
      <c r="D489" s="17" t="str">
        <v>T29.06</v>
      </c>
      <c r="E489" s="9" t="str">
        <v>Mapped</v>
      </c>
    </row>
    <row r="490" ht="42" customHeight="1">
      <c r="A490" s="10" t="str">
        <v>T29.07</v>
      </c>
      <c r="B490" s="10" t="str">
        <v>D29</v>
      </c>
      <c r="C490" s="10" t="str">
        <v>Claims reserves and technical provisions.</v>
      </c>
      <c r="D490" s="16" t="str">
        <v>T29.07</v>
      </c>
      <c r="E490" s="10" t="str">
        <v>Mapped</v>
      </c>
    </row>
    <row r="491" ht="42" customHeight="1">
      <c r="A491" s="9" t="str">
        <v>T29.08</v>
      </c>
      <c r="B491" s="9" t="str">
        <v>D29</v>
      </c>
      <c r="C491" s="9" t="str">
        <v>Mortality, morbidity, frequency, and severity.</v>
      </c>
      <c r="D491" s="17" t="str">
        <v>T29.08</v>
      </c>
      <c r="E491" s="9" t="str">
        <v>Mapped</v>
      </c>
    </row>
    <row r="492" ht="42" customHeight="1">
      <c r="A492" s="10" t="str">
        <v>T29.09</v>
      </c>
      <c r="B492" s="10" t="str">
        <v>D29</v>
      </c>
      <c r="C492" s="10" t="str">
        <v>Present value of insurance liabilities.</v>
      </c>
      <c r="D492" s="16" t="str">
        <v>T29.09</v>
      </c>
      <c r="E492" s="10" t="str">
        <v>Mapped</v>
      </c>
    </row>
    <row r="493" ht="42" customHeight="1">
      <c r="A493" s="9" t="str">
        <v>T29.10</v>
      </c>
      <c r="B493" s="9" t="str">
        <v>D29</v>
      </c>
      <c r="C493" s="9" t="str">
        <v>Loss ratios, expense ratios, and combined ratios.</v>
      </c>
      <c r="D493" s="17" t="str">
        <v>T29.10</v>
      </c>
      <c r="E493" s="9" t="str">
        <v>Mapped</v>
      </c>
    </row>
    <row r="494" ht="42" customHeight="1">
      <c r="A494" s="10" t="str">
        <v>T29.11</v>
      </c>
      <c r="B494" s="10" t="str">
        <v>D29</v>
      </c>
      <c r="C494" s="10" t="str">
        <v>Embedded value and value of new business.</v>
      </c>
      <c r="D494" s="16" t="str">
        <v>T29.11</v>
      </c>
      <c r="E494" s="10" t="str">
        <v>Mapped</v>
      </c>
    </row>
    <row r="495" ht="42" customHeight="1">
      <c r="A495" s="9" t="str">
        <v>T29.12</v>
      </c>
      <c r="B495" s="9" t="str">
        <v>D29</v>
      </c>
      <c r="C495" s="9" t="str">
        <v>Insurance investment portfolios.</v>
      </c>
      <c r="D495" s="17" t="str">
        <v>T29.12</v>
      </c>
      <c r="E495" s="9" t="str">
        <v>Mapped</v>
      </c>
    </row>
    <row r="496" ht="42" customHeight="1">
      <c r="A496" s="10" t="str">
        <v>T29.13</v>
      </c>
      <c r="B496" s="10" t="str">
        <v>D29</v>
      </c>
      <c r="C496" s="10" t="str">
        <v>Asset-liability matching.</v>
      </c>
      <c r="D496" s="16" t="str">
        <v>T29.13</v>
      </c>
      <c r="E496" s="10" t="str">
        <v>Mapped</v>
      </c>
    </row>
    <row r="497" ht="42" customHeight="1">
      <c r="A497" s="9" t="str">
        <v>T29.14</v>
      </c>
      <c r="B497" s="9" t="str">
        <v>D29</v>
      </c>
      <c r="C497" s="9" t="str">
        <v>Solvency and regulatory capital.</v>
      </c>
      <c r="D497" s="17" t="str">
        <v>T29.14</v>
      </c>
      <c r="E497" s="9" t="str">
        <v>Mapped</v>
      </c>
    </row>
    <row r="498" ht="42" customHeight="1">
      <c r="A498" s="10" t="str">
        <v>T29.15</v>
      </c>
      <c r="B498" s="10" t="str">
        <v>D29</v>
      </c>
      <c r="C498" s="10" t="str">
        <v>Pension and annuity products.</v>
      </c>
      <c r="D498" s="16" t="str">
        <v>T29.15</v>
      </c>
      <c r="E498" s="10" t="str">
        <v>Mapped</v>
      </c>
    </row>
    <row r="499" ht="42" customHeight="1">
      <c r="A499" s="9" t="str">
        <v>T29.16</v>
      </c>
      <c r="B499" s="9" t="str">
        <v>D29</v>
      </c>
      <c r="C499" s="9" t="str">
        <v>Catastrophe risk and insurance-linked securities.</v>
      </c>
      <c r="D499" s="17" t="str">
        <v>T29.16</v>
      </c>
      <c r="E499" s="9" t="str">
        <v>Mapped</v>
      </c>
    </row>
    <row r="500" ht="42" customHeight="1">
      <c r="A500" s="10" t="str">
        <v>T30.01</v>
      </c>
      <c r="B500" s="10" t="str">
        <v>D30</v>
      </c>
      <c r="C500" s="10" t="str">
        <v>Personal financial statements and net worth.</v>
      </c>
      <c r="D500" s="16" t="str">
        <v>T30.01</v>
      </c>
      <c r="E500" s="10" t="str">
        <v>Mapped</v>
      </c>
    </row>
    <row r="501" ht="42" customHeight="1">
      <c r="A501" s="9" t="str">
        <v>T30.02</v>
      </c>
      <c r="B501" s="9" t="str">
        <v>D30</v>
      </c>
      <c r="C501" s="9" t="str">
        <v>Budgeting and expense tracking.</v>
      </c>
      <c r="D501" s="17" t="str">
        <v>T30.02</v>
      </c>
      <c r="E501" s="9" t="str">
        <v>Mapped</v>
      </c>
    </row>
    <row r="502" ht="42" customHeight="1">
      <c r="A502" s="10" t="str">
        <v>T30.03</v>
      </c>
      <c r="B502" s="10" t="str">
        <v>D30</v>
      </c>
      <c r="C502" s="10" t="str">
        <v>Emergency funds.</v>
      </c>
      <c r="D502" s="16" t="str">
        <v>T30.03</v>
      </c>
      <c r="E502" s="10" t="str">
        <v>Mapped</v>
      </c>
    </row>
    <row r="503" ht="42" customHeight="1">
      <c r="A503" s="9" t="str">
        <v>T30.04</v>
      </c>
      <c r="B503" s="9" t="str">
        <v>D30</v>
      </c>
      <c r="C503" s="9" t="str">
        <v>Debt management and credit scores.</v>
      </c>
      <c r="D503" s="17" t="str">
        <v>T30.04</v>
      </c>
      <c r="E503" s="9" t="str">
        <v>Mapped</v>
      </c>
    </row>
    <row r="504" ht="42" customHeight="1">
      <c r="A504" s="10" t="str">
        <v>T30.05</v>
      </c>
      <c r="B504" s="10" t="str">
        <v>D30</v>
      </c>
      <c r="C504" s="10" t="str">
        <v>Education, vehicle, and home loans.</v>
      </c>
      <c r="D504" s="16" t="str">
        <v>T30.05</v>
      </c>
      <c r="E504" s="10" t="str">
        <v>Mapped</v>
      </c>
    </row>
    <row r="505" ht="42" customHeight="1">
      <c r="A505" s="9" t="str">
        <v>T30.06</v>
      </c>
      <c r="B505" s="9" t="str">
        <v>D30</v>
      </c>
      <c r="C505" s="9" t="str">
        <v>Financial goals and savings plans.</v>
      </c>
      <c r="D505" s="17" t="str">
        <v>T30.06</v>
      </c>
      <c r="E505" s="9" t="str">
        <v>Mapped</v>
      </c>
    </row>
    <row r="506" ht="42" customHeight="1">
      <c r="A506" s="10" t="str">
        <v>T30.07</v>
      </c>
      <c r="B506" s="10" t="str">
        <v>D30</v>
      </c>
      <c r="C506" s="10" t="str">
        <v>Insurance needs analysis.</v>
      </c>
      <c r="D506" s="16" t="str">
        <v>T30.07</v>
      </c>
      <c r="E506" s="10" t="str">
        <v>Mapped</v>
      </c>
    </row>
    <row r="507" ht="42" customHeight="1">
      <c r="A507" s="9" t="str">
        <v>T30.08</v>
      </c>
      <c r="B507" s="9" t="str">
        <v>D30</v>
      </c>
      <c r="C507" s="9" t="str">
        <v>Investment selection and asset allocation.</v>
      </c>
      <c r="D507" s="17" t="str">
        <v>T30.08</v>
      </c>
      <c r="E507" s="9" t="str">
        <v>Mapped</v>
      </c>
    </row>
    <row r="508" ht="42" customHeight="1">
      <c r="A508" s="10" t="str">
        <v>T30.09</v>
      </c>
      <c r="B508" s="10" t="str">
        <v>D30</v>
      </c>
      <c r="C508" s="10" t="str">
        <v>Tax-efficient investing.</v>
      </c>
      <c r="D508" s="16" t="str">
        <v>T30.09</v>
      </c>
      <c r="E508" s="10" t="str">
        <v>Mapped</v>
      </c>
    </row>
    <row r="509" ht="42" customHeight="1">
      <c r="A509" s="9" t="str">
        <v>T30.10</v>
      </c>
      <c r="B509" s="9" t="str">
        <v>D30</v>
      </c>
      <c r="C509" s="9" t="str">
        <v>Retirement planning and withdrawal strategies.</v>
      </c>
      <c r="D509" s="17" t="str">
        <v>T30.10</v>
      </c>
      <c r="E509" s="9" t="str">
        <v>Mapped</v>
      </c>
    </row>
    <row r="510" ht="42" customHeight="1">
      <c r="A510" s="10" t="str">
        <v>T30.11</v>
      </c>
      <c r="B510" s="10" t="str">
        <v>D30</v>
      </c>
      <c r="C510" s="10" t="str">
        <v>Inflation and longevity risk.</v>
      </c>
      <c r="D510" s="16" t="str">
        <v>T30.11</v>
      </c>
      <c r="E510" s="10" t="str">
        <v>Mapped</v>
      </c>
    </row>
    <row r="511" ht="42" customHeight="1">
      <c r="A511" s="9" t="str">
        <v>T30.12</v>
      </c>
      <c r="B511" s="9" t="str">
        <v>D30</v>
      </c>
      <c r="C511" s="9" t="str">
        <v>Employee compensation and stock benefits.</v>
      </c>
      <c r="D511" s="17" t="str">
        <v>T30.12</v>
      </c>
      <c r="E511" s="9" t="str">
        <v>Mapped</v>
      </c>
    </row>
    <row r="512" ht="42" customHeight="1">
      <c r="A512" s="10" t="str">
        <v>T30.13</v>
      </c>
      <c r="B512" s="10" t="str">
        <v>D30</v>
      </c>
      <c r="C512" s="10" t="str">
        <v>Property ownership versus renting.</v>
      </c>
      <c r="D512" s="16" t="str">
        <v>T30.13</v>
      </c>
      <c r="E512" s="10" t="str">
        <v>Mapped</v>
      </c>
    </row>
    <row r="513" ht="42" customHeight="1">
      <c r="A513" s="9" t="str">
        <v>T30.14</v>
      </c>
      <c r="B513" s="9" t="str">
        <v>D30</v>
      </c>
      <c r="C513" s="9" t="str">
        <v>Family financial planning.</v>
      </c>
      <c r="D513" s="17" t="str">
        <v>T30.14</v>
      </c>
      <c r="E513" s="9" t="str">
        <v>Mapped</v>
      </c>
    </row>
    <row r="514" ht="42" customHeight="1">
      <c r="A514" s="10" t="str">
        <v>T30.15</v>
      </c>
      <c r="B514" s="10" t="str">
        <v>D30</v>
      </c>
      <c r="C514" s="10" t="str">
        <v>Estate planning, nominations, wills, and trusts.</v>
      </c>
      <c r="D514" s="16" t="str">
        <v>T30.15</v>
      </c>
      <c r="E514" s="10" t="str">
        <v>Mapped</v>
      </c>
    </row>
    <row r="515" ht="42" customHeight="1">
      <c r="A515" s="9" t="str">
        <v>T30.16</v>
      </c>
      <c r="B515" s="9" t="str">
        <v>D30</v>
      </c>
      <c r="C515" s="9" t="str">
        <v>Wealth preservation and intergenerational transfer.</v>
      </c>
      <c r="D515" s="17" t="str">
        <v>T30.16</v>
      </c>
      <c r="E515" s="9" t="str">
        <v>Mapped</v>
      </c>
    </row>
    <row r="516" ht="42" customHeight="1">
      <c r="A516" s="10" t="str">
        <v>T30.17</v>
      </c>
      <c r="B516" s="10" t="str">
        <v>D30</v>
      </c>
      <c r="C516" s="10" t="str">
        <v>Financial scams and investor protection.</v>
      </c>
      <c r="D516" s="16" t="str">
        <v>T30.17</v>
      </c>
      <c r="E516" s="10" t="str">
        <v>Mapped</v>
      </c>
    </row>
    <row r="517" ht="42" customHeight="1">
      <c r="A517" s="9" t="str">
        <v>T30.18</v>
      </c>
      <c r="B517" s="9" t="str">
        <v>D30</v>
      </c>
      <c r="C517" s="9" t="str">
        <v>Adviser selection, fees, and conflicts of interest.</v>
      </c>
      <c r="D517" s="17" t="str">
        <v>T30.18</v>
      </c>
      <c r="E517" s="9" t="str">
        <v>Mapped</v>
      </c>
    </row>
    <row r="518" ht="42" customHeight="1">
      <c r="A518" s="10" t="str">
        <v>T31.01</v>
      </c>
      <c r="B518" s="10" t="str">
        <v>D31</v>
      </c>
      <c r="C518" s="10" t="str">
        <v>Direct versus indirect taxation.</v>
      </c>
      <c r="D518" s="16" t="str">
        <v>T31.01</v>
      </c>
      <c r="E518" s="10" t="str">
        <v>Mapped</v>
      </c>
    </row>
    <row r="519" ht="42" customHeight="1">
      <c r="A519" s="9" t="str">
        <v>T31.02</v>
      </c>
      <c r="B519" s="9" t="str">
        <v>D31</v>
      </c>
      <c r="C519" s="9" t="str">
        <v>Taxable income versus accounting income.</v>
      </c>
      <c r="D519" s="17" t="str">
        <v>T31.02</v>
      </c>
      <c r="E519" s="9" t="str">
        <v>Mapped</v>
      </c>
    </row>
    <row r="520" ht="42" customHeight="1">
      <c r="A520" s="10" t="str">
        <v>T31.03</v>
      </c>
      <c r="B520" s="10" t="str">
        <v>D31</v>
      </c>
      <c r="C520" s="10" t="str">
        <v>Marginal versus effective tax rates.</v>
      </c>
      <c r="D520" s="16" t="str">
        <v>T31.03</v>
      </c>
      <c r="E520" s="10" t="str">
        <v>Mapped</v>
      </c>
    </row>
    <row r="521" ht="42" customHeight="1">
      <c r="A521" s="9" t="str">
        <v>T31.04</v>
      </c>
      <c r="B521" s="9" t="str">
        <v>D31</v>
      </c>
      <c r="C521" s="9" t="str">
        <v>Individual and corporate taxation.</v>
      </c>
      <c r="D521" s="17" t="str">
        <v>T31.04</v>
      </c>
      <c r="E521" s="9" t="str">
        <v>Mapped</v>
      </c>
    </row>
    <row r="522" ht="42" customHeight="1">
      <c r="A522" s="10" t="str">
        <v>T31.05</v>
      </c>
      <c r="B522" s="10" t="str">
        <v>D31</v>
      </c>
      <c r="C522" s="10" t="str">
        <v>Capital gains, dividends, and interest taxation.</v>
      </c>
      <c r="D522" s="16" t="str">
        <v>T31.05</v>
      </c>
      <c r="E522" s="10" t="str">
        <v>Mapped</v>
      </c>
    </row>
    <row r="523" ht="42" customHeight="1">
      <c r="A523" s="9" t="str">
        <v>T31.06</v>
      </c>
      <c r="B523" s="9" t="str">
        <v>D31</v>
      </c>
      <c r="C523" s="9" t="str">
        <v>Tax treatment of investment products.</v>
      </c>
      <c r="D523" s="17" t="str">
        <v>T31.06</v>
      </c>
      <c r="E523" s="9" t="str">
        <v>Mapped</v>
      </c>
    </row>
    <row r="524" ht="42" customHeight="1">
      <c r="A524" s="10" t="str">
        <v>T31.07</v>
      </c>
      <c r="B524" s="10" t="str">
        <v>D31</v>
      </c>
      <c r="C524" s="10" t="str">
        <v>Tax depreciation and capital allowances.</v>
      </c>
      <c r="D524" s="16" t="str">
        <v>T31.07</v>
      </c>
      <c r="E524" s="10" t="str">
        <v>Mapped</v>
      </c>
    </row>
    <row r="525" ht="42" customHeight="1">
      <c r="A525" s="9" t="str">
        <v>T31.08</v>
      </c>
      <c r="B525" s="9" t="str">
        <v>D31</v>
      </c>
      <c r="C525" s="9" t="str">
        <v>Loss set-offs and carryforwards.</v>
      </c>
      <c r="D525" s="17" t="str">
        <v>T31.08</v>
      </c>
      <c r="E525" s="9" t="str">
        <v>Mapped</v>
      </c>
    </row>
    <row r="526" ht="42" customHeight="1">
      <c r="A526" s="10" t="str">
        <v>T31.09</v>
      </c>
      <c r="B526" s="10" t="str">
        <v>D31</v>
      </c>
      <c r="C526" s="10" t="str">
        <v>Deferred tax.</v>
      </c>
      <c r="D526" s="16" t="str">
        <v>T31.09</v>
      </c>
      <c r="E526" s="10" t="str">
        <v>Mapped</v>
      </c>
    </row>
    <row r="527" ht="42" customHeight="1">
      <c r="A527" s="9" t="str">
        <v>T31.10</v>
      </c>
      <c r="B527" s="9" t="str">
        <v>D31</v>
      </c>
      <c r="C527" s="9" t="str">
        <v>GST and its working-capital implications.</v>
      </c>
      <c r="D527" s="17" t="str">
        <v>T31.10</v>
      </c>
      <c r="E527" s="9" t="str">
        <v>Mapped</v>
      </c>
    </row>
    <row r="528" ht="42" customHeight="1">
      <c r="A528" s="10" t="str">
        <v>T31.11</v>
      </c>
      <c r="B528" s="10" t="str">
        <v>D31</v>
      </c>
      <c r="C528" s="10" t="str">
        <v>Withholding taxes and tax deducted at source.</v>
      </c>
      <c r="D528" s="16" t="str">
        <v>T31.11</v>
      </c>
      <c r="E528" s="10" t="str">
        <v>Mapped</v>
      </c>
    </row>
    <row r="529" ht="42" customHeight="1">
      <c r="A529" s="9" t="str">
        <v>T31.12</v>
      </c>
      <c r="B529" s="9" t="str">
        <v>D31</v>
      </c>
      <c r="C529" s="9" t="str">
        <v>Cross-border taxation and tax treaties.</v>
      </c>
      <c r="D529" s="17" t="str">
        <v>T31.12</v>
      </c>
      <c r="E529" s="9" t="str">
        <v>Mapped</v>
      </c>
    </row>
    <row r="530" ht="42" customHeight="1">
      <c r="A530" s="10" t="str">
        <v>T31.13</v>
      </c>
      <c r="B530" s="10" t="str">
        <v>D31</v>
      </c>
      <c r="C530" s="10" t="str">
        <v>Transfer pricing for tax purposes.</v>
      </c>
      <c r="D530" s="16" t="str">
        <v>T31.13</v>
      </c>
      <c r="E530" s="10" t="str">
        <v>Mapped</v>
      </c>
    </row>
    <row r="531" ht="42" customHeight="1">
      <c r="A531" s="9" t="str">
        <v>T31.14</v>
      </c>
      <c r="B531" s="9" t="str">
        <v>D31</v>
      </c>
      <c r="C531" s="9" t="str">
        <v>Transaction and restructuring taxation.</v>
      </c>
      <c r="D531" s="17" t="str">
        <v>T31.14</v>
      </c>
      <c r="E531" s="9" t="str">
        <v>Mapped</v>
      </c>
    </row>
    <row r="532" ht="42" customHeight="1">
      <c r="A532" s="10" t="str">
        <v>T31.15</v>
      </c>
      <c r="B532" s="10" t="str">
        <v>D31</v>
      </c>
      <c r="C532" s="10" t="str">
        <v>Tax planning versus tax evasion.</v>
      </c>
      <c r="D532" s="16" t="str">
        <v>T31.15</v>
      </c>
      <c r="E532" s="10" t="str">
        <v>Mapped</v>
      </c>
    </row>
    <row r="533" ht="42" customHeight="1">
      <c r="A533" s="9" t="str">
        <v>T31.16</v>
      </c>
      <c r="B533" s="9" t="str">
        <v>D31</v>
      </c>
      <c r="C533" s="9" t="str">
        <v>After-tax returns and tax-aware valuation.</v>
      </c>
      <c r="D533" s="17" t="str">
        <v>T31.16</v>
      </c>
      <c r="E533" s="9" t="str">
        <v>Mapped</v>
      </c>
    </row>
    <row r="534" ht="42" customHeight="1">
      <c r="A534" s="10" t="str">
        <v>T32.01</v>
      </c>
      <c r="B534" s="10" t="str">
        <v>D32</v>
      </c>
      <c r="C534" s="10" t="str">
        <v>GDP, growth, productivity, and business cycles.</v>
      </c>
      <c r="D534" s="16" t="str">
        <v>T32.01</v>
      </c>
      <c r="E534" s="10" t="str">
        <v>Mapped</v>
      </c>
    </row>
    <row r="535" ht="42" customHeight="1">
      <c r="A535" s="9" t="str">
        <v>T32.02</v>
      </c>
      <c r="B535" s="9" t="str">
        <v>D32</v>
      </c>
      <c r="C535" s="9" t="str">
        <v>Inflation, disinflation, and deflation.</v>
      </c>
      <c r="D535" s="17" t="str">
        <v>T32.02</v>
      </c>
      <c r="E535" s="9" t="str">
        <v>Mapped</v>
      </c>
    </row>
    <row r="536" ht="42" customHeight="1">
      <c r="A536" s="10" t="str">
        <v>T32.03</v>
      </c>
      <c r="B536" s="10" t="str">
        <v>D32</v>
      </c>
      <c r="C536" s="10" t="str">
        <v>Employment, wages, and consumption.</v>
      </c>
      <c r="D536" s="16" t="str">
        <v>T32.03</v>
      </c>
      <c r="E536" s="10" t="str">
        <v>Mapped</v>
      </c>
    </row>
    <row r="537" ht="42" customHeight="1">
      <c r="A537" s="9" t="str">
        <v>T32.04</v>
      </c>
      <c r="B537" s="9" t="str">
        <v>D32</v>
      </c>
      <c r="C537" s="9" t="str">
        <v>Money supply, credit, and liquidity.</v>
      </c>
      <c r="D537" s="17" t="str">
        <v>T32.04</v>
      </c>
      <c r="E537" s="9" t="str">
        <v>Mapped</v>
      </c>
    </row>
    <row r="538" ht="42" customHeight="1">
      <c r="A538" s="10" t="str">
        <v>T32.05</v>
      </c>
      <c r="B538" s="10" t="str">
        <v>D32</v>
      </c>
      <c r="C538" s="10" t="str">
        <v>Central banks and monetary transmission.</v>
      </c>
      <c r="D538" s="16" t="str">
        <v>T32.05</v>
      </c>
      <c r="E538" s="10" t="str">
        <v>Mapped</v>
      </c>
    </row>
    <row r="539" ht="42" customHeight="1">
      <c r="A539" s="9" t="str">
        <v>T32.06</v>
      </c>
      <c r="B539" s="9" t="str">
        <v>D32</v>
      </c>
      <c r="C539" s="9" t="str">
        <v>Policy rates, reserve requirements, and open-market operations.</v>
      </c>
      <c r="D539" s="17" t="str">
        <v>T32.06</v>
      </c>
      <c r="E539" s="9" t="str">
        <v>Mapped</v>
      </c>
    </row>
    <row r="540" ht="42" customHeight="1">
      <c r="A540" s="10" t="str">
        <v>T32.07</v>
      </c>
      <c r="B540" s="10" t="str">
        <v>D32</v>
      </c>
      <c r="C540" s="10" t="str">
        <v>Quantitative easing and tightening.</v>
      </c>
      <c r="D540" s="16" t="str">
        <v>T32.07</v>
      </c>
      <c r="E540" s="10" t="str">
        <v>Mapped</v>
      </c>
    </row>
    <row r="541" ht="42" customHeight="1">
      <c r="A541" s="9" t="str">
        <v>T32.08</v>
      </c>
      <c r="B541" s="9" t="str">
        <v>D32</v>
      </c>
      <c r="C541" s="9" t="str">
        <v>Fiscal policy, taxation, and government spending.</v>
      </c>
      <c r="D541" s="17" t="str">
        <v>T32.08</v>
      </c>
      <c r="E541" s="9" t="str">
        <v>Mapped</v>
      </c>
    </row>
    <row r="542" ht="42" customHeight="1">
      <c r="A542" s="10" t="str">
        <v>T32.09</v>
      </c>
      <c r="B542" s="10" t="str">
        <v>D32</v>
      </c>
      <c r="C542" s="10" t="str">
        <v>Fiscal deficits and public debt.</v>
      </c>
      <c r="D542" s="16" t="str">
        <v>T32.09</v>
      </c>
      <c r="E542" s="10" t="str">
        <v>Mapped</v>
      </c>
    </row>
    <row r="543" ht="42" customHeight="1">
      <c r="A543" s="9" t="str">
        <v>T32.10</v>
      </c>
      <c r="B543" s="9" t="str">
        <v>D32</v>
      </c>
      <c r="C543" s="9" t="str">
        <v>Sovereign borrowing and debt sustainability.</v>
      </c>
      <c r="D543" s="17" t="str">
        <v>T32.10</v>
      </c>
      <c r="E543" s="9" t="str">
        <v>Mapped</v>
      </c>
    </row>
    <row r="544" ht="42" customHeight="1">
      <c r="A544" s="10" t="str">
        <v>T32.11</v>
      </c>
      <c r="B544" s="10" t="str">
        <v>D32</v>
      </c>
      <c r="C544" s="10" t="str">
        <v>Balance of payments and international capital flows.</v>
      </c>
      <c r="D544" s="16" t="str">
        <v>T32.11</v>
      </c>
      <c r="E544" s="10" t="str">
        <v>Mapped</v>
      </c>
    </row>
    <row r="545" ht="42" customHeight="1">
      <c r="A545" s="9" t="str">
        <v>T32.12</v>
      </c>
      <c r="B545" s="9" t="str">
        <v>D32</v>
      </c>
      <c r="C545" s="9" t="str">
        <v>Exchange-rate regimes.</v>
      </c>
      <c r="D545" s="17" t="str">
        <v>T32.12</v>
      </c>
      <c r="E545" s="9" t="str">
        <v>Mapped</v>
      </c>
    </row>
    <row r="546" ht="42" customHeight="1">
      <c r="A546" s="10" t="str">
        <v>T32.13</v>
      </c>
      <c r="B546" s="10" t="str">
        <v>D32</v>
      </c>
      <c r="C546" s="10" t="str">
        <v>Sovereign credit risk.</v>
      </c>
      <c r="D546" s="16" t="str">
        <v>T32.13</v>
      </c>
      <c r="E546" s="10" t="str">
        <v>Mapped</v>
      </c>
    </row>
    <row r="547" ht="42" customHeight="1">
      <c r="A547" s="9" t="str">
        <v>T32.14</v>
      </c>
      <c r="B547" s="9" t="str">
        <v>D32</v>
      </c>
      <c r="C547" s="9" t="str">
        <v>Financial repression and capital controls.</v>
      </c>
      <c r="D547" s="17" t="str">
        <v>T32.14</v>
      </c>
      <c r="E547" s="9" t="str">
        <v>Mapped</v>
      </c>
    </row>
    <row r="548" ht="42" customHeight="1">
      <c r="A548" s="10" t="str">
        <v>T32.15</v>
      </c>
      <c r="B548" s="10" t="str">
        <v>D32</v>
      </c>
      <c r="C548" s="10" t="str">
        <v>Leading indicators and macroeconomic forecasting.</v>
      </c>
      <c r="D548" s="16" t="str">
        <v>T32.15</v>
      </c>
      <c r="E548" s="10" t="str">
        <v>Mapped</v>
      </c>
    </row>
    <row r="549" ht="42" customHeight="1">
      <c r="A549" s="9" t="str">
        <v>T32.16</v>
      </c>
      <c r="B549" s="9" t="str">
        <v>D32</v>
      </c>
      <c r="C549" s="9" t="str">
        <v>How macroeconomic changes affect companies, valuations, and portfolios.</v>
      </c>
      <c r="D549" s="17" t="str">
        <v>T32.16</v>
      </c>
      <c r="E549" s="9" t="str">
        <v>Mapped</v>
      </c>
    </row>
    <row r="550" ht="42" customHeight="1">
      <c r="A550" s="10" t="str">
        <v>T33.01</v>
      </c>
      <c r="B550" s="10" t="str">
        <v>D33</v>
      </c>
      <c r="C550" s="10" t="str">
        <v>Currency quotations and cross-rates.</v>
      </c>
      <c r="D550" s="16" t="str">
        <v>T33.01</v>
      </c>
      <c r="E550" s="10" t="str">
        <v>Mapped</v>
      </c>
    </row>
    <row r="551" ht="42" customHeight="1">
      <c r="A551" s="9" t="str">
        <v>T33.02</v>
      </c>
      <c r="B551" s="9" t="str">
        <v>D33</v>
      </c>
      <c r="C551" s="9" t="str">
        <v>Spot and forward foreign-exchange markets.</v>
      </c>
      <c r="D551" s="17" t="str">
        <v>T33.02</v>
      </c>
      <c r="E551" s="9" t="str">
        <v>Mapped</v>
      </c>
    </row>
    <row r="552" ht="42" customHeight="1">
      <c r="A552" s="10" t="str">
        <v>T33.03</v>
      </c>
      <c r="B552" s="10" t="str">
        <v>D33</v>
      </c>
      <c r="C552" s="10" t="str">
        <v>Purchasing power parity.</v>
      </c>
      <c r="D552" s="16" t="str">
        <v>T33.03</v>
      </c>
      <c r="E552" s="10" t="str">
        <v>Mapped</v>
      </c>
    </row>
    <row r="553" ht="42" customHeight="1">
      <c r="A553" s="9" t="str">
        <v>T33.04</v>
      </c>
      <c r="B553" s="9" t="str">
        <v>D33</v>
      </c>
      <c r="C553" s="9" t="str">
        <v>Covered and uncovered interest-rate parity.</v>
      </c>
      <c r="D553" s="17" t="str">
        <v>T33.04</v>
      </c>
      <c r="E553" s="9" t="str">
        <v>Mapped</v>
      </c>
    </row>
    <row r="554" ht="42" customHeight="1">
      <c r="A554" s="10" t="str">
        <v>T33.05</v>
      </c>
      <c r="B554" s="10" t="str">
        <v>D33</v>
      </c>
      <c r="C554" s="10" t="str">
        <v>Forward premiums and discounts.</v>
      </c>
      <c r="D554" s="16" t="str">
        <v>T33.05</v>
      </c>
      <c r="E554" s="10" t="str">
        <v>Mapped</v>
      </c>
    </row>
    <row r="555" ht="42" customHeight="1">
      <c r="A555" s="9" t="str">
        <v>T33.06</v>
      </c>
      <c r="B555" s="9" t="str">
        <v>D33</v>
      </c>
      <c r="C555" s="9" t="str">
        <v>Carry trades.</v>
      </c>
      <c r="D555" s="17" t="str">
        <v>T33.06</v>
      </c>
      <c r="E555" s="9" t="str">
        <v>Mapped</v>
      </c>
    </row>
    <row r="556" ht="42" customHeight="1">
      <c r="A556" s="10" t="str">
        <v>T33.07</v>
      </c>
      <c r="B556" s="10" t="str">
        <v>D33</v>
      </c>
      <c r="C556" s="10" t="str">
        <v>Transaction, translation, and economic exposure.</v>
      </c>
      <c r="D556" s="16" t="str">
        <v>T33.07</v>
      </c>
      <c r="E556" s="10" t="str">
        <v>Mapped</v>
      </c>
    </row>
    <row r="557" ht="42" customHeight="1">
      <c r="A557" s="9" t="str">
        <v>T33.08</v>
      </c>
      <c r="B557" s="9" t="str">
        <v>D33</v>
      </c>
      <c r="C557" s="9" t="str">
        <v>Currency hedging.</v>
      </c>
      <c r="D557" s="17" t="str">
        <v>T33.08</v>
      </c>
      <c r="E557" s="9" t="str">
        <v>Mapped</v>
      </c>
    </row>
    <row r="558" ht="42" customHeight="1">
      <c r="A558" s="10" t="str">
        <v>T33.09</v>
      </c>
      <c r="B558" s="10" t="str">
        <v>D33</v>
      </c>
      <c r="C558" s="10" t="str">
        <v>Cross-border investment and financing.</v>
      </c>
      <c r="D558" s="16" t="str">
        <v>T33.09</v>
      </c>
      <c r="E558" s="10" t="str">
        <v>Mapped</v>
      </c>
    </row>
    <row r="559" ht="42" customHeight="1">
      <c r="A559" s="9" t="str">
        <v>T33.10</v>
      </c>
      <c r="B559" s="9" t="str">
        <v>D33</v>
      </c>
      <c r="C559" s="9" t="str">
        <v>International cost of capital.</v>
      </c>
      <c r="D559" s="17" t="str">
        <v>T33.10</v>
      </c>
      <c r="E559" s="9" t="str">
        <v>Mapped</v>
      </c>
    </row>
    <row r="560" ht="42" customHeight="1">
      <c r="A560" s="10" t="str">
        <v>T33.11</v>
      </c>
      <c r="B560" s="10" t="str">
        <v>D33</v>
      </c>
      <c r="C560" s="10" t="str">
        <v>Country and political risk.</v>
      </c>
      <c r="D560" s="16" t="str">
        <v>T33.11</v>
      </c>
      <c r="E560" s="10" t="str">
        <v>Mapped</v>
      </c>
    </row>
    <row r="561" ht="42" customHeight="1">
      <c r="A561" s="9" t="str">
        <v>T33.12</v>
      </c>
      <c r="B561" s="9" t="str">
        <v>D33</v>
      </c>
      <c r="C561" s="9" t="str">
        <v>Multinational capital budgeting.</v>
      </c>
      <c r="D561" s="17" t="str">
        <v>T33.12</v>
      </c>
      <c r="E561" s="9" t="str">
        <v>Mapped</v>
      </c>
    </row>
    <row r="562" ht="42" customHeight="1">
      <c r="A562" s="10" t="str">
        <v>T33.13</v>
      </c>
      <c r="B562" s="10" t="str">
        <v>D33</v>
      </c>
      <c r="C562" s="10" t="str">
        <v>Trade finance, letters of credit, and documentary collections.</v>
      </c>
      <c r="D562" s="16" t="str">
        <v>T33.13</v>
      </c>
      <c r="E562" s="10" t="str">
        <v>Mapped</v>
      </c>
    </row>
    <row r="563" ht="42" customHeight="1">
      <c r="A563" s="9" t="str">
        <v>T33.14</v>
      </c>
      <c r="B563" s="9" t="str">
        <v>D33</v>
      </c>
      <c r="C563" s="9" t="str">
        <v>Export credit and international guarantees.</v>
      </c>
      <c r="D563" s="17" t="str">
        <v>T33.14</v>
      </c>
      <c r="E563" s="9" t="str">
        <v>Mapped</v>
      </c>
    </row>
    <row r="564" ht="42" customHeight="1">
      <c r="A564" s="10" t="str">
        <v>T33.15</v>
      </c>
      <c r="B564" s="10" t="str">
        <v>D33</v>
      </c>
      <c r="C564" s="10" t="str">
        <v>Offshore funding and foreign-currency debt.</v>
      </c>
      <c r="D564" s="16" t="str">
        <v>T33.15</v>
      </c>
      <c r="E564" s="10" t="str">
        <v>Mapped</v>
      </c>
    </row>
    <row r="565" ht="42" customHeight="1">
      <c r="A565" s="9" t="str">
        <v>T33.16</v>
      </c>
      <c r="B565" s="9" t="str">
        <v>D33</v>
      </c>
      <c r="C565" s="9" t="str">
        <v>Global portfolio diversification.</v>
      </c>
      <c r="D565" s="17" t="str">
        <v>T33.16</v>
      </c>
      <c r="E565" s="9" t="str">
        <v>Mapped</v>
      </c>
    </row>
    <row r="566" ht="42" customHeight="1">
      <c r="A566" s="10" t="str">
        <v>T34.01</v>
      </c>
      <c r="B566" s="10" t="str">
        <v>D34</v>
      </c>
      <c r="C566" s="10" t="str">
        <v>Exchanges, brokers, dealers, and market makers.</v>
      </c>
      <c r="D566" s="16" t="str">
        <v>T34.01</v>
      </c>
      <c r="E566" s="10" t="str">
        <v>Mapped</v>
      </c>
    </row>
    <row r="567" ht="42" customHeight="1">
      <c r="A567" s="9" t="str">
        <v>T34.02</v>
      </c>
      <c r="B567" s="9" t="str">
        <v>D34</v>
      </c>
      <c r="C567" s="9" t="str">
        <v>Custodians, depositories, and clearing houses.</v>
      </c>
      <c r="D567" s="17" t="str">
        <v>T34.02</v>
      </c>
      <c r="E567" s="9" t="str">
        <v>Mapped</v>
      </c>
    </row>
    <row r="568" ht="42" customHeight="1">
      <c r="A568" s="10" t="str">
        <v>T34.03</v>
      </c>
      <c r="B568" s="10" t="str">
        <v>D34</v>
      </c>
      <c r="C568" s="10" t="str">
        <v>Trade execution, clearing, and settlement.</v>
      </c>
      <c r="D568" s="16" t="str">
        <v>T34.03</v>
      </c>
      <c r="E568" s="10" t="str">
        <v>Mapped</v>
      </c>
    </row>
    <row r="569" ht="42" customHeight="1">
      <c r="A569" s="9" t="str">
        <v>T34.04</v>
      </c>
      <c r="B569" s="9" t="str">
        <v>D34</v>
      </c>
      <c r="C569" s="9" t="str">
        <v>Order books, spreads, depth, and liquidity.</v>
      </c>
      <c r="D569" s="17" t="str">
        <v>T34.04</v>
      </c>
      <c r="E569" s="9" t="str">
        <v>Mapped</v>
      </c>
    </row>
    <row r="570" ht="42" customHeight="1">
      <c r="A570" s="10" t="str">
        <v>T34.05</v>
      </c>
      <c r="B570" s="10" t="str">
        <v>D34</v>
      </c>
      <c r="C570" s="10" t="str">
        <v>Market impact and transaction costs.</v>
      </c>
      <c r="D570" s="16" t="str">
        <v>T34.05</v>
      </c>
      <c r="E570" s="10" t="str">
        <v>Mapped</v>
      </c>
    </row>
    <row r="571" ht="42" customHeight="1">
      <c r="A571" s="9" t="str">
        <v>T34.06</v>
      </c>
      <c r="B571" s="9" t="str">
        <v>D34</v>
      </c>
      <c r="C571" s="9" t="str">
        <v>Auctions, circuit breakers, and trading halts.</v>
      </c>
      <c r="D571" s="17" t="str">
        <v>T34.06</v>
      </c>
      <c r="E571" s="9" t="str">
        <v>Mapped</v>
      </c>
    </row>
    <row r="572" ht="42" customHeight="1">
      <c r="A572" s="10" t="str">
        <v>T34.07</v>
      </c>
      <c r="B572" s="10" t="str">
        <v>D34</v>
      </c>
      <c r="C572" s="10" t="str">
        <v>Securities issuance and disclosure requirements.</v>
      </c>
      <c r="D572" s="16" t="str">
        <v>T34.07</v>
      </c>
      <c r="E572" s="10" t="str">
        <v>Mapped</v>
      </c>
    </row>
    <row r="573" ht="42" customHeight="1">
      <c r="A573" s="9" t="str">
        <v>T34.08</v>
      </c>
      <c r="B573" s="9" t="str">
        <v>D34</v>
      </c>
      <c r="C573" s="9" t="str">
        <v>Insider trading and market manipulation.</v>
      </c>
      <c r="D573" s="17" t="str">
        <v>T34.08</v>
      </c>
      <c r="E573" s="9" t="str">
        <v>Mapped</v>
      </c>
    </row>
    <row r="574" ht="42" customHeight="1">
      <c r="A574" s="10" t="str">
        <v>T34.09</v>
      </c>
      <c r="B574" s="10" t="str">
        <v>D34</v>
      </c>
      <c r="C574" s="10" t="str">
        <v>Suitability, fiduciary duties, and investor protection.</v>
      </c>
      <c r="D574" s="16" t="str">
        <v>T34.09</v>
      </c>
      <c r="E574" s="10" t="str">
        <v>Mapped</v>
      </c>
    </row>
    <row r="575" ht="42" customHeight="1">
      <c r="A575" s="9" t="str">
        <v>T34.10</v>
      </c>
      <c r="B575" s="9" t="str">
        <v>D34</v>
      </c>
      <c r="C575" s="9" t="str">
        <v>Know-your-customer and anti-money-laundering frameworks.</v>
      </c>
      <c r="D575" s="17" t="str">
        <v>T34.10</v>
      </c>
      <c r="E575" s="9" t="str">
        <v>Mapped</v>
      </c>
    </row>
    <row r="576" ht="42" customHeight="1">
      <c r="A576" s="10" t="str">
        <v>T34.11</v>
      </c>
      <c r="B576" s="10" t="str">
        <v>D34</v>
      </c>
      <c r="C576" s="10" t="str">
        <v>Corporate boards, audit committees, and governance.</v>
      </c>
      <c r="D576" s="16" t="str">
        <v>T34.11</v>
      </c>
      <c r="E576" s="10" t="str">
        <v>Mapped</v>
      </c>
    </row>
    <row r="577" ht="42" customHeight="1">
      <c r="A577" s="9" t="str">
        <v>T34.12</v>
      </c>
      <c r="B577" s="9" t="str">
        <v>D34</v>
      </c>
      <c r="C577" s="9" t="str">
        <v>Shareholder rights and stewardship.</v>
      </c>
      <c r="D577" s="17" t="str">
        <v>T34.12</v>
      </c>
      <c r="E577" s="9" t="str">
        <v>Mapped</v>
      </c>
    </row>
    <row r="578" ht="42" customHeight="1">
      <c r="A578" s="10" t="str">
        <v>T34.13</v>
      </c>
      <c r="B578" s="10" t="str">
        <v>D34</v>
      </c>
      <c r="C578" s="10" t="str">
        <v>Credit-rating agencies and conflicts of interest.</v>
      </c>
      <c r="D578" s="16" t="str">
        <v>T34.13</v>
      </c>
      <c r="E578" s="10" t="str">
        <v>Mapped</v>
      </c>
    </row>
    <row r="579" ht="42" customHeight="1">
      <c r="A579" s="9" t="str">
        <v>T34.14</v>
      </c>
      <c r="B579" s="9" t="str">
        <v>D34</v>
      </c>
      <c r="C579" s="9" t="str">
        <v>Financial ethics and professional conduct.</v>
      </c>
      <c r="D579" s="17" t="str">
        <v>T34.14</v>
      </c>
      <c r="E579" s="9" t="str">
        <v>Mapped</v>
      </c>
    </row>
    <row r="580" ht="42" customHeight="1">
      <c r="A580" s="10" t="str">
        <v>T34.15</v>
      </c>
      <c r="B580" s="10" t="str">
        <v>D34</v>
      </c>
      <c r="C580" s="10" t="str">
        <v>Regulatory reporting and compliance.</v>
      </c>
      <c r="D580" s="16" t="str">
        <v>T34.15</v>
      </c>
      <c r="E580" s="10" t="str">
        <v>Mapped</v>
      </c>
    </row>
    <row r="581" ht="42" customHeight="1">
      <c r="A581" s="9" t="str">
        <v>T35.01</v>
      </c>
      <c r="B581" s="9" t="str">
        <v>D35</v>
      </c>
      <c r="C581" s="9" t="str">
        <v>Expected utility and risk preferences.</v>
      </c>
      <c r="D581" s="17" t="str">
        <v>T35.01</v>
      </c>
      <c r="E581" s="9" t="str">
        <v>Mapped</v>
      </c>
    </row>
    <row r="582" ht="42" customHeight="1">
      <c r="A582" s="10" t="str">
        <v>T35.02</v>
      </c>
      <c r="B582" s="10" t="str">
        <v>D35</v>
      </c>
      <c r="C582" s="10" t="str">
        <v>Prospect theory and loss aversion.</v>
      </c>
      <c r="D582" s="16" t="str">
        <v>T35.02</v>
      </c>
      <c r="E582" s="10" t="str">
        <v>Mapped</v>
      </c>
    </row>
    <row r="583" ht="42" customHeight="1">
      <c r="A583" s="9" t="str">
        <v>T35.03</v>
      </c>
      <c r="B583" s="9" t="str">
        <v>D35</v>
      </c>
      <c r="C583" s="9" t="str">
        <v>Anchoring and framing.</v>
      </c>
      <c r="D583" s="17" t="str">
        <v>T35.03</v>
      </c>
      <c r="E583" s="9" t="str">
        <v>Mapped</v>
      </c>
    </row>
    <row r="584" ht="42" customHeight="1">
      <c r="A584" s="10" t="str">
        <v>T35.04</v>
      </c>
      <c r="B584" s="10" t="str">
        <v>D35</v>
      </c>
      <c r="C584" s="10" t="str">
        <v>Mental accounting.</v>
      </c>
      <c r="D584" s="16" t="str">
        <v>T35.04</v>
      </c>
      <c r="E584" s="10" t="str">
        <v>Mapped</v>
      </c>
    </row>
    <row r="585" ht="42" customHeight="1">
      <c r="A585" s="9" t="str">
        <v>T35.05</v>
      </c>
      <c r="B585" s="9" t="str">
        <v>D35</v>
      </c>
      <c r="C585" s="9" t="str">
        <v>Overconfidence and self-attribution.</v>
      </c>
      <c r="D585" s="17" t="str">
        <v>T35.05</v>
      </c>
      <c r="E585" s="9" t="str">
        <v>Mapped</v>
      </c>
    </row>
    <row r="586" ht="42" customHeight="1">
      <c r="A586" s="10" t="str">
        <v>T35.06</v>
      </c>
      <c r="B586" s="10" t="str">
        <v>D35</v>
      </c>
      <c r="C586" s="10" t="str">
        <v>Confirmation and availability biases.</v>
      </c>
      <c r="D586" s="16" t="str">
        <v>T35.06</v>
      </c>
      <c r="E586" s="10" t="str">
        <v>Mapped</v>
      </c>
    </row>
    <row r="587" ht="42" customHeight="1">
      <c r="A587" s="9" t="str">
        <v>T35.07</v>
      </c>
      <c r="B587" s="9" t="str">
        <v>D35</v>
      </c>
      <c r="C587" s="9" t="str">
        <v>Herding and social influence.</v>
      </c>
      <c r="D587" s="17" t="str">
        <v>T35.07</v>
      </c>
      <c r="E587" s="9" t="str">
        <v>Mapped</v>
      </c>
    </row>
    <row r="588" ht="42" customHeight="1">
      <c r="A588" s="10" t="str">
        <v>T35.08</v>
      </c>
      <c r="B588" s="10" t="str">
        <v>D35</v>
      </c>
      <c r="C588" s="10" t="str">
        <v>Recency bias and extrapolation.</v>
      </c>
      <c r="D588" s="16" t="str">
        <v>T35.08</v>
      </c>
      <c r="E588" s="10" t="str">
        <v>Mapped</v>
      </c>
    </row>
    <row r="589" ht="42" customHeight="1">
      <c r="A589" s="9" t="str">
        <v>T35.09</v>
      </c>
      <c r="B589" s="9" t="str">
        <v>D35</v>
      </c>
      <c r="C589" s="9" t="str">
        <v>Disposition effect.</v>
      </c>
      <c r="D589" s="17" t="str">
        <v>T35.09</v>
      </c>
      <c r="E589" s="9" t="str">
        <v>Mapped</v>
      </c>
    </row>
    <row r="590" ht="42" customHeight="1">
      <c r="A590" s="10" t="str">
        <v>T35.10</v>
      </c>
      <c r="B590" s="10" t="str">
        <v>D35</v>
      </c>
      <c r="C590" s="10" t="str">
        <v>Present bias and self-control.</v>
      </c>
      <c r="D590" s="16" t="str">
        <v>T35.10</v>
      </c>
      <c r="E590" s="10" t="str">
        <v>Mapped</v>
      </c>
    </row>
    <row r="591" ht="42" customHeight="1">
      <c r="A591" s="9" t="str">
        <v>T35.11</v>
      </c>
      <c r="B591" s="9" t="str">
        <v>D35</v>
      </c>
      <c r="C591" s="9" t="str">
        <v>Bubbles, panics, and speculative cycles.</v>
      </c>
      <c r="D591" s="17" t="str">
        <v>T35.11</v>
      </c>
      <c r="E591" s="9" t="str">
        <v>Mapped</v>
      </c>
    </row>
    <row r="592" ht="42" customHeight="1">
      <c r="A592" s="10" t="str">
        <v>T35.12</v>
      </c>
      <c r="B592" s="10" t="str">
        <v>D35</v>
      </c>
      <c r="C592" s="10" t="str">
        <v>Behavioural corporate finance.</v>
      </c>
      <c r="D592" s="16" t="str">
        <v>T35.12</v>
      </c>
      <c r="E592" s="10" t="str">
        <v>Mapped</v>
      </c>
    </row>
    <row r="593" ht="42" customHeight="1">
      <c r="A593" s="9" t="str">
        <v>T35.13</v>
      </c>
      <c r="B593" s="9" t="str">
        <v>D35</v>
      </c>
      <c r="C593" s="9" t="str">
        <v>Decision journals, checklists, and pre-mortems.</v>
      </c>
      <c r="D593" s="17" t="str">
        <v>T35.13</v>
      </c>
      <c r="E593" s="9" t="str">
        <v>Mapped</v>
      </c>
    </row>
    <row r="594" ht="42" customHeight="1">
      <c r="A594" s="10" t="str">
        <v>T35.14</v>
      </c>
      <c r="B594" s="10" t="str">
        <v>D35</v>
      </c>
      <c r="C594" s="10" t="str">
        <v>Incentive design and decision quality.</v>
      </c>
      <c r="D594" s="16" t="str">
        <v>T35.14</v>
      </c>
      <c r="E594" s="10" t="str">
        <v>Mapped</v>
      </c>
    </row>
    <row r="595" ht="42" customHeight="1">
      <c r="A595" s="9" t="str">
        <v>T36.01</v>
      </c>
      <c r="B595" s="9" t="str">
        <v>D36</v>
      </c>
      <c r="C595" s="9" t="str">
        <v>Payment systems and payment processing.</v>
      </c>
      <c r="D595" s="17" t="str">
        <v>T36.01</v>
      </c>
      <c r="E595" s="9" t="str">
        <v>Mapped</v>
      </c>
    </row>
    <row r="596" ht="42" customHeight="1">
      <c r="A596" s="10" t="str">
        <v>T36.02</v>
      </c>
      <c r="B596" s="10" t="str">
        <v>D36</v>
      </c>
      <c r="C596" s="10" t="str">
        <v>Cards, acquiring, issuing, and interchange.</v>
      </c>
      <c r="D596" s="16" t="str">
        <v>T36.02</v>
      </c>
      <c r="E596" s="10" t="str">
        <v>Mapped</v>
      </c>
    </row>
    <row r="597" ht="42" customHeight="1">
      <c r="A597" s="9" t="str">
        <v>T36.03</v>
      </c>
      <c r="B597" s="9" t="str">
        <v>D36</v>
      </c>
      <c r="C597" s="9" t="str">
        <v>UPI and account-to-account payments.</v>
      </c>
      <c r="D597" s="17" t="str">
        <v>T36.03</v>
      </c>
      <c r="E597" s="9" t="str">
        <v>Mapped</v>
      </c>
    </row>
    <row r="598" ht="42" customHeight="1">
      <c r="A598" s="10" t="str">
        <v>T36.04</v>
      </c>
      <c r="B598" s="10" t="str">
        <v>D36</v>
      </c>
      <c r="C598" s="10" t="str">
        <v>Wallets, remittances, and cross-border payments.</v>
      </c>
      <c r="D598" s="16" t="str">
        <v>T36.04</v>
      </c>
      <c r="E598" s="10" t="str">
        <v>Mapped</v>
      </c>
    </row>
    <row r="599" ht="42" customHeight="1">
      <c r="A599" s="9" t="str">
        <v>T36.05</v>
      </c>
      <c r="B599" s="9" t="str">
        <v>D36</v>
      </c>
      <c r="C599" s="9" t="str">
        <v>Payment gateways and aggregators.</v>
      </c>
      <c r="D599" s="17" t="str">
        <v>T36.05</v>
      </c>
      <c r="E599" s="9" t="str">
        <v>Mapped</v>
      </c>
    </row>
    <row r="600" ht="42" customHeight="1">
      <c r="A600" s="10" t="str">
        <v>T36.06</v>
      </c>
      <c r="B600" s="10" t="str">
        <v>D36</v>
      </c>
      <c r="C600" s="10" t="str">
        <v>Digital lending and alternative underwriting.</v>
      </c>
      <c r="D600" s="16" t="str">
        <v>T36.06</v>
      </c>
      <c r="E600" s="10" t="str">
        <v>Mapped</v>
      </c>
    </row>
    <row r="601" ht="42" customHeight="1">
      <c r="A601" s="9" t="str">
        <v>T36.07</v>
      </c>
      <c r="B601" s="9" t="str">
        <v>D36</v>
      </c>
      <c r="C601" s="9" t="str">
        <v>Embedded finance and banking-as-a-service.</v>
      </c>
      <c r="D601" s="17" t="str">
        <v>T36.07</v>
      </c>
      <c r="E601" s="9" t="str">
        <v>Mapped</v>
      </c>
    </row>
    <row r="602" ht="42" customHeight="1">
      <c r="A602" s="10" t="str">
        <v>T36.08</v>
      </c>
      <c r="B602" s="10" t="str">
        <v>D36</v>
      </c>
      <c r="C602" s="10" t="str">
        <v>Open banking and account aggregation.</v>
      </c>
      <c r="D602" s="16" t="str">
        <v>T36.08</v>
      </c>
      <c r="E602" s="10" t="str">
        <v>Mapped</v>
      </c>
    </row>
    <row r="603" ht="42" customHeight="1">
      <c r="A603" s="9" t="str">
        <v>T36.09</v>
      </c>
      <c r="B603" s="9" t="str">
        <v>D36</v>
      </c>
      <c r="C603" s="9" t="str">
        <v>Robo-advisory and automated wealth management.</v>
      </c>
      <c r="D603" s="17" t="str">
        <v>T36.09</v>
      </c>
      <c r="E603" s="9" t="str">
        <v>Mapped</v>
      </c>
    </row>
    <row r="604" ht="42" customHeight="1">
      <c r="A604" s="10" t="str">
        <v>T36.10</v>
      </c>
      <c r="B604" s="10" t="str">
        <v>D36</v>
      </c>
      <c r="C604" s="10" t="str">
        <v>Insurtech, regtech, and wealthtech.</v>
      </c>
      <c r="D604" s="16" t="str">
        <v>T36.10</v>
      </c>
      <c r="E604" s="10" t="str">
        <v>Mapped</v>
      </c>
    </row>
    <row r="605" ht="42" customHeight="1">
      <c r="A605" s="9" t="str">
        <v>T36.11</v>
      </c>
      <c r="B605" s="9" t="str">
        <v>D36</v>
      </c>
      <c r="C605" s="9" t="str">
        <v>Fraud detection and financial identity.</v>
      </c>
      <c r="D605" s="17" t="str">
        <v>T36.11</v>
      </c>
      <c r="E605" s="9" t="str">
        <v>Mapped</v>
      </c>
    </row>
    <row r="606" ht="42" customHeight="1">
      <c r="A606" s="10" t="str">
        <v>T36.12</v>
      </c>
      <c r="B606" s="10" t="str">
        <v>D36</v>
      </c>
      <c r="C606" s="10" t="str">
        <v>Blockchain and distributed ledgers.</v>
      </c>
      <c r="D606" s="16" t="str">
        <v>T36.12</v>
      </c>
      <c r="E606" s="10" t="str">
        <v>Mapped</v>
      </c>
    </row>
    <row r="607" ht="42" customHeight="1">
      <c r="A607" s="9" t="str">
        <v>T36.13</v>
      </c>
      <c r="B607" s="9" t="str">
        <v>D36</v>
      </c>
      <c r="C607" s="9" t="str">
        <v>Cryptoassets and token economics.</v>
      </c>
      <c r="D607" s="17" t="str">
        <v>T36.13</v>
      </c>
      <c r="E607" s="9" t="str">
        <v>Mapped</v>
      </c>
    </row>
    <row r="608" ht="42" customHeight="1">
      <c r="A608" s="10" t="str">
        <v>T36.14</v>
      </c>
      <c r="B608" s="10" t="str">
        <v>D36</v>
      </c>
      <c r="C608" s="10" t="str">
        <v>Stablecoins and central bank digital currencies.</v>
      </c>
      <c r="D608" s="16" t="str">
        <v>T36.14</v>
      </c>
      <c r="E608" s="10" t="str">
        <v>Mapped</v>
      </c>
    </row>
    <row r="609" ht="42" customHeight="1">
      <c r="A609" s="9" t="str">
        <v>T36.15</v>
      </c>
      <c r="B609" s="9" t="str">
        <v>D36</v>
      </c>
      <c r="C609" s="9" t="str">
        <v>Decentralised finance, lending, and automated market makers.</v>
      </c>
      <c r="D609" s="17" t="str">
        <v>T36.15</v>
      </c>
      <c r="E609" s="9" t="str">
        <v>Mapped</v>
      </c>
    </row>
    <row r="610" ht="42" customHeight="1">
      <c r="A610" s="10" t="str">
        <v>T36.16</v>
      </c>
      <c r="B610" s="10" t="str">
        <v>D36</v>
      </c>
      <c r="C610" s="10" t="str">
        <v>Tokenisation of financial assets.</v>
      </c>
      <c r="D610" s="16" t="str">
        <v>T36.16</v>
      </c>
      <c r="E610" s="10" t="str">
        <v>Mapped</v>
      </c>
    </row>
    <row r="611" ht="42" customHeight="1">
      <c r="A611" s="9" t="str">
        <v>T36.17</v>
      </c>
      <c r="B611" s="9" t="str">
        <v>D36</v>
      </c>
      <c r="C611" s="9" t="str">
        <v>Fintech business models, unit economics, and risks.</v>
      </c>
      <c r="D611" s="17" t="str">
        <v>T36.17</v>
      </c>
      <c r="E611" s="9" t="str">
        <v>Mapped</v>
      </c>
    </row>
    <row r="612" ht="42" customHeight="1">
      <c r="A612" s="10" t="str">
        <v>T37.01</v>
      </c>
      <c r="B612" s="10" t="str">
        <v>D37</v>
      </c>
      <c r="C612" s="10" t="str">
        <v>ESG integration in investment decisions.</v>
      </c>
      <c r="D612" s="16" t="str">
        <v>T37.01</v>
      </c>
      <c r="E612" s="10" t="str">
        <v>Mapped</v>
      </c>
    </row>
    <row r="613" ht="42" customHeight="1">
      <c r="A613" s="9" t="str">
        <v>T37.02</v>
      </c>
      <c r="B613" s="9" t="str">
        <v>D37</v>
      </c>
      <c r="C613" s="9" t="str">
        <v>Sustainability reporting and materiality.</v>
      </c>
      <c r="D613" s="17" t="str">
        <v>T37.02</v>
      </c>
      <c r="E613" s="9" t="str">
        <v>Mapped</v>
      </c>
    </row>
    <row r="614" ht="42" customHeight="1">
      <c r="A614" s="10" t="str">
        <v>T37.03</v>
      </c>
      <c r="B614" s="10" t="str">
        <v>D37</v>
      </c>
      <c r="C614" s="10" t="str">
        <v>Climate transition risk and physical risk.</v>
      </c>
      <c r="D614" s="16" t="str">
        <v>T37.03</v>
      </c>
      <c r="E614" s="10" t="str">
        <v>Mapped</v>
      </c>
    </row>
    <row r="615" ht="42" customHeight="1">
      <c r="A615" s="9" t="str">
        <v>T37.04</v>
      </c>
      <c r="B615" s="9" t="str">
        <v>D37</v>
      </c>
      <c r="C615" s="9" t="str">
        <v>Green bonds and sustainability-linked finance.</v>
      </c>
      <c r="D615" s="17" t="str">
        <v>T37.04</v>
      </c>
      <c r="E615" s="9" t="str">
        <v>Mapped</v>
      </c>
    </row>
    <row r="616" ht="42" customHeight="1">
      <c r="A616" s="10" t="str">
        <v>T37.05</v>
      </c>
      <c r="B616" s="10" t="str">
        <v>D37</v>
      </c>
      <c r="C616" s="10" t="str">
        <v>Carbon markets and carbon pricing.</v>
      </c>
      <c r="D616" s="16" t="str">
        <v>T37.05</v>
      </c>
      <c r="E616" s="10" t="str">
        <v>Mapped</v>
      </c>
    </row>
    <row r="617" ht="42" customHeight="1">
      <c r="A617" s="9" t="str">
        <v>T37.06</v>
      </c>
      <c r="B617" s="9" t="str">
        <v>D37</v>
      </c>
      <c r="C617" s="9" t="str">
        <v>Impact investing and impact measurement.</v>
      </c>
      <c r="D617" s="17" t="str">
        <v>T37.06</v>
      </c>
      <c r="E617" s="9" t="str">
        <v>Mapped</v>
      </c>
    </row>
    <row r="618" ht="42" customHeight="1">
      <c r="A618" s="10" t="str">
        <v>T37.07</v>
      </c>
      <c r="B618" s="10" t="str">
        <v>D37</v>
      </c>
      <c r="C618" s="10" t="str">
        <v>Blended finance and development finance.</v>
      </c>
      <c r="D618" s="16" t="str">
        <v>T37.07</v>
      </c>
      <c r="E618" s="10" t="str">
        <v>Mapped</v>
      </c>
    </row>
    <row r="619" ht="42" customHeight="1">
      <c r="A619" s="9" t="str">
        <v>T37.08</v>
      </c>
      <c r="B619" s="9" t="str">
        <v>D37</v>
      </c>
      <c r="C619" s="9" t="str">
        <v>Social finance and financial inclusion.</v>
      </c>
      <c r="D619" s="17" t="str">
        <v>T37.08</v>
      </c>
      <c r="E619" s="9" t="str">
        <v>Mapped</v>
      </c>
    </row>
    <row r="620" ht="42" customHeight="1">
      <c r="A620" s="10" t="str">
        <v>T37.09</v>
      </c>
      <c r="B620" s="10" t="str">
        <v>D37</v>
      </c>
      <c r="C620" s="10" t="str">
        <v>Stewardship and engagement.</v>
      </c>
      <c r="D620" s="16" t="str">
        <v>T37.09</v>
      </c>
      <c r="E620" s="10" t="str">
        <v>Mapped</v>
      </c>
    </row>
    <row r="621" ht="42" customHeight="1">
      <c r="A621" s="9" t="str">
        <v>T37.10</v>
      </c>
      <c r="B621" s="9" t="str">
        <v>D37</v>
      </c>
      <c r="C621" s="9" t="str">
        <v>Greenwashing and data-quality limitations.</v>
      </c>
      <c r="D621" s="17" t="str">
        <v>T37.10</v>
      </c>
      <c r="E621" s="9" t="str">
        <v>Mapped</v>
      </c>
    </row>
    <row r="622" ht="42" customHeight="1">
      <c r="A622" s="10" t="str">
        <v>T37.11</v>
      </c>
      <c r="B622" s="10" t="str">
        <v>D37</v>
      </c>
      <c r="C622" s="10" t="str">
        <v>Islamic finance principles.</v>
      </c>
      <c r="D622" s="16" t="str">
        <v>T37.11</v>
      </c>
      <c r="E622" s="10" t="str">
        <v>Mapped</v>
      </c>
    </row>
    <row r="623" ht="42" customHeight="1">
      <c r="A623" s="9" t="str">
        <v>T37.12</v>
      </c>
      <c r="B623" s="9" t="str">
        <v>D37</v>
      </c>
      <c r="C623" s="9" t="str">
        <v>Murabaha, ijara, musharaka, mudaraba, and sukuk.</v>
      </c>
      <c r="D623" s="17" t="str">
        <v>T37.12</v>
      </c>
      <c r="E623" s="9" t="str">
        <v>Mapped</v>
      </c>
    </row>
    <row r="624" ht="42" customHeight="1">
      <c r="A624" s="10" t="str">
        <v>T37.13</v>
      </c>
      <c r="B624" s="10" t="str">
        <v>D37</v>
      </c>
      <c r="C624" s="10" t="str">
        <v>Cooperative finance and community finance.</v>
      </c>
      <c r="D624" s="16" t="str">
        <v>T37.13</v>
      </c>
      <c r="E624" s="10" t="str">
        <v>Mapped</v>
      </c>
    </row>
    <row r="625" ht="42" customHeight="1">
      <c r="A625" s="9" t="str">
        <v>T37.14</v>
      </c>
      <c r="B625" s="9" t="str">
        <v>D37</v>
      </c>
      <c r="C625" s="9" t="str">
        <v>Nonprofit and endowment finance.</v>
      </c>
      <c r="D625" s="17" t="str">
        <v>T37.14</v>
      </c>
      <c r="E625" s="9" t="str">
        <v>Mapped</v>
      </c>
    </row>
    <row r="626" ht="42" customHeight="1">
      <c r="A626" s="10" t="str">
        <v>T38.01</v>
      </c>
      <c r="B626" s="10" t="str">
        <v>D38</v>
      </c>
      <c r="C626" s="10" t="str">
        <v>Financial data sources and data licensing.</v>
      </c>
      <c r="D626" s="16" t="str">
        <v>T38.01</v>
      </c>
      <c r="E626" s="10" t="str">
        <v>Mapped</v>
      </c>
    </row>
    <row r="627" ht="42" customHeight="1">
      <c r="A627" s="9" t="str">
        <v>T38.02</v>
      </c>
      <c r="B627" s="9" t="str">
        <v>D38</v>
      </c>
      <c r="C627" s="9" t="str">
        <v>Data cleaning and reconciliation.</v>
      </c>
      <c r="D627" s="17" t="str">
        <v>T38.02</v>
      </c>
      <c r="E627" s="9" t="str">
        <v>Mapped</v>
      </c>
    </row>
    <row r="628" ht="42" customHeight="1">
      <c r="A628" s="10" t="str">
        <v>T38.03</v>
      </c>
      <c r="B628" s="10" t="str">
        <v>D38</v>
      </c>
      <c r="C628" s="10" t="str">
        <v>Corporate-action-adjusted prices.</v>
      </c>
      <c r="D628" s="16" t="str">
        <v>T38.03</v>
      </c>
      <c r="E628" s="10" t="str">
        <v>Mapped</v>
      </c>
    </row>
    <row r="629" ht="42" customHeight="1">
      <c r="A629" s="9" t="str">
        <v>T38.04</v>
      </c>
      <c r="B629" s="9" t="str">
        <v>D38</v>
      </c>
      <c r="C629" s="9" t="str">
        <v>Point-in-time data and survivorship bias.</v>
      </c>
      <c r="D629" s="17" t="str">
        <v>T38.04</v>
      </c>
      <c r="E629" s="9" t="str">
        <v>Mapped</v>
      </c>
    </row>
    <row r="630" ht="42" customHeight="1">
      <c r="A630" s="10" t="str">
        <v>T38.05</v>
      </c>
      <c r="B630" s="10" t="str">
        <v>D38</v>
      </c>
      <c r="C630" s="10" t="str">
        <v>Spreadsheet engineering.</v>
      </c>
      <c r="D630" s="16" t="str">
        <v>T38.05</v>
      </c>
      <c r="E630" s="10" t="str">
        <v>Mapped</v>
      </c>
    </row>
    <row r="631" ht="42" customHeight="1">
      <c r="A631" s="9" t="str">
        <v>T38.06</v>
      </c>
      <c r="B631" s="9" t="str">
        <v>D38</v>
      </c>
      <c r="C631" s="9" t="str">
        <v>SQL, Python, and R for finance.</v>
      </c>
      <c r="D631" s="17" t="str">
        <v>T38.06</v>
      </c>
      <c r="E631" s="9" t="str">
        <v>Mapped</v>
      </c>
    </row>
    <row r="632" ht="42" customHeight="1">
      <c r="A632" s="10" t="str">
        <v>T38.07</v>
      </c>
      <c r="B632" s="10" t="str">
        <v>D38</v>
      </c>
      <c r="C632" s="10" t="str">
        <v>APIs and financial data pipelines.</v>
      </c>
      <c r="D632" s="16" t="str">
        <v>T38.07</v>
      </c>
      <c r="E632" s="10" t="str">
        <v>Mapped</v>
      </c>
    </row>
    <row r="633" ht="42" customHeight="1">
      <c r="A633" s="9" t="str">
        <v>T38.08</v>
      </c>
      <c r="B633" s="9" t="str">
        <v>D38</v>
      </c>
      <c r="C633" s="9" t="str">
        <v>Econometrics and financial forecasting.</v>
      </c>
      <c r="D633" s="17" t="str">
        <v>T38.08</v>
      </c>
      <c r="E633" s="9" t="str">
        <v>Mapped</v>
      </c>
    </row>
    <row r="634" ht="42" customHeight="1">
      <c r="A634" s="10" t="str">
        <v>T38.09</v>
      </c>
      <c r="B634" s="10" t="str">
        <v>D38</v>
      </c>
      <c r="C634" s="10" t="str">
        <v>Factor research and backtesting.</v>
      </c>
      <c r="D634" s="16" t="str">
        <v>T38.09</v>
      </c>
      <c r="E634" s="10" t="str">
        <v>Mapped</v>
      </c>
    </row>
    <row r="635" ht="42" customHeight="1">
      <c r="A635" s="9" t="str">
        <v>T38.10</v>
      </c>
      <c r="B635" s="9" t="str">
        <v>D38</v>
      </c>
      <c r="C635" s="9" t="str">
        <v>Look-ahead bias, overfitting, and data snooping.</v>
      </c>
      <c r="D635" s="17" t="str">
        <v>T38.10</v>
      </c>
      <c r="E635" s="9" t="str">
        <v>Mapped</v>
      </c>
    </row>
    <row r="636" ht="42" customHeight="1">
      <c r="A636" s="10" t="str">
        <v>T38.11</v>
      </c>
      <c r="B636" s="10" t="str">
        <v>D38</v>
      </c>
      <c r="C636" s="10" t="str">
        <v>Transaction costs and realistic strategy testing.</v>
      </c>
      <c r="D636" s="16" t="str">
        <v>T38.11</v>
      </c>
      <c r="E636" s="10" t="str">
        <v>Mapped</v>
      </c>
    </row>
    <row r="637" ht="42" customHeight="1">
      <c r="A637" s="9" t="str">
        <v>T38.12</v>
      </c>
      <c r="B637" s="9" t="str">
        <v>D38</v>
      </c>
      <c r="C637" s="9" t="str">
        <v>Monte Carlo simulation.</v>
      </c>
      <c r="D637" s="17" t="str">
        <v>T38.12</v>
      </c>
      <c r="E637" s="9" t="str">
        <v>Mapped</v>
      </c>
    </row>
    <row r="638" ht="42" customHeight="1">
      <c r="A638" s="10" t="str">
        <v>T38.13</v>
      </c>
      <c r="B638" s="10" t="str">
        <v>D38</v>
      </c>
      <c r="C638" s="10" t="str">
        <v>Numerical pricing and optimisation.</v>
      </c>
      <c r="D638" s="16" t="str">
        <v>T38.13</v>
      </c>
      <c r="E638" s="10" t="str">
        <v>Mapped</v>
      </c>
    </row>
    <row r="639" ht="42" customHeight="1">
      <c r="A639" s="9" t="str">
        <v>T38.14</v>
      </c>
      <c r="B639" s="9" t="str">
        <v>D38</v>
      </c>
      <c r="C639" s="9" t="str">
        <v>Algorithmic execution and systematic investing.</v>
      </c>
      <c r="D639" s="17" t="str">
        <v>T38.14</v>
      </c>
      <c r="E639" s="9" t="str">
        <v>Mapped</v>
      </c>
    </row>
    <row r="640" ht="42" customHeight="1">
      <c r="A640" s="10" t="str">
        <v>T38.15</v>
      </c>
      <c r="B640" s="10" t="str">
        <v>D38</v>
      </c>
      <c r="C640" s="10" t="str">
        <v>Machine learning for credit, fraud, and forecasting.</v>
      </c>
      <c r="D640" s="16" t="str">
        <v>T38.15</v>
      </c>
      <c r="E640" s="10" t="str">
        <v>Mapped</v>
      </c>
    </row>
    <row r="641" ht="42" customHeight="1">
      <c r="A641" s="9" t="str">
        <v>T38.16</v>
      </c>
      <c r="B641" s="9" t="str">
        <v>D38</v>
      </c>
      <c r="C641" s="9" t="str">
        <v>Natural-language processing for financial disclosures.</v>
      </c>
      <c r="D641" s="17" t="str">
        <v>T38.16</v>
      </c>
      <c r="E641" s="9" t="str">
        <v>Mapped</v>
      </c>
    </row>
    <row r="642" ht="42" customHeight="1">
      <c r="A642" s="10" t="str">
        <v>T38.17</v>
      </c>
      <c r="B642" s="10" t="str">
        <v>D38</v>
      </c>
      <c r="C642" s="10" t="str">
        <v>AI-assisted research and financial modelling.</v>
      </c>
      <c r="D642" s="16" t="str">
        <v>T38.17</v>
      </c>
      <c r="E642" s="10" t="str">
        <v>Mapped</v>
      </c>
    </row>
    <row r="643" ht="42" customHeight="1">
      <c r="A643" s="9" t="str">
        <v>T38.18</v>
      </c>
      <c r="B643" s="9" t="str">
        <v>D38</v>
      </c>
      <c r="C643" s="9" t="str">
        <v>Reproducibility, model governance, and human verification.</v>
      </c>
      <c r="D643" s="17" t="str">
        <v>T38.18</v>
      </c>
      <c r="E643" s="9" t="str">
        <v>Mapped</v>
      </c>
    </row>
    <row r="644" ht="42" customHeight="1">
      <c r="A644" s="10" t="str">
        <v>T39.01</v>
      </c>
      <c r="B644" s="10" t="str">
        <v>D39</v>
      </c>
      <c r="C644" s="10" t="str">
        <v>Banks.</v>
      </c>
      <c r="D644" s="16" t="str">
        <v>T39.01</v>
      </c>
      <c r="E644" s="10" t="str">
        <v>Mapped</v>
      </c>
    </row>
    <row r="645" ht="42" customHeight="1">
      <c r="A645" s="9" t="str">
        <v>T39.02</v>
      </c>
      <c r="B645" s="9" t="str">
        <v>D39</v>
      </c>
      <c r="C645" s="9" t="str">
        <v>NBFCs and housing finance.</v>
      </c>
      <c r="D645" s="17" t="str">
        <v>T39.02</v>
      </c>
      <c r="E645" s="9" t="str">
        <v>Mapped</v>
      </c>
    </row>
    <row r="646" ht="42" customHeight="1">
      <c r="A646" s="10" t="str">
        <v>T39.03</v>
      </c>
      <c r="B646" s="10" t="str">
        <v>D39</v>
      </c>
      <c r="C646" s="10" t="str">
        <v>Insurance.</v>
      </c>
      <c r="D646" s="16" t="str">
        <v>T39.03</v>
      </c>
      <c r="E646" s="10" t="str">
        <v>Mapped</v>
      </c>
    </row>
    <row r="647" ht="42" customHeight="1">
      <c r="A647" s="9" t="str">
        <v>T39.04</v>
      </c>
      <c r="B647" s="9" t="str">
        <v>D39</v>
      </c>
      <c r="C647" s="9" t="str">
        <v>Asset management and brokerage.</v>
      </c>
      <c r="D647" s="17" t="str">
        <v>T39.04</v>
      </c>
      <c r="E647" s="9" t="str">
        <v>Mapped</v>
      </c>
    </row>
    <row r="648" ht="42" customHeight="1">
      <c r="A648" s="10" t="str">
        <v>T39.05</v>
      </c>
      <c r="B648" s="10" t="str">
        <v>D39</v>
      </c>
      <c r="C648" s="10" t="str">
        <v>Financial exchanges and market infrastructure.</v>
      </c>
      <c r="D648" s="16" t="str">
        <v>T39.05</v>
      </c>
      <c r="E648" s="10" t="str">
        <v>Mapped</v>
      </c>
    </row>
    <row r="649" ht="42" customHeight="1">
      <c r="A649" s="9" t="str">
        <v>T39.06</v>
      </c>
      <c r="B649" s="9" t="str">
        <v>D39</v>
      </c>
      <c r="C649" s="9" t="str">
        <v>Software, SaaS, and IT services.</v>
      </c>
      <c r="D649" s="17" t="str">
        <v>T39.06</v>
      </c>
      <c r="E649" s="9" t="str">
        <v>Mapped</v>
      </c>
    </row>
    <row r="650" ht="42" customHeight="1">
      <c r="A650" s="10" t="str">
        <v>T39.07</v>
      </c>
      <c r="B650" s="10" t="str">
        <v>D39</v>
      </c>
      <c r="C650" s="10" t="str">
        <v>E-commerce and marketplaces.</v>
      </c>
      <c r="D650" s="16" t="str">
        <v>T39.07</v>
      </c>
      <c r="E650" s="10" t="str">
        <v>Mapped</v>
      </c>
    </row>
    <row r="651" ht="42" customHeight="1">
      <c r="A651" s="9" t="str">
        <v>T39.08</v>
      </c>
      <c r="B651" s="9" t="str">
        <v>D39</v>
      </c>
      <c r="C651" s="9" t="str">
        <v>Consumer goods and retail.</v>
      </c>
      <c r="D651" s="17" t="str">
        <v>T39.08</v>
      </c>
      <c r="E651" s="9" t="str">
        <v>Mapped</v>
      </c>
    </row>
    <row r="652" ht="42" customHeight="1">
      <c r="A652" s="10" t="str">
        <v>T39.09</v>
      </c>
      <c r="B652" s="10" t="str">
        <v>D39</v>
      </c>
      <c r="C652" s="10" t="str">
        <v>Automotive and electric vehicles.</v>
      </c>
      <c r="D652" s="16" t="str">
        <v>T39.09</v>
      </c>
      <c r="E652" s="10" t="str">
        <v>Mapped</v>
      </c>
    </row>
    <row r="653" ht="42" customHeight="1">
      <c r="A653" s="9" t="str">
        <v>T39.10</v>
      </c>
      <c r="B653" s="9" t="str">
        <v>D39</v>
      </c>
      <c r="C653" s="9" t="str">
        <v>Manufacturing and capital goods.</v>
      </c>
      <c r="D653" s="17" t="str">
        <v>T39.10</v>
      </c>
      <c r="E653" s="9" t="str">
        <v>Mapped</v>
      </c>
    </row>
    <row r="654" ht="42" customHeight="1">
      <c r="A654" s="10" t="str">
        <v>T39.11</v>
      </c>
      <c r="B654" s="10" t="str">
        <v>D39</v>
      </c>
      <c r="C654" s="10" t="str">
        <v>Metals, mining, and commodities.</v>
      </c>
      <c r="D654" s="16" t="str">
        <v>T39.11</v>
      </c>
      <c r="E654" s="10" t="str">
        <v>Mapped</v>
      </c>
    </row>
    <row r="655" ht="42" customHeight="1">
      <c r="A655" s="9" t="str">
        <v>T39.12</v>
      </c>
      <c r="B655" s="9" t="str">
        <v>D39</v>
      </c>
      <c r="C655" s="9" t="str">
        <v>Oil, gas, and petrochemicals.</v>
      </c>
      <c r="D655" s="17" t="str">
        <v>T39.12</v>
      </c>
      <c r="E655" s="9" t="str">
        <v>Mapped</v>
      </c>
    </row>
    <row r="656" ht="42" customHeight="1">
      <c r="A656" s="10" t="str">
        <v>T39.13</v>
      </c>
      <c r="B656" s="10" t="str">
        <v>D39</v>
      </c>
      <c r="C656" s="10" t="str">
        <v>Power, utilities, and renewable energy.</v>
      </c>
      <c r="D656" s="16" t="str">
        <v>T39.13</v>
      </c>
      <c r="E656" s="10" t="str">
        <v>Mapped</v>
      </c>
    </row>
    <row r="657" ht="42" customHeight="1">
      <c r="A657" s="9" t="str">
        <v>T39.14</v>
      </c>
      <c r="B657" s="9" t="str">
        <v>D39</v>
      </c>
      <c r="C657" s="9" t="str">
        <v>Telecom and digital infrastructure.</v>
      </c>
      <c r="D657" s="17" t="str">
        <v>T39.14</v>
      </c>
      <c r="E657" s="9" t="str">
        <v>Mapped</v>
      </c>
    </row>
    <row r="658" ht="42" customHeight="1">
      <c r="A658" s="10" t="str">
        <v>T39.15</v>
      </c>
      <c r="B658" s="10" t="str">
        <v>D39</v>
      </c>
      <c r="C658" s="10" t="str">
        <v>Pharmaceuticals, biotechnology, and healthcare.</v>
      </c>
      <c r="D658" s="16" t="str">
        <v>T39.15</v>
      </c>
      <c r="E658" s="10" t="str">
        <v>Mapped</v>
      </c>
    </row>
    <row r="659" ht="42" customHeight="1">
      <c r="A659" s="9" t="str">
        <v>T39.16</v>
      </c>
      <c r="B659" s="9" t="str">
        <v>D39</v>
      </c>
      <c r="C659" s="9" t="str">
        <v>Real estate and construction.</v>
      </c>
      <c r="D659" s="17" t="str">
        <v>T39.16</v>
      </c>
      <c r="E659" s="9" t="str">
        <v>Mapped</v>
      </c>
    </row>
    <row r="660" ht="42" customHeight="1">
      <c r="A660" s="10" t="str">
        <v>T39.17</v>
      </c>
      <c r="B660" s="10" t="str">
        <v>D39</v>
      </c>
      <c r="C660" s="10" t="str">
        <v>Airports, airlines, ports, and logistics.</v>
      </c>
      <c r="D660" s="16" t="str">
        <v>T39.17</v>
      </c>
      <c r="E660" s="10" t="str">
        <v>Mapped</v>
      </c>
    </row>
    <row r="661" ht="42" customHeight="1">
      <c r="A661" s="9" t="str">
        <v>T39.18</v>
      </c>
      <c r="B661" s="9" t="str">
        <v>D39</v>
      </c>
      <c r="C661" s="9" t="str">
        <v>Hotels, travel, and restaurants.</v>
      </c>
      <c r="D661" s="17" t="str">
        <v>T39.18</v>
      </c>
      <c r="E661" s="9" t="str">
        <v>Mapped</v>
      </c>
    </row>
    <row r="662" ht="42" customHeight="1">
      <c r="A662" s="10" t="str">
        <v>T39.19</v>
      </c>
      <c r="B662" s="10" t="str">
        <v>D39</v>
      </c>
      <c r="C662" s="10" t="str">
        <v>Agriculture and agribusiness.</v>
      </c>
      <c r="D662" s="16" t="str">
        <v>T39.19</v>
      </c>
      <c r="E662" s="10" t="str">
        <v>Mapped</v>
      </c>
    </row>
    <row r="663" ht="42" customHeight="1">
      <c r="A663" s="9" t="str">
        <v>T39.20</v>
      </c>
      <c r="B663" s="9" t="str">
        <v>D39</v>
      </c>
      <c r="C663" s="9" t="str">
        <v>Media, entertainment, and sports.</v>
      </c>
      <c r="D663" s="17" t="str">
        <v>T39.20</v>
      </c>
      <c r="E663" s="9" t="str">
        <v>Mapped</v>
      </c>
    </row>
    <row r="664" ht="42" customHeight="1">
      <c r="A664" s="10" t="str">
        <v>T39.21</v>
      </c>
      <c r="B664" s="10" t="str">
        <v>D39</v>
      </c>
      <c r="C664" s="10" t="str">
        <v>Education and professional services.</v>
      </c>
      <c r="D664" s="16" t="str">
        <v>T39.21</v>
      </c>
      <c r="E664" s="10" t="str">
        <v>Mapped</v>
      </c>
    </row>
    <row r="665" ht="42" customHeight="1">
      <c r="A665" s="9" t="str">
        <v>T39.22</v>
      </c>
      <c r="B665" s="9" t="str">
        <v>D39</v>
      </c>
      <c r="C665" s="9" t="str">
        <v>Government enterprises and regulated businesses.</v>
      </c>
      <c r="D665" s="17" t="str">
        <v>T39.22</v>
      </c>
      <c r="E665" s="9" t="str">
        <v>Mapped</v>
      </c>
    </row>
    <row r="666" ht="42" customHeight="1">
      <c r="A666" s="10" t="str">
        <v>T40.01</v>
      </c>
      <c r="B666" s="10" t="str">
        <v>D40</v>
      </c>
      <c r="C666" s="10" t="str">
        <v>Reading a real annual report from beginning to end.</v>
      </c>
      <c r="D666" s="16" t="str">
        <v>T40.01</v>
      </c>
      <c r="E666" s="10" t="str">
        <v>Mapped</v>
      </c>
    </row>
    <row r="667" ht="42" customHeight="1">
      <c r="A667" s="9" t="str">
        <v>T40.02</v>
      </c>
      <c r="B667" s="9" t="str">
        <v>D40</v>
      </c>
      <c r="C667" s="9" t="str">
        <v>Tracing one transaction through all three statements.</v>
      </c>
      <c r="D667" s="17" t="str">
        <v>T40.02</v>
      </c>
      <c r="E667" s="9" t="str">
        <v>Mapped</v>
      </c>
    </row>
    <row r="668" ht="42" customHeight="1">
      <c r="A668" s="10" t="str">
        <v>T40.03</v>
      </c>
      <c r="B668" s="10" t="str">
        <v>D40</v>
      </c>
      <c r="C668" s="10" t="str">
        <v>Diagnosing a profitable company with a cash shortage.</v>
      </c>
      <c r="D668" s="16" t="str">
        <v>T40.03</v>
      </c>
      <c r="E668" s="10" t="str">
        <v>Mapped</v>
      </c>
    </row>
    <row r="669" ht="42" customHeight="1">
      <c r="A669" s="9" t="str">
        <v>T40.04</v>
      </c>
      <c r="B669" s="9" t="str">
        <v>D40</v>
      </c>
      <c r="C669" s="9" t="str">
        <v>Assessing whether growth creates value.</v>
      </c>
      <c r="D669" s="17" t="str">
        <v>T40.04</v>
      </c>
      <c r="E669" s="9" t="str">
        <v>Mapped</v>
      </c>
    </row>
    <row r="670" ht="42" customHeight="1">
      <c r="A670" s="10" t="str">
        <v>T40.05</v>
      </c>
      <c r="B670" s="10" t="str">
        <v>D40</v>
      </c>
      <c r="C670" s="10" t="str">
        <v>Building a three-statement forecast.</v>
      </c>
      <c r="D670" s="16" t="str">
        <v>T40.05</v>
      </c>
      <c r="E670" s="10" t="str">
        <v>Mapped</v>
      </c>
    </row>
    <row r="671" ht="42" customHeight="1">
      <c r="A671" s="9" t="str">
        <v>T40.06</v>
      </c>
      <c r="B671" s="9" t="str">
        <v>D40</v>
      </c>
      <c r="C671" s="9" t="str">
        <v>Valuing a listed company.</v>
      </c>
      <c r="D671" s="17" t="str">
        <v>T40.06</v>
      </c>
      <c r="E671" s="9" t="str">
        <v>Mapped</v>
      </c>
    </row>
    <row r="672" ht="42" customHeight="1">
      <c r="A672" s="10" t="str">
        <v>T40.07</v>
      </c>
      <c r="B672" s="10" t="str">
        <v>D40</v>
      </c>
      <c r="C672" s="10" t="str">
        <v>Writing an equity research report.</v>
      </c>
      <c r="D672" s="16" t="str">
        <v>T40.07</v>
      </c>
      <c r="E672" s="10" t="str">
        <v>Mapped</v>
      </c>
    </row>
    <row r="673" ht="42" customHeight="1">
      <c r="A673" s="9" t="str">
        <v>T40.08</v>
      </c>
      <c r="B673" s="9" t="str">
        <v>D40</v>
      </c>
      <c r="C673" s="9" t="str">
        <v>Underwriting a corporate loan.</v>
      </c>
      <c r="D673" s="17" t="str">
        <v>T40.08</v>
      </c>
      <c r="E673" s="9" t="str">
        <v>Mapped</v>
      </c>
    </row>
    <row r="674" ht="42" customHeight="1">
      <c r="A674" s="10" t="str">
        <v>T40.09</v>
      </c>
      <c r="B674" s="10" t="str">
        <v>D40</v>
      </c>
      <c r="C674" s="10" t="str">
        <v>Evaluating a capital expenditure proposal.</v>
      </c>
      <c r="D674" s="16" t="str">
        <v>T40.09</v>
      </c>
      <c r="E674" s="10" t="str">
        <v>Mapped</v>
      </c>
    </row>
    <row r="675" ht="42" customHeight="1">
      <c r="A675" s="9" t="str">
        <v>T40.10</v>
      </c>
      <c r="B675" s="9" t="str">
        <v>D40</v>
      </c>
      <c r="C675" s="9" t="str">
        <v>Comparing debt versus equity financing.</v>
      </c>
      <c r="D675" s="17" t="str">
        <v>T40.10</v>
      </c>
      <c r="E675" s="9" t="str">
        <v>Mapped</v>
      </c>
    </row>
    <row r="676" ht="42" customHeight="1">
      <c r="A676" s="10" t="str">
        <v>T40.11</v>
      </c>
      <c r="B676" s="10" t="str">
        <v>D40</v>
      </c>
      <c r="C676" s="10" t="str">
        <v>Analysing an acquisition.</v>
      </c>
      <c r="D676" s="16" t="str">
        <v>T40.11</v>
      </c>
      <c r="E676" s="10" t="str">
        <v>Mapped</v>
      </c>
    </row>
    <row r="677" ht="42" customHeight="1">
      <c r="A677" s="9" t="str">
        <v>T40.12</v>
      </c>
      <c r="B677" s="9" t="str">
        <v>D40</v>
      </c>
      <c r="C677" s="9" t="str">
        <v>Building a startup fundraising and dilution model.</v>
      </c>
      <c r="D677" s="17" t="str">
        <v>T40.12</v>
      </c>
      <c r="E677" s="9" t="str">
        <v>Mapped</v>
      </c>
    </row>
    <row r="678" ht="42" customHeight="1">
      <c r="A678" s="10" t="str">
        <v>T40.13</v>
      </c>
      <c r="B678" s="10" t="str">
        <v>D40</v>
      </c>
      <c r="C678" s="10" t="str">
        <v>Evaluating a property investment.</v>
      </c>
      <c r="D678" s="16" t="str">
        <v>T40.13</v>
      </c>
      <c r="E678" s="10" t="str">
        <v>Mapped</v>
      </c>
    </row>
    <row r="679" ht="42" customHeight="1">
      <c r="A679" s="9" t="str">
        <v>T40.14</v>
      </c>
      <c r="B679" s="9" t="str">
        <v>D40</v>
      </c>
      <c r="C679" s="9" t="str">
        <v>Designing and evaluating a portfolio.</v>
      </c>
      <c r="D679" s="17" t="str">
        <v>T40.14</v>
      </c>
      <c r="E679" s="9" t="str">
        <v>Mapped</v>
      </c>
    </row>
    <row r="680" ht="42" customHeight="1">
      <c r="A680" s="10" t="str">
        <v>T40.15</v>
      </c>
      <c r="B680" s="10" t="str">
        <v>D40</v>
      </c>
      <c r="C680" s="10" t="str">
        <v>Stress-testing a bank or business.</v>
      </c>
      <c r="D680" s="16" t="str">
        <v>T40.15</v>
      </c>
      <c r="E680" s="10" t="str">
        <v>Mapped</v>
      </c>
    </row>
    <row r="681" ht="42" customHeight="1">
      <c r="A681" s="9" t="str">
        <v>T40.16</v>
      </c>
      <c r="B681" s="9" t="str">
        <v>D40</v>
      </c>
      <c r="C681" s="9" t="str">
        <v>Investigating an accounting failure.</v>
      </c>
      <c r="D681" s="17" t="str">
        <v>T40.16</v>
      </c>
      <c r="E681" s="9" t="str">
        <v>Mapped</v>
      </c>
    </row>
    <row r="682" ht="42" customHeight="1">
      <c r="A682" s="10" t="str">
        <v>T40.17</v>
      </c>
      <c r="B682" s="10" t="str">
        <v>D40</v>
      </c>
      <c r="C682" s="10" t="str">
        <v>Studying financial crises, bubbles, and corporate collapses.</v>
      </c>
      <c r="D682" s="16" t="str">
        <v>T40.17</v>
      </c>
      <c r="E682" s="10" t="str">
        <v>Mapped</v>
      </c>
    </row>
    <row r="683" ht="42" customHeight="1">
      <c r="A683" s="9" t="str">
        <v>T40.18</v>
      </c>
      <c r="B683" s="9" t="str">
        <v>D40</v>
      </c>
      <c r="C683" s="9" t="str">
        <v>Comparing an investment thesis with the outcome.</v>
      </c>
      <c r="D683" s="17" t="str">
        <v>T40.18</v>
      </c>
      <c r="E683" s="9" t="str">
        <v>Mapped</v>
      </c>
    </row>
  </sheetData>
  <hyperlinks>
    <hyperlink ref="D6" location="'Topics'!A6" display="T01.01"/>
    <hyperlink ref="D7" location="'Topics'!A7" display="T01.02"/>
    <hyperlink ref="D8" location="'Topics'!A8" display="T01.03"/>
    <hyperlink ref="D9" location="'Topics'!A9" display="T01.04"/>
    <hyperlink ref="D10" location="'Topics'!A10" display="T01.05"/>
    <hyperlink ref="D11" location="'Topics'!A11" display="T01.06"/>
    <hyperlink ref="D12" location="'Topics'!A12" display="T01.07"/>
    <hyperlink ref="D13" location="'Topics'!A13" display="T01.08"/>
    <hyperlink ref="D14" location="'Topics'!A14" display="T01.09"/>
    <hyperlink ref="D15" location="'Topics'!A15" display="T01.10"/>
    <hyperlink ref="D16" location="'Topics'!A16" display="T01.11"/>
    <hyperlink ref="D17" location="'Topics'!A17" display="T01.12"/>
    <hyperlink ref="D18" location="'Topics'!A18" display="T01.13"/>
    <hyperlink ref="D19" location="'Topics'!A19" display="T01.14"/>
    <hyperlink ref="D20" location="'Topics'!A20" display="T01.15"/>
    <hyperlink ref="D21" location="'Topics'!A21" display="T02.01"/>
    <hyperlink ref="D22" location="'Topics'!A22" display="T02.02"/>
    <hyperlink ref="D23" location="'Topics'!A23" display="T02.03"/>
    <hyperlink ref="D24" location="'Topics'!A24" display="T02.04"/>
    <hyperlink ref="D25" location="'Topics'!A25" display="T02.05"/>
    <hyperlink ref="D26" location="'Topics'!A26" display="T02.06"/>
    <hyperlink ref="D27" location="'Topics'!A27" display="T02.07"/>
    <hyperlink ref="D28" location="'Topics'!A28" display="T02.08"/>
    <hyperlink ref="D29" location="'Topics'!A29" display="T02.09"/>
    <hyperlink ref="D30" location="'Topics'!A30" display="T02.10"/>
    <hyperlink ref="D31" location="'Topics'!A31" display="T02.11"/>
    <hyperlink ref="D32" location="'Topics'!A32" display="T02.12"/>
    <hyperlink ref="D33" location="'Topics'!A33" display="T02.13"/>
    <hyperlink ref="D34" location="'Topics'!A34" display="T02.14"/>
    <hyperlink ref="D35" location="'Topics'!A35" display="T02.15"/>
    <hyperlink ref="D36" location="'Topics'!A36" display="T03.01"/>
    <hyperlink ref="D37" location="'Topics'!A37" display="T03.02"/>
    <hyperlink ref="D38" location="'Topics'!A38" display="T03.03"/>
    <hyperlink ref="D39" location="'Topics'!A39" display="T03.04"/>
    <hyperlink ref="D40" location="'Topics'!A40" display="T03.05"/>
    <hyperlink ref="D41" location="'Topics'!A41" display="T03.06"/>
    <hyperlink ref="D42" location="'Topics'!A42" display="T03.07"/>
    <hyperlink ref="D43" location="'Topics'!A43" display="T03.08"/>
    <hyperlink ref="D44" location="'Topics'!A44" display="T03.09"/>
    <hyperlink ref="D45" location="'Topics'!A45" display="T03.10"/>
    <hyperlink ref="D46" location="'Topics'!A46" display="T03.11"/>
    <hyperlink ref="D47" location="'Topics'!A47" display="T03.12"/>
    <hyperlink ref="D48" location="'Topics'!A48" display="T03.13"/>
    <hyperlink ref="D49" location="'Topics'!A49" display="T03.14"/>
    <hyperlink ref="D50" location="'Topics'!A50" display="T03.15"/>
    <hyperlink ref="D51" location="'Topics'!A51" display="T04.01"/>
    <hyperlink ref="D52" location="'Topics'!A52" display="T04.02"/>
    <hyperlink ref="D53" location="'Topics'!A53" display="T04.03"/>
    <hyperlink ref="D54" location="'Topics'!A54" display="T04.04"/>
    <hyperlink ref="D55" location="'Topics'!A55" display="T04.05"/>
    <hyperlink ref="D56" location="'Topics'!A56" display="T04.06"/>
    <hyperlink ref="D57" location="'Topics'!A57" display="T04.07"/>
    <hyperlink ref="D58" location="'Topics'!A58" display="T04.08"/>
    <hyperlink ref="D59" location="'Topics'!A59" display="T04.09"/>
    <hyperlink ref="D60" location="'Topics'!A60" display="T04.10"/>
    <hyperlink ref="D61" location="'Topics'!A61" display="T04.11"/>
    <hyperlink ref="D62" location="'Topics'!A62" display="T04.12"/>
    <hyperlink ref="D63" location="'Topics'!A63" display="T04.13"/>
    <hyperlink ref="D64" location="'Topics'!A64" display="T04.14"/>
    <hyperlink ref="D65" location="'Topics'!A65" display="T04.15"/>
    <hyperlink ref="D66" location="'Topics'!A66" display="T04.16"/>
    <hyperlink ref="D67" location="'Topics'!A67" display="T05.01"/>
    <hyperlink ref="D68" location="'Topics'!A68" display="T05.02"/>
    <hyperlink ref="D69" location="'Topics'!A69" display="T05.03"/>
    <hyperlink ref="D70" location="'Topics'!A70" display="T05.04"/>
    <hyperlink ref="D71" location="'Topics'!A71" display="T05.05"/>
    <hyperlink ref="D72" location="'Topics'!A72" display="T05.06"/>
    <hyperlink ref="D73" location="'Topics'!A73" display="T05.07"/>
    <hyperlink ref="D74" location="'Topics'!A74" display="T05.08"/>
    <hyperlink ref="D75" location="'Topics'!A75" display="T05.09"/>
    <hyperlink ref="D76" location="'Topics'!A76" display="T05.10"/>
    <hyperlink ref="D77" location="'Topics'!A77" display="T05.11"/>
    <hyperlink ref="D78" location="'Topics'!A78" display="T05.12"/>
    <hyperlink ref="D79" location="'Topics'!A79" display="T05.13"/>
    <hyperlink ref="D80" location="'Topics'!A80" display="T05.14"/>
    <hyperlink ref="D81" location="'Topics'!A81" display="T05.15"/>
    <hyperlink ref="D82" location="'Topics'!A82" display="T05.16"/>
    <hyperlink ref="D83" location="'Topics'!A83" display="T05.17"/>
    <hyperlink ref="D84" location="'Topics'!A84" display="T05.18"/>
    <hyperlink ref="D85" location="'Topics'!A85" display="T05.19"/>
    <hyperlink ref="D86" location="'Topics'!A86" display="T05.20"/>
    <hyperlink ref="D87" location="'Topics'!A87" display="T06.01"/>
    <hyperlink ref="D88" location="'Topics'!A88" display="T06.02"/>
    <hyperlink ref="D89" location="'Topics'!A89" display="T06.03"/>
    <hyperlink ref="D90" location="'Topics'!A90" display="T06.04"/>
    <hyperlink ref="D91" location="'Topics'!A91" display="T06.05"/>
    <hyperlink ref="D92" location="'Topics'!A92" display="T06.06"/>
    <hyperlink ref="D93" location="'Topics'!A93" display="T06.07"/>
    <hyperlink ref="D94" location="'Topics'!A94" display="T06.08"/>
    <hyperlink ref="D95" location="'Topics'!A95" display="T06.09"/>
    <hyperlink ref="D96" location="'Topics'!A96" display="T06.10"/>
    <hyperlink ref="D97" location="'Topics'!A97" display="T06.11"/>
    <hyperlink ref="D98" location="'Topics'!A98" display="T06.12"/>
    <hyperlink ref="D99" location="'Topics'!A99" display="T06.13"/>
    <hyperlink ref="D100" location="'Topics'!A100" display="T06.14"/>
    <hyperlink ref="D101" location="'Topics'!A101" display="T06.15"/>
    <hyperlink ref="D102" location="'Topics'!A102" display="T06.16"/>
    <hyperlink ref="D103" location="'Topics'!A103" display="T06.17"/>
    <hyperlink ref="D104" location="'Topics'!A104" display="T06.18"/>
    <hyperlink ref="D105" location="'Topics'!A105" display="T06.19"/>
    <hyperlink ref="D106" location="'Topics'!A106" display="T06.20"/>
    <hyperlink ref="D107" location="'Topics'!A107" display="T07.01"/>
    <hyperlink ref="D108" location="'Topics'!A108" display="T07.02"/>
    <hyperlink ref="D109" location="'Topics'!A109" display="T07.03"/>
    <hyperlink ref="D110" location="'Topics'!A110" display="T07.04"/>
    <hyperlink ref="D111" location="'Topics'!A111" display="T07.05"/>
    <hyperlink ref="D112" location="'Topics'!A112" display="T07.06"/>
    <hyperlink ref="D113" location="'Topics'!A113" display="T07.07"/>
    <hyperlink ref="D114" location="'Topics'!A114" display="T07.08"/>
    <hyperlink ref="D115" location="'Topics'!A115" display="T07.09"/>
    <hyperlink ref="D116" location="'Topics'!A116" display="T07.10"/>
    <hyperlink ref="D117" location="'Topics'!A117" display="T07.11"/>
    <hyperlink ref="D118" location="'Topics'!A118" display="T07.12"/>
    <hyperlink ref="D119" location="'Topics'!A119" display="T07.13"/>
    <hyperlink ref="D120" location="'Topics'!A120" display="T07.14"/>
    <hyperlink ref="D121" location="'Topics'!A121" display="T07.15"/>
    <hyperlink ref="D122" location="'Topics'!A122" display="T07.16"/>
    <hyperlink ref="D123" location="'Topics'!A123" display="T08.01"/>
    <hyperlink ref="D124" location="'Topics'!A124" display="T08.02"/>
    <hyperlink ref="D125" location="'Topics'!A125" display="T08.03"/>
    <hyperlink ref="D126" location="'Topics'!A126" display="T08.04"/>
    <hyperlink ref="D127" location="'Topics'!A127" display="T08.05"/>
    <hyperlink ref="D128" location="'Topics'!A128" display="T08.06"/>
    <hyperlink ref="D129" location="'Topics'!A129" display="T08.07"/>
    <hyperlink ref="D130" location="'Topics'!A130" display="T08.08"/>
    <hyperlink ref="D131" location="'Topics'!A131" display="T08.09"/>
    <hyperlink ref="D132" location="'Topics'!A132" display="T08.10"/>
    <hyperlink ref="D133" location="'Topics'!A133" display="T08.11"/>
    <hyperlink ref="D134" location="'Topics'!A134" display="T08.12"/>
    <hyperlink ref="D135" location="'Topics'!A135" display="T08.13"/>
    <hyperlink ref="D136" location="'Topics'!A136" display="T08.14"/>
    <hyperlink ref="D137" location="'Topics'!A137" display="T08.15"/>
    <hyperlink ref="D138" location="'Topics'!A138" display="T08.16"/>
    <hyperlink ref="D139" location="'Topics'!A139" display="T09.01"/>
    <hyperlink ref="D140" location="'Topics'!A140" display="T09.02"/>
    <hyperlink ref="D141" location="'Topics'!A141" display="T09.03"/>
    <hyperlink ref="D142" location="'Topics'!A142" display="T09.04"/>
    <hyperlink ref="D143" location="'Topics'!A143" display="T09.05"/>
    <hyperlink ref="D144" location="'Topics'!A144" display="T09.06"/>
    <hyperlink ref="D145" location="'Topics'!A145" display="T09.07"/>
    <hyperlink ref="D146" location="'Topics'!A146" display="T09.08"/>
    <hyperlink ref="D147" location="'Topics'!A147" display="T09.09"/>
    <hyperlink ref="D148" location="'Topics'!A148" display="T09.10"/>
    <hyperlink ref="D149" location="'Topics'!A149" display="T09.11"/>
    <hyperlink ref="D150" location="'Topics'!A150" display="T09.12"/>
    <hyperlink ref="D151" location="'Topics'!A151" display="T09.13"/>
    <hyperlink ref="D152" location="'Topics'!A152" display="T09.14"/>
    <hyperlink ref="D153" location="'Topics'!A153" display="T09.15"/>
    <hyperlink ref="D154" location="'Topics'!A154" display="T09.16"/>
    <hyperlink ref="D155" location="'Topics'!A155" display="T09.17"/>
    <hyperlink ref="D156" location="'Topics'!A156" display="T09.18"/>
    <hyperlink ref="D157" location="'Topics'!A157" display="T10.01"/>
    <hyperlink ref="D158" location="'Topics'!A158" display="T10.02"/>
    <hyperlink ref="D159" location="'Topics'!A159" display="T10.03"/>
    <hyperlink ref="D160" location="'Topics'!A160" display="T10.04"/>
    <hyperlink ref="D161" location="'Topics'!A161" display="T10.05"/>
    <hyperlink ref="D162" location="'Topics'!A162" display="T10.06"/>
    <hyperlink ref="D163" location="'Topics'!A163" display="T10.07"/>
    <hyperlink ref="D164" location="'Topics'!A164" display="T10.08"/>
    <hyperlink ref="D165" location="'Topics'!A165" display="T10.09"/>
    <hyperlink ref="D166" location="'Topics'!A166" display="T10.10"/>
    <hyperlink ref="D167" location="'Topics'!A167" display="T10.11"/>
    <hyperlink ref="D168" location="'Topics'!A168" display="T10.12"/>
    <hyperlink ref="D169" location="'Topics'!A169" display="T10.13"/>
    <hyperlink ref="D170" location="'Topics'!A170" display="T10.14"/>
    <hyperlink ref="D171" location="'Topics'!A171" display="T10.15"/>
    <hyperlink ref="D172" location="'Topics'!A172" display="T11.01"/>
    <hyperlink ref="D173" location="'Topics'!A173" display="T11.02"/>
    <hyperlink ref="D174" location="'Topics'!A174" display="T11.03"/>
    <hyperlink ref="D175" location="'Topics'!A175" display="T11.04"/>
    <hyperlink ref="D176" location="'Topics'!A176" display="T11.05"/>
    <hyperlink ref="D177" location="'Topics'!A177" display="T11.06"/>
    <hyperlink ref="D178" location="'Topics'!A178" display="T11.07"/>
    <hyperlink ref="D179" location="'Topics'!A179" display="T11.08"/>
    <hyperlink ref="D180" location="'Topics'!A180" display="T11.09"/>
    <hyperlink ref="D181" location="'Topics'!A181" display="T11.10"/>
    <hyperlink ref="D182" location="'Topics'!A182" display="T11.11"/>
    <hyperlink ref="D183" location="'Topics'!A183" display="T11.12"/>
    <hyperlink ref="D184" location="'Topics'!A184" display="T11.13"/>
    <hyperlink ref="D185" location="'Topics'!A185" display="T11.14"/>
    <hyperlink ref="D186" location="'Topics'!A186" display="T11.15"/>
    <hyperlink ref="D187" location="'Topics'!A187" display="T12.01"/>
    <hyperlink ref="D188" location="'Topics'!A188" display="T12.02"/>
    <hyperlink ref="D189" location="'Topics'!A189" display="T12.03"/>
    <hyperlink ref="D190" location="'Topics'!A190" display="T12.04"/>
    <hyperlink ref="D191" location="'Topics'!A191" display="T12.05"/>
    <hyperlink ref="D192" location="'Topics'!A192" display="T12.06"/>
    <hyperlink ref="D193" location="'Topics'!A193" display="T12.07"/>
    <hyperlink ref="D194" location="'Topics'!A194" display="T12.08"/>
    <hyperlink ref="D195" location="'Topics'!A195" display="T12.09"/>
    <hyperlink ref="D196" location="'Topics'!A196" display="T12.10"/>
    <hyperlink ref="D197" location="'Topics'!A197" display="T12.11"/>
    <hyperlink ref="D198" location="'Topics'!A198" display="T12.12"/>
    <hyperlink ref="D199" location="'Topics'!A199" display="T12.13"/>
    <hyperlink ref="D200" location="'Topics'!A200" display="T12.14"/>
    <hyperlink ref="D201" location="'Topics'!A201" display="T12.15"/>
    <hyperlink ref="D202" location="'Topics'!A202" display="T13.01"/>
    <hyperlink ref="D203" location="'Topics'!A203" display="T13.02"/>
    <hyperlink ref="D204" location="'Topics'!A204" display="T13.03"/>
    <hyperlink ref="D205" location="'Topics'!A205" display="T13.04"/>
    <hyperlink ref="D206" location="'Topics'!A206" display="T13.05"/>
    <hyperlink ref="D207" location="'Topics'!A207" display="T13.06"/>
    <hyperlink ref="D208" location="'Topics'!A208" display="T13.07"/>
    <hyperlink ref="D209" location="'Topics'!A209" display="T13.08"/>
    <hyperlink ref="D210" location="'Topics'!A210" display="T13.09"/>
    <hyperlink ref="D211" location="'Topics'!A211" display="T13.10"/>
    <hyperlink ref="D212" location="'Topics'!A212" display="T13.11"/>
    <hyperlink ref="D213" location="'Topics'!A213" display="T13.12"/>
    <hyperlink ref="D214" location="'Topics'!A214" display="T13.13"/>
    <hyperlink ref="D215" location="'Topics'!A215" display="T13.14"/>
    <hyperlink ref="D216" location="'Topics'!A216" display="T13.15"/>
    <hyperlink ref="D217" location="'Topics'!A217" display="T13.16"/>
    <hyperlink ref="D218" location="'Topics'!A218" display="T13.17"/>
    <hyperlink ref="D219" location="'Topics'!A219" display="T13.18"/>
    <hyperlink ref="D220" location="'Topics'!A220" display="T14.01"/>
    <hyperlink ref="D221" location="'Topics'!A221" display="T14.02"/>
    <hyperlink ref="D222" location="'Topics'!A222" display="T14.03"/>
    <hyperlink ref="D223" location="'Topics'!A223" display="T14.04"/>
    <hyperlink ref="D224" location="'Topics'!A224" display="T14.05"/>
    <hyperlink ref="D225" location="'Topics'!A225" display="T14.06"/>
    <hyperlink ref="D226" location="'Topics'!A226" display="T14.07"/>
    <hyperlink ref="D227" location="'Topics'!A227" display="T14.08"/>
    <hyperlink ref="D228" location="'Topics'!A228" display="T14.09"/>
    <hyperlink ref="D229" location="'Topics'!A229" display="T14.10"/>
    <hyperlink ref="D230" location="'Topics'!A230" display="T14.11"/>
    <hyperlink ref="D231" location="'Topics'!A231" display="T14.12"/>
    <hyperlink ref="D232" location="'Topics'!A232" display="T14.13"/>
    <hyperlink ref="D233" location="'Topics'!A233" display="T14.14"/>
    <hyperlink ref="D234" location="'Topics'!A234" display="T14.15"/>
    <hyperlink ref="D235" location="'Topics'!A235" display="T14.16"/>
    <hyperlink ref="D236" location="'Topics'!A236" display="T15.01"/>
    <hyperlink ref="D237" location="'Topics'!A237" display="T15.02"/>
    <hyperlink ref="D238" location="'Topics'!A238" display="T15.03"/>
    <hyperlink ref="D239" location="'Topics'!A239" display="T15.04"/>
    <hyperlink ref="D240" location="'Topics'!A240" display="T15.05"/>
    <hyperlink ref="D241" location="'Topics'!A241" display="T15.06"/>
    <hyperlink ref="D242" location="'Topics'!A242" display="T15.07"/>
    <hyperlink ref="D243" location="'Topics'!A243" display="T15.08"/>
    <hyperlink ref="D244" location="'Topics'!A244" display="T15.09"/>
    <hyperlink ref="D245" location="'Topics'!A245" display="T15.10"/>
    <hyperlink ref="D246" location="'Topics'!A246" display="T15.11"/>
    <hyperlink ref="D247" location="'Topics'!A247" display="T15.12"/>
    <hyperlink ref="D248" location="'Topics'!A248" display="T15.13"/>
    <hyperlink ref="D249" location="'Topics'!A249" display="T15.14"/>
    <hyperlink ref="D250" location="'Topics'!A250" display="T15.15"/>
    <hyperlink ref="D251" location="'Topics'!A251" display="T16.01"/>
    <hyperlink ref="D252" location="'Topics'!A252" display="T16.02"/>
    <hyperlink ref="D253" location="'Topics'!A253" display="T16.03"/>
    <hyperlink ref="D254" location="'Topics'!A254" display="T16.04"/>
    <hyperlink ref="D255" location="'Topics'!A255" display="T16.05"/>
    <hyperlink ref="D256" location="'Topics'!A256" display="T16.06"/>
    <hyperlink ref="D257" location="'Topics'!A257" display="T16.07"/>
    <hyperlink ref="D258" location="'Topics'!A258" display="T16.08"/>
    <hyperlink ref="D259" location="'Topics'!A259" display="T16.09"/>
    <hyperlink ref="D260" location="'Topics'!A260" display="T16.10"/>
    <hyperlink ref="D261" location="'Topics'!A261" display="T16.11"/>
    <hyperlink ref="D262" location="'Topics'!A262" display="T16.12"/>
    <hyperlink ref="D263" location="'Topics'!A263" display="T16.13"/>
    <hyperlink ref="D264" location="'Topics'!A264" display="T16.14"/>
    <hyperlink ref="D265" location="'Topics'!A265" display="T16.15"/>
    <hyperlink ref="D266" location="'Topics'!A266" display="T16.16"/>
    <hyperlink ref="D267" location="'Topics'!A267" display="T17.01"/>
    <hyperlink ref="D268" location="'Topics'!A268" display="T17.02"/>
    <hyperlink ref="D269" location="'Topics'!A269" display="T17.03"/>
    <hyperlink ref="D270" location="'Topics'!A270" display="T17.04"/>
    <hyperlink ref="D271" location="'Topics'!A271" display="T17.05"/>
    <hyperlink ref="D272" location="'Topics'!A272" display="T17.06"/>
    <hyperlink ref="D273" location="'Topics'!A273" display="T17.07"/>
    <hyperlink ref="D274" location="'Topics'!A274" display="T17.08"/>
    <hyperlink ref="D275" location="'Topics'!A275" display="T17.09"/>
    <hyperlink ref="D276" location="'Topics'!A276" display="T17.10"/>
    <hyperlink ref="D277" location="'Topics'!A277" display="T17.11"/>
    <hyperlink ref="D278" location="'Topics'!A278" display="T17.12"/>
    <hyperlink ref="D279" location="'Topics'!A279" display="T17.13"/>
    <hyperlink ref="D280" location="'Topics'!A280" display="T17.14"/>
    <hyperlink ref="D281" location="'Topics'!A281" display="T17.15"/>
    <hyperlink ref="D282" location="'Topics'!A282" display="T17.16"/>
    <hyperlink ref="D283" location="'Topics'!A283" display="T17.17"/>
    <hyperlink ref="D284" location="'Topics'!A284" display="T17.18"/>
    <hyperlink ref="D285" location="'Topics'!A285" display="T17.19"/>
    <hyperlink ref="D286" location="'Topics'!A286" display="T18.01"/>
    <hyperlink ref="D287" location="'Topics'!A287" display="T18.02"/>
    <hyperlink ref="D288" location="'Topics'!A288" display="T18.03"/>
    <hyperlink ref="D289" location="'Topics'!A289" display="T18.04"/>
    <hyperlink ref="D290" location="'Topics'!A290" display="T18.05"/>
    <hyperlink ref="D291" location="'Topics'!A291" display="T18.06"/>
    <hyperlink ref="D292" location="'Topics'!A292" display="T18.07"/>
    <hyperlink ref="D293" location="'Topics'!A293" display="T18.08"/>
    <hyperlink ref="D294" location="'Topics'!A294" display="T18.09"/>
    <hyperlink ref="D295" location="'Topics'!A295" display="T18.10"/>
    <hyperlink ref="D296" location="'Topics'!A296" display="T18.11"/>
    <hyperlink ref="D297" location="'Topics'!A297" display="T18.12"/>
    <hyperlink ref="D298" location="'Topics'!A298" display="T18.13"/>
    <hyperlink ref="D299" location="'Topics'!A299" display="T18.14"/>
    <hyperlink ref="D300" location="'Topics'!A300" display="T18.15"/>
    <hyperlink ref="D301" location="'Topics'!A301" display="T18.16"/>
    <hyperlink ref="D302" location="'Topics'!A302" display="T18.17"/>
    <hyperlink ref="D303" location="'Topics'!A303" display="T18.18"/>
    <hyperlink ref="D304" location="'Topics'!A304" display="T19.01"/>
    <hyperlink ref="D305" location="'Topics'!A305" display="T19.02"/>
    <hyperlink ref="D306" location="'Topics'!A306" display="T19.03"/>
    <hyperlink ref="D307" location="'Topics'!A307" display="T19.04"/>
    <hyperlink ref="D308" location="'Topics'!A308" display="T19.05"/>
    <hyperlink ref="D309" location="'Topics'!A309" display="T19.06"/>
    <hyperlink ref="D310" location="'Topics'!A310" display="T19.07"/>
    <hyperlink ref="D311" location="'Topics'!A311" display="T19.08"/>
    <hyperlink ref="D312" location="'Topics'!A312" display="T19.09"/>
    <hyperlink ref="D313" location="'Topics'!A313" display="T19.10"/>
    <hyperlink ref="D314" location="'Topics'!A314" display="T19.11"/>
    <hyperlink ref="D315" location="'Topics'!A315" display="T19.12"/>
    <hyperlink ref="D316" location="'Topics'!A316" display="T19.13"/>
    <hyperlink ref="D317" location="'Topics'!A317" display="T19.14"/>
    <hyperlink ref="D318" location="'Topics'!A318" display="T19.15"/>
    <hyperlink ref="D319" location="'Topics'!A319" display="T19.16"/>
    <hyperlink ref="D320" location="'Topics'!A320" display="T19.17"/>
    <hyperlink ref="D321" location="'Topics'!A321" display="T20.01"/>
    <hyperlink ref="D322" location="'Topics'!A322" display="T20.02"/>
    <hyperlink ref="D323" location="'Topics'!A323" display="T20.03"/>
    <hyperlink ref="D324" location="'Topics'!A324" display="T20.04"/>
    <hyperlink ref="D325" location="'Topics'!A325" display="T20.05"/>
    <hyperlink ref="D326" location="'Topics'!A326" display="T20.06"/>
    <hyperlink ref="D327" location="'Topics'!A327" display="T20.07"/>
    <hyperlink ref="D328" location="'Topics'!A328" display="T20.08"/>
    <hyperlink ref="D329" location="'Topics'!A329" display="T20.09"/>
    <hyperlink ref="D330" location="'Topics'!A330" display="T20.10"/>
    <hyperlink ref="D331" location="'Topics'!A331" display="T20.11"/>
    <hyperlink ref="D332" location="'Topics'!A332" display="T20.12"/>
    <hyperlink ref="D333" location="'Topics'!A333" display="T20.13"/>
    <hyperlink ref="D334" location="'Topics'!A334" display="T20.14"/>
    <hyperlink ref="D335" location="'Topics'!A335" display="T20.15"/>
    <hyperlink ref="D336" location="'Topics'!A336" display="T20.16"/>
    <hyperlink ref="D337" location="'Topics'!A337" display="T20.17"/>
    <hyperlink ref="D338" location="'Topics'!A338" display="T21.01"/>
    <hyperlink ref="D339" location="'Topics'!A339" display="T21.02"/>
    <hyperlink ref="D340" location="'Topics'!A340" display="T21.03"/>
    <hyperlink ref="D341" location="'Topics'!A341" display="T21.04"/>
    <hyperlink ref="D342" location="'Topics'!A342" display="T21.05"/>
    <hyperlink ref="D343" location="'Topics'!A343" display="T21.06"/>
    <hyperlink ref="D344" location="'Topics'!A344" display="T21.07"/>
    <hyperlink ref="D345" location="'Topics'!A345" display="T21.08"/>
    <hyperlink ref="D346" location="'Topics'!A346" display="T21.09"/>
    <hyperlink ref="D347" location="'Topics'!A347" display="T21.10"/>
    <hyperlink ref="D348" location="'Topics'!A348" display="T21.11"/>
    <hyperlink ref="D349" location="'Topics'!A349" display="T21.12"/>
    <hyperlink ref="D350" location="'Topics'!A350" display="T21.13"/>
    <hyperlink ref="D351" location="'Topics'!A351" display="T21.14"/>
    <hyperlink ref="D352" location="'Topics'!A352" display="T21.15"/>
    <hyperlink ref="D353" location="'Topics'!A353" display="T21.16"/>
    <hyperlink ref="D354" location="'Topics'!A354" display="T21.17"/>
    <hyperlink ref="D355" location="'Topics'!A355" display="T21.18"/>
    <hyperlink ref="D356" location="'Topics'!A356" display="T21.19"/>
    <hyperlink ref="D357" location="'Topics'!A357" display="T22.01"/>
    <hyperlink ref="D358" location="'Topics'!A358" display="T22.02"/>
    <hyperlink ref="D359" location="'Topics'!A359" display="T22.03"/>
    <hyperlink ref="D360" location="'Topics'!A360" display="T22.04"/>
    <hyperlink ref="D361" location="'Topics'!A361" display="T22.05"/>
    <hyperlink ref="D362" location="'Topics'!A362" display="T22.06"/>
    <hyperlink ref="D363" location="'Topics'!A363" display="T22.07"/>
    <hyperlink ref="D364" location="'Topics'!A364" display="T22.08"/>
    <hyperlink ref="D365" location="'Topics'!A365" display="T22.09"/>
    <hyperlink ref="D366" location="'Topics'!A366" display="T22.10"/>
    <hyperlink ref="D367" location="'Topics'!A367" display="T22.11"/>
    <hyperlink ref="D368" location="'Topics'!A368" display="T22.12"/>
    <hyperlink ref="D369" location="'Topics'!A369" display="T22.13"/>
    <hyperlink ref="D370" location="'Topics'!A370" display="T22.14"/>
    <hyperlink ref="D371" location="'Topics'!A371" display="T22.15"/>
    <hyperlink ref="D372" location="'Topics'!A372" display="T22.16"/>
    <hyperlink ref="D373" location="'Topics'!A373" display="T22.17"/>
    <hyperlink ref="D374" location="'Topics'!A374" display="T22.18"/>
    <hyperlink ref="D375" location="'Topics'!A375" display="T22.19"/>
    <hyperlink ref="D376" location="'Topics'!A376" display="T23.01"/>
    <hyperlink ref="D377" location="'Topics'!A377" display="T23.02"/>
    <hyperlink ref="D378" location="'Topics'!A378" display="T23.03"/>
    <hyperlink ref="D379" location="'Topics'!A379" display="T23.04"/>
    <hyperlink ref="D380" location="'Topics'!A380" display="T23.05"/>
    <hyperlink ref="D381" location="'Topics'!A381" display="T23.06"/>
    <hyperlink ref="D382" location="'Topics'!A382" display="T23.07"/>
    <hyperlink ref="D383" location="'Topics'!A383" display="T23.08"/>
    <hyperlink ref="D384" location="'Topics'!A384" display="T23.09"/>
    <hyperlink ref="D385" location="'Topics'!A385" display="T23.10"/>
    <hyperlink ref="D386" location="'Topics'!A386" display="T23.11"/>
    <hyperlink ref="D387" location="'Topics'!A387" display="T23.12"/>
    <hyperlink ref="D388" location="'Topics'!A388" display="T23.13"/>
    <hyperlink ref="D389" location="'Topics'!A389" display="T23.14"/>
    <hyperlink ref="D390" location="'Topics'!A390" display="T23.15"/>
    <hyperlink ref="D391" location="'Topics'!A391" display="T23.16"/>
    <hyperlink ref="D392" location="'Topics'!A392" display="T23.17"/>
    <hyperlink ref="D393" location="'Topics'!A393" display="T23.18"/>
    <hyperlink ref="D394" location="'Topics'!A394" display="T23.19"/>
    <hyperlink ref="D395" location="'Topics'!A395" display="T24.01"/>
    <hyperlink ref="D396" location="'Topics'!A396" display="T24.02"/>
    <hyperlink ref="D397" location="'Topics'!A397" display="T24.03"/>
    <hyperlink ref="D398" location="'Topics'!A398" display="T24.04"/>
    <hyperlink ref="D399" location="'Topics'!A399" display="T24.05"/>
    <hyperlink ref="D400" location="'Topics'!A400" display="T24.06"/>
    <hyperlink ref="D401" location="'Topics'!A401" display="T24.07"/>
    <hyperlink ref="D402" location="'Topics'!A402" display="T24.08"/>
    <hyperlink ref="D403" location="'Topics'!A403" display="T24.09"/>
    <hyperlink ref="D404" location="'Topics'!A404" display="T24.10"/>
    <hyperlink ref="D405" location="'Topics'!A405" display="T24.11"/>
    <hyperlink ref="D406" location="'Topics'!A406" display="T24.12"/>
    <hyperlink ref="D407" location="'Topics'!A407" display="T24.13"/>
    <hyperlink ref="D408" location="'Topics'!A408" display="T24.14"/>
    <hyperlink ref="D409" location="'Topics'!A409" display="T24.15"/>
    <hyperlink ref="D410" location="'Topics'!A410" display="T24.16"/>
    <hyperlink ref="D411" location="'Topics'!A411" display="T24.17"/>
    <hyperlink ref="D412" location="'Topics'!A412" display="T24.18"/>
    <hyperlink ref="D413" location="'Topics'!A413" display="T24.19"/>
    <hyperlink ref="D414" location="'Topics'!A414" display="T25.01"/>
    <hyperlink ref="D415" location="'Topics'!A415" display="T25.02"/>
    <hyperlink ref="D416" location="'Topics'!A416" display="T25.03"/>
    <hyperlink ref="D417" location="'Topics'!A417" display="T25.04"/>
    <hyperlink ref="D418" location="'Topics'!A418" display="T25.05"/>
    <hyperlink ref="D419" location="'Topics'!A419" display="T25.06"/>
    <hyperlink ref="D420" location="'Topics'!A420" display="T25.07"/>
    <hyperlink ref="D421" location="'Topics'!A421" display="T25.08"/>
    <hyperlink ref="D422" location="'Topics'!A422" display="T25.09"/>
    <hyperlink ref="D423" location="'Topics'!A423" display="T25.10"/>
    <hyperlink ref="D424" location="'Topics'!A424" display="T25.11"/>
    <hyperlink ref="D425" location="'Topics'!A425" display="T25.12"/>
    <hyperlink ref="D426" location="'Topics'!A426" display="T25.13"/>
    <hyperlink ref="D427" location="'Topics'!A427" display="T25.14"/>
    <hyperlink ref="D428" location="'Topics'!A428" display="T25.15"/>
    <hyperlink ref="D429" location="'Topics'!A429" display="T25.16"/>
    <hyperlink ref="D430" location="'Topics'!A430" display="T26.01"/>
    <hyperlink ref="D431" location="'Topics'!A431" display="T26.02"/>
    <hyperlink ref="D432" location="'Topics'!A432" display="T26.03"/>
    <hyperlink ref="D433" location="'Topics'!A433" display="T26.04"/>
    <hyperlink ref="D434" location="'Topics'!A434" display="T26.05"/>
    <hyperlink ref="D435" location="'Topics'!A435" display="T26.06"/>
    <hyperlink ref="D436" location="'Topics'!A436" display="T26.07"/>
    <hyperlink ref="D437" location="'Topics'!A437" display="T26.08"/>
    <hyperlink ref="D438" location="'Topics'!A438" display="T26.09"/>
    <hyperlink ref="D439" location="'Topics'!A439" display="T26.10"/>
    <hyperlink ref="D440" location="'Topics'!A440" display="T26.11"/>
    <hyperlink ref="D441" location="'Topics'!A441" display="T26.12"/>
    <hyperlink ref="D442" location="'Topics'!A442" display="T26.13"/>
    <hyperlink ref="D443" location="'Topics'!A443" display="T26.14"/>
    <hyperlink ref="D444" location="'Topics'!A444" display="T26.15"/>
    <hyperlink ref="D445" location="'Topics'!A445" display="T26.16"/>
    <hyperlink ref="D446" location="'Topics'!A446" display="T26.17"/>
    <hyperlink ref="D447" location="'Topics'!A447" display="T26.18"/>
    <hyperlink ref="D448" location="'Topics'!A448" display="T26.19"/>
    <hyperlink ref="D449" location="'Topics'!A449" display="T27.01"/>
    <hyperlink ref="D450" location="'Topics'!A450" display="T27.02"/>
    <hyperlink ref="D451" location="'Topics'!A451" display="T27.03"/>
    <hyperlink ref="D452" location="'Topics'!A452" display="T27.04"/>
    <hyperlink ref="D453" location="'Topics'!A453" display="T27.05"/>
    <hyperlink ref="D454" location="'Topics'!A454" display="T27.06"/>
    <hyperlink ref="D455" location="'Topics'!A455" display="T27.07"/>
    <hyperlink ref="D456" location="'Topics'!A456" display="T27.08"/>
    <hyperlink ref="D457" location="'Topics'!A457" display="T27.09"/>
    <hyperlink ref="D458" location="'Topics'!A458" display="T27.10"/>
    <hyperlink ref="D459" location="'Topics'!A459" display="T27.11"/>
    <hyperlink ref="D460" location="'Topics'!A460" display="T27.12"/>
    <hyperlink ref="D461" location="'Topics'!A461" display="T27.13"/>
    <hyperlink ref="D462" location="'Topics'!A462" display="T27.14"/>
    <hyperlink ref="D463" location="'Topics'!A463" display="T27.15"/>
    <hyperlink ref="D464" location="'Topics'!A464" display="T27.16"/>
    <hyperlink ref="D465" location="'Topics'!A465" display="T27.17"/>
    <hyperlink ref="D466" location="'Topics'!A466" display="T28.01"/>
    <hyperlink ref="D467" location="'Topics'!A467" display="T28.02"/>
    <hyperlink ref="D468" location="'Topics'!A468" display="T28.03"/>
    <hyperlink ref="D469" location="'Topics'!A469" display="T28.04"/>
    <hyperlink ref="D470" location="'Topics'!A470" display="T28.05"/>
    <hyperlink ref="D471" location="'Topics'!A471" display="T28.06"/>
    <hyperlink ref="D472" location="'Topics'!A472" display="T28.07"/>
    <hyperlink ref="D473" location="'Topics'!A473" display="T28.08"/>
    <hyperlink ref="D474" location="'Topics'!A474" display="T28.09"/>
    <hyperlink ref="D475" location="'Topics'!A475" display="T28.10"/>
    <hyperlink ref="D476" location="'Topics'!A476" display="T28.11"/>
    <hyperlink ref="D477" location="'Topics'!A477" display="T28.12"/>
    <hyperlink ref="D478" location="'Topics'!A478" display="T28.13"/>
    <hyperlink ref="D479" location="'Topics'!A479" display="T28.14"/>
    <hyperlink ref="D480" location="'Topics'!A480" display="T28.15"/>
    <hyperlink ref="D481" location="'Topics'!A481" display="T28.16"/>
    <hyperlink ref="D482" location="'Topics'!A482" display="T28.17"/>
    <hyperlink ref="D483" location="'Topics'!A483" display="T28.18"/>
    <hyperlink ref="D484" location="'Topics'!A484" display="T29.01"/>
    <hyperlink ref="D485" location="'Topics'!A485" display="T29.02"/>
    <hyperlink ref="D486" location="'Topics'!A486" display="T29.03"/>
    <hyperlink ref="D487" location="'Topics'!A487" display="T29.04"/>
    <hyperlink ref="D488" location="'Topics'!A488" display="T29.05"/>
    <hyperlink ref="D489" location="'Topics'!A489" display="T29.06"/>
    <hyperlink ref="D490" location="'Topics'!A490" display="T29.07"/>
    <hyperlink ref="D491" location="'Topics'!A491" display="T29.08"/>
    <hyperlink ref="D492" location="'Topics'!A492" display="T29.09"/>
    <hyperlink ref="D493" location="'Topics'!A493" display="T29.10"/>
    <hyperlink ref="D494" location="'Topics'!A494" display="T29.11"/>
    <hyperlink ref="D495" location="'Topics'!A495" display="T29.12"/>
    <hyperlink ref="D496" location="'Topics'!A496" display="T29.13"/>
    <hyperlink ref="D497" location="'Topics'!A497" display="T29.14"/>
    <hyperlink ref="D498" location="'Topics'!A498" display="T29.15"/>
    <hyperlink ref="D499" location="'Topics'!A499" display="T29.16"/>
    <hyperlink ref="D500" location="'Topics'!A500" display="T30.01"/>
    <hyperlink ref="D501" location="'Topics'!A501" display="T30.02"/>
    <hyperlink ref="D502" location="'Topics'!A502" display="T30.03"/>
    <hyperlink ref="D503" location="'Topics'!A503" display="T30.04"/>
    <hyperlink ref="D504" location="'Topics'!A504" display="T30.05"/>
    <hyperlink ref="D505" location="'Topics'!A505" display="T30.06"/>
    <hyperlink ref="D506" location="'Topics'!A506" display="T30.07"/>
    <hyperlink ref="D507" location="'Topics'!A507" display="T30.08"/>
    <hyperlink ref="D508" location="'Topics'!A508" display="T30.09"/>
    <hyperlink ref="D509" location="'Topics'!A509" display="T30.10"/>
    <hyperlink ref="D510" location="'Topics'!A510" display="T30.11"/>
    <hyperlink ref="D511" location="'Topics'!A511" display="T30.12"/>
    <hyperlink ref="D512" location="'Topics'!A512" display="T30.13"/>
    <hyperlink ref="D513" location="'Topics'!A513" display="T30.14"/>
    <hyperlink ref="D514" location="'Topics'!A514" display="T30.15"/>
    <hyperlink ref="D515" location="'Topics'!A515" display="T30.16"/>
    <hyperlink ref="D516" location="'Topics'!A516" display="T30.17"/>
    <hyperlink ref="D517" location="'Topics'!A517" display="T30.18"/>
    <hyperlink ref="D518" location="'Topics'!A518" display="T31.01"/>
    <hyperlink ref="D519" location="'Topics'!A519" display="T31.02"/>
    <hyperlink ref="D520" location="'Topics'!A520" display="T31.03"/>
    <hyperlink ref="D521" location="'Topics'!A521" display="T31.04"/>
    <hyperlink ref="D522" location="'Topics'!A522" display="T31.05"/>
    <hyperlink ref="D523" location="'Topics'!A523" display="T31.06"/>
    <hyperlink ref="D524" location="'Topics'!A524" display="T31.07"/>
    <hyperlink ref="D525" location="'Topics'!A525" display="T31.08"/>
    <hyperlink ref="D526" location="'Topics'!A526" display="T31.09"/>
    <hyperlink ref="D527" location="'Topics'!A527" display="T31.10"/>
    <hyperlink ref="D528" location="'Topics'!A528" display="T31.11"/>
    <hyperlink ref="D529" location="'Topics'!A529" display="T31.12"/>
    <hyperlink ref="D530" location="'Topics'!A530" display="T31.13"/>
    <hyperlink ref="D531" location="'Topics'!A531" display="T31.14"/>
    <hyperlink ref="D532" location="'Topics'!A532" display="T31.15"/>
    <hyperlink ref="D533" location="'Topics'!A533" display="T31.16"/>
    <hyperlink ref="D534" location="'Topics'!A534" display="T32.01"/>
    <hyperlink ref="D535" location="'Topics'!A535" display="T32.02"/>
    <hyperlink ref="D536" location="'Topics'!A536" display="T32.03"/>
    <hyperlink ref="D537" location="'Topics'!A537" display="T32.04"/>
    <hyperlink ref="D538" location="'Topics'!A538" display="T32.05"/>
    <hyperlink ref="D539" location="'Topics'!A539" display="T32.06"/>
    <hyperlink ref="D540" location="'Topics'!A540" display="T32.07"/>
    <hyperlink ref="D541" location="'Topics'!A541" display="T32.08"/>
    <hyperlink ref="D542" location="'Topics'!A542" display="T32.09"/>
    <hyperlink ref="D543" location="'Topics'!A543" display="T32.10"/>
    <hyperlink ref="D544" location="'Topics'!A544" display="T32.11"/>
    <hyperlink ref="D545" location="'Topics'!A545" display="T32.12"/>
    <hyperlink ref="D546" location="'Topics'!A546" display="T32.13"/>
    <hyperlink ref="D547" location="'Topics'!A547" display="T32.14"/>
    <hyperlink ref="D548" location="'Topics'!A548" display="T32.15"/>
    <hyperlink ref="D549" location="'Topics'!A549" display="T32.16"/>
    <hyperlink ref="D550" location="'Topics'!A550" display="T33.01"/>
    <hyperlink ref="D551" location="'Topics'!A551" display="T33.02"/>
    <hyperlink ref="D552" location="'Topics'!A552" display="T33.03"/>
    <hyperlink ref="D553" location="'Topics'!A553" display="T33.04"/>
    <hyperlink ref="D554" location="'Topics'!A554" display="T33.05"/>
    <hyperlink ref="D555" location="'Topics'!A555" display="T33.06"/>
    <hyperlink ref="D556" location="'Topics'!A556" display="T33.07"/>
    <hyperlink ref="D557" location="'Topics'!A557" display="T33.08"/>
    <hyperlink ref="D558" location="'Topics'!A558" display="T33.09"/>
    <hyperlink ref="D559" location="'Topics'!A559" display="T33.10"/>
    <hyperlink ref="D560" location="'Topics'!A560" display="T33.11"/>
    <hyperlink ref="D561" location="'Topics'!A561" display="T33.12"/>
    <hyperlink ref="D562" location="'Topics'!A562" display="T33.13"/>
    <hyperlink ref="D563" location="'Topics'!A563" display="T33.14"/>
    <hyperlink ref="D564" location="'Topics'!A564" display="T33.15"/>
    <hyperlink ref="D565" location="'Topics'!A565" display="T33.16"/>
    <hyperlink ref="D566" location="'Topics'!A566" display="T34.01"/>
    <hyperlink ref="D567" location="'Topics'!A567" display="T34.02"/>
    <hyperlink ref="D568" location="'Topics'!A568" display="T34.03"/>
    <hyperlink ref="D569" location="'Topics'!A569" display="T34.04"/>
    <hyperlink ref="D570" location="'Topics'!A570" display="T34.05"/>
    <hyperlink ref="D571" location="'Topics'!A571" display="T34.06"/>
    <hyperlink ref="D572" location="'Topics'!A572" display="T34.07"/>
    <hyperlink ref="D573" location="'Topics'!A573" display="T34.08"/>
    <hyperlink ref="D574" location="'Topics'!A574" display="T34.09"/>
    <hyperlink ref="D575" location="'Topics'!A575" display="T34.10"/>
    <hyperlink ref="D576" location="'Topics'!A576" display="T34.11"/>
    <hyperlink ref="D577" location="'Topics'!A577" display="T34.12"/>
    <hyperlink ref="D578" location="'Topics'!A578" display="T34.13"/>
    <hyperlink ref="D579" location="'Topics'!A579" display="T34.14"/>
    <hyperlink ref="D580" location="'Topics'!A580" display="T34.15"/>
    <hyperlink ref="D581" location="'Topics'!A581" display="T35.01"/>
    <hyperlink ref="D582" location="'Topics'!A582" display="T35.02"/>
    <hyperlink ref="D583" location="'Topics'!A583" display="T35.03"/>
    <hyperlink ref="D584" location="'Topics'!A584" display="T35.04"/>
    <hyperlink ref="D585" location="'Topics'!A585" display="T35.05"/>
    <hyperlink ref="D586" location="'Topics'!A586" display="T35.06"/>
    <hyperlink ref="D587" location="'Topics'!A587" display="T35.07"/>
    <hyperlink ref="D588" location="'Topics'!A588" display="T35.08"/>
    <hyperlink ref="D589" location="'Topics'!A589" display="T35.09"/>
    <hyperlink ref="D590" location="'Topics'!A590" display="T35.10"/>
    <hyperlink ref="D591" location="'Topics'!A591" display="T35.11"/>
    <hyperlink ref="D592" location="'Topics'!A592" display="T35.12"/>
    <hyperlink ref="D593" location="'Topics'!A593" display="T35.13"/>
    <hyperlink ref="D594" location="'Topics'!A594" display="T35.14"/>
    <hyperlink ref="D595" location="'Topics'!A595" display="T36.01"/>
    <hyperlink ref="D596" location="'Topics'!A596" display="T36.02"/>
    <hyperlink ref="D597" location="'Topics'!A597" display="T36.03"/>
    <hyperlink ref="D598" location="'Topics'!A598" display="T36.04"/>
    <hyperlink ref="D599" location="'Topics'!A599" display="T36.05"/>
    <hyperlink ref="D600" location="'Topics'!A600" display="T36.06"/>
    <hyperlink ref="D601" location="'Topics'!A601" display="T36.07"/>
    <hyperlink ref="D602" location="'Topics'!A602" display="T36.08"/>
    <hyperlink ref="D603" location="'Topics'!A603" display="T36.09"/>
    <hyperlink ref="D604" location="'Topics'!A604" display="T36.10"/>
    <hyperlink ref="D605" location="'Topics'!A605" display="T36.11"/>
    <hyperlink ref="D606" location="'Topics'!A606" display="T36.12"/>
    <hyperlink ref="D607" location="'Topics'!A607" display="T36.13"/>
    <hyperlink ref="D608" location="'Topics'!A608" display="T36.14"/>
    <hyperlink ref="D609" location="'Topics'!A609" display="T36.15"/>
    <hyperlink ref="D610" location="'Topics'!A610" display="T36.16"/>
    <hyperlink ref="D611" location="'Topics'!A611" display="T36.17"/>
    <hyperlink ref="D612" location="'Topics'!A612" display="T37.01"/>
    <hyperlink ref="D613" location="'Topics'!A613" display="T37.02"/>
    <hyperlink ref="D614" location="'Topics'!A614" display="T37.03"/>
    <hyperlink ref="D615" location="'Topics'!A615" display="T37.04"/>
    <hyperlink ref="D616" location="'Topics'!A616" display="T37.05"/>
    <hyperlink ref="D617" location="'Topics'!A617" display="T37.06"/>
    <hyperlink ref="D618" location="'Topics'!A618" display="T37.07"/>
    <hyperlink ref="D619" location="'Topics'!A619" display="T37.08"/>
    <hyperlink ref="D620" location="'Topics'!A620" display="T37.09"/>
    <hyperlink ref="D621" location="'Topics'!A621" display="T37.10"/>
    <hyperlink ref="D622" location="'Topics'!A622" display="T37.11"/>
    <hyperlink ref="D623" location="'Topics'!A623" display="T37.12"/>
    <hyperlink ref="D624" location="'Topics'!A624" display="T37.13"/>
    <hyperlink ref="D625" location="'Topics'!A625" display="T37.14"/>
    <hyperlink ref="D626" location="'Topics'!A626" display="T38.01"/>
    <hyperlink ref="D627" location="'Topics'!A627" display="T38.02"/>
    <hyperlink ref="D628" location="'Topics'!A628" display="T38.03"/>
    <hyperlink ref="D629" location="'Topics'!A629" display="T38.04"/>
    <hyperlink ref="D630" location="'Topics'!A630" display="T38.05"/>
    <hyperlink ref="D631" location="'Topics'!A631" display="T38.06"/>
    <hyperlink ref="D632" location="'Topics'!A632" display="T38.07"/>
    <hyperlink ref="D633" location="'Topics'!A633" display="T38.08"/>
    <hyperlink ref="D634" location="'Topics'!A634" display="T38.09"/>
    <hyperlink ref="D635" location="'Topics'!A635" display="T38.10"/>
    <hyperlink ref="D636" location="'Topics'!A636" display="T38.11"/>
    <hyperlink ref="D637" location="'Topics'!A637" display="T38.12"/>
    <hyperlink ref="D638" location="'Topics'!A638" display="T38.13"/>
    <hyperlink ref="D639" location="'Topics'!A639" display="T38.14"/>
    <hyperlink ref="D640" location="'Topics'!A640" display="T38.15"/>
    <hyperlink ref="D641" location="'Topics'!A641" display="T38.16"/>
    <hyperlink ref="D642" location="'Topics'!A642" display="T38.17"/>
    <hyperlink ref="D643" location="'Topics'!A643" display="T38.18"/>
    <hyperlink ref="D644" location="'Topics'!A644" display="T39.01"/>
    <hyperlink ref="D645" location="'Topics'!A645" display="T39.02"/>
    <hyperlink ref="D646" location="'Topics'!A646" display="T39.03"/>
    <hyperlink ref="D647" location="'Topics'!A647" display="T39.04"/>
    <hyperlink ref="D648" location="'Topics'!A648" display="T39.05"/>
    <hyperlink ref="D649" location="'Topics'!A649" display="T39.06"/>
    <hyperlink ref="D650" location="'Topics'!A650" display="T39.07"/>
    <hyperlink ref="D651" location="'Topics'!A651" display="T39.08"/>
    <hyperlink ref="D652" location="'Topics'!A652" display="T39.09"/>
    <hyperlink ref="D653" location="'Topics'!A653" display="T39.10"/>
    <hyperlink ref="D654" location="'Topics'!A654" display="T39.11"/>
    <hyperlink ref="D655" location="'Topics'!A655" display="T39.12"/>
    <hyperlink ref="D656" location="'Topics'!A656" display="T39.13"/>
    <hyperlink ref="D657" location="'Topics'!A657" display="T39.14"/>
    <hyperlink ref="D658" location="'Topics'!A658" display="T39.15"/>
    <hyperlink ref="D659" location="'Topics'!A659" display="T39.16"/>
    <hyperlink ref="D660" location="'Topics'!A660" display="T39.17"/>
    <hyperlink ref="D661" location="'Topics'!A661" display="T39.18"/>
    <hyperlink ref="D662" location="'Topics'!A662" display="T39.19"/>
    <hyperlink ref="D663" location="'Topics'!A663" display="T39.20"/>
    <hyperlink ref="D664" location="'Topics'!A664" display="T39.21"/>
    <hyperlink ref="D665" location="'Topics'!A665" display="T39.22"/>
    <hyperlink ref="D666" location="'Topics'!A666" display="T40.01"/>
    <hyperlink ref="D667" location="'Topics'!A667" display="T40.02"/>
    <hyperlink ref="D668" location="'Topics'!A668" display="T40.03"/>
    <hyperlink ref="D669" location="'Topics'!A669" display="T40.04"/>
    <hyperlink ref="D670" location="'Topics'!A670" display="T40.05"/>
    <hyperlink ref="D671" location="'Topics'!A671" display="T40.06"/>
    <hyperlink ref="D672" location="'Topics'!A672" display="T40.07"/>
    <hyperlink ref="D673" location="'Topics'!A673" display="T40.08"/>
    <hyperlink ref="D674" location="'Topics'!A674" display="T40.09"/>
    <hyperlink ref="D675" location="'Topics'!A675" display="T40.10"/>
    <hyperlink ref="D676" location="'Topics'!A676" display="T40.11"/>
    <hyperlink ref="D677" location="'Topics'!A677" display="T40.12"/>
    <hyperlink ref="D678" location="'Topics'!A678" display="T40.13"/>
    <hyperlink ref="D679" location="'Topics'!A679" display="T40.14"/>
    <hyperlink ref="D680" location="'Topics'!A680" display="T40.15"/>
    <hyperlink ref="D681" location="'Topics'!A681" display="T40.16"/>
    <hyperlink ref="D682" location="'Topics'!A682" display="T40.17"/>
    <hyperlink ref="D683" location="'Topics'!A683" display="T40.18"/>
  </hyperlinks>
  <pageMargins left="0.7" right="0.7" top="0.75" bottom="0.75" header="0.3" footer="0.3"/>
  <tableParts count="1">
    <tablePart r:id="Rbde66fcb3096436b"/>
  </tableParts>
</worksheet>
</file>

<file path=xl/worksheets/sheet8.xml><?xml version="1.0" encoding="utf-8"?>
<x:worksheet xmlns:x="http://schemas.openxmlformats.org/spreadsheetml/2006/main">
  <x:sheetPr>
    <x:tabColor rgb="FF355F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219999313354492" hidden="0" customWidth="1"/>
    <x:col min="2" max="2" width="35" hidden="0" customWidth="1"/>
    <x:col min="3" max="3" width="66.66999816894531" hidden="0" customWidth="1"/>
    <x:col min="4" max="4" width="55.560001373291016" hidden="0" customWidth="1"/>
    <x:col min="5" max="5" width="47.22000122070312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Relationship meanings, overlaps and sources</x:v>
      </x:c>
      <x:c r="B2" s="2"/>
      <x:c r="C2" s="2"/>
      <x:c r="D2" s="2"/>
      <x:c r="E2" s="2"/>
    </x:row>
    <x:row r="3">
      <x:c r="A3" s="4" t="str">
        <x:v>The original inventory is conversation-sourced. Relationship explanations and learning sequences are authored curriculum design.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2" customHeight="1">
      <x:c r="A5" s="8" t="str">
        <x:v>Record type</x:v>
      </x:c>
      <x:c r="B5" s="8" t="str">
        <x:v>Name / ID</x:v>
      </x:c>
      <x:c r="C5" s="8" t="str">
        <x:v>Definition / reference</x:v>
      </x:c>
      <x:c r="D5" s="8" t="str">
        <x:v>Context</x:v>
      </x:c>
      <x:c r="E5" s="8" t="str">
        <x:v>Interpretation</x:v>
      </x:c>
    </x:row>
    <x:row r="6" ht="68" customHeight="1">
      <x:c r="A6" s="10" t="str">
        <x:v>Relationship</x:v>
      </x:c>
      <x:c r="B6" s="10" t="str">
        <x:v>PART_OF</x:v>
      </x:c>
      <x:c r="C6" s="10" t="str">
        <x:v>Taxonomy membership only. Not a prerequisite or causal claim.</x:v>
      </x:c>
      <x:c r="D6" s="10" t="str"/>
      <x:c r="E6" s="10" t="str">
        <x:v>Authored mapping taxonomy</x:v>
      </x:c>
    </x:row>
    <x:row r="7" ht="68" customHeight="1">
      <x:c r="A7" s="9" t="str">
        <x:v>Relationship</x:v>
      </x:c>
      <x:c r="B7" s="9" t="str">
        <x:v>DEEPENS</x:v>
      </x:c>
      <x:c r="C7" s="9" t="str">
        <x:v>An atomic concept inside a preserved grouped curriculum item.</x:v>
      </x:c>
      <x:c r="D7" s="9" t="str"/>
      <x:c r="E7" s="9" t="str">
        <x:v>Authored mapping taxonomy</x:v>
      </x:c>
    </x:row>
    <x:row r="8" ht="68" customHeight="1">
      <x:c r="A8" s="10" t="str">
        <x:v>Relationship</x:v>
      </x:c>
      <x:c r="B8" s="10" t="str">
        <x:v>EXPLORE_WITH</x:v>
      </x:c>
      <x:c r="C8" s="10" t="str">
        <x:v>Suggested topical companion. No causal or calculation claim.</x:v>
      </x:c>
      <x:c r="D8" s="10" t="str"/>
      <x:c r="E8" s="10" t="str">
        <x:v>Authored mapping taxonomy</x:v>
      </x:c>
    </x:row>
    <x:row r="9" ht="68" customHeight="1">
      <x:c r="A9" s="9" t="str">
        <x:v>Relationship</x:v>
      </x:c>
      <x:c r="B9" s="9" t="str">
        <x:v>RECOMMENDED_BEFORE</x:v>
      </x:c>
      <x:c r="C9" s="9" t="str">
        <x:v>Suggested learning preparation. An arrow points from preparation to the target topic.</x:v>
      </x:c>
      <x:c r="D9" s="9" t="str"/>
      <x:c r="E9" s="9" t="str">
        <x:v>Authored mapping taxonomy</x:v>
      </x:c>
    </x:row>
    <x:row r="10" ht="68" customHeight="1">
      <x:c r="A10" s="10" t="str">
        <x:v>Relationship</x:v>
      </x:c>
      <x:c r="B10" s="10" t="str">
        <x:v>CALCULATION_INPUT</x:v>
      </x:c>
      <x:c r="C10" s="10" t="str">
        <x:v>The source contributes to a calculation or model for the target.</x:v>
      </x:c>
      <x:c r="D10" s="10" t="str"/>
      <x:c r="E10" s="10" t="str">
        <x:v>Authored mapping taxonomy</x:v>
      </x:c>
    </x:row>
    <x:row r="11" ht="68" customHeight="1">
      <x:c r="A11" s="9" t="str">
        <x:v>Relationship</x:v>
      </x:c>
      <x:c r="B11" s="9" t="str">
        <x:v>DISCOUNTED_AT</x:v>
      </x:c>
      <x:c r="C11" s="9" t="str">
        <x:v>A cash-flow claim is paired with a matching discount rate.</x:v>
      </x:c>
      <x:c r="D11" s="9" t="str"/>
      <x:c r="E11" s="9" t="str">
        <x:v>Authored mapping taxonomy</x:v>
      </x:c>
    </x:row>
    <x:row r="12" ht="68" customHeight="1">
      <x:c r="A12" s="10" t="str">
        <x:v>Relationship</x:v>
      </x:c>
      <x:c r="B12" s="10" t="str">
        <x:v>AFFECTS</x:v>
      </x:c>
      <x:c r="C12" s="10" t="str">
        <x:v>The source can influence the target, subject to the stated conditions.</x:v>
      </x:c>
      <x:c r="D12" s="10" t="str"/>
      <x:c r="E12" s="10" t="str">
        <x:v>Authored mapping taxonomy</x:v>
      </x:c>
    </x:row>
    <x:row r="13" ht="68" customHeight="1">
      <x:c r="A13" s="9" t="str">
        <x:v>Relationship</x:v>
      </x:c>
      <x:c r="B13" s="9" t="str">
        <x:v>COMPONENT_OF</x:v>
      </x:c>
      <x:c r="C13" s="9" t="str">
        <x:v>The source forms part of the specified target measure or balance.</x:v>
      </x:c>
      <x:c r="D13" s="9" t="str"/>
      <x:c r="E13" s="9" t="str">
        <x:v>Authored mapping taxonomy</x:v>
      </x:c>
    </x:row>
    <x:row r="14" ht="68" customHeight="1">
      <x:c r="A14" s="10" t="str">
        <x:v>Relationship</x:v>
      </x:c>
      <x:c r="B14" s="10" t="str">
        <x:v>PRACTISES</x:v>
      </x:c>
      <x:c r="C14" s="10" t="str">
        <x:v>An applied case exercises the target concept.</x:v>
      </x:c>
      <x:c r="D14" s="10" t="str"/>
      <x:c r="E14" s="10" t="str">
        <x:v>Authored mapping taxonomy</x:v>
      </x:c>
    </x:row>
    <x:row r="15" ht="68" customHeight="1">
      <x:c r="A15" s="9" t="str">
        <x:v>Relationship</x:v>
      </x:c>
      <x:c r="B15" s="9" t="str">
        <x:v>CONTRASTS_WITH</x:v>
      </x:c>
      <x:c r="C15" s="9" t="str">
        <x:v>The pair helps explain a substantive distinction.</x:v>
      </x:c>
      <x:c r="D15" s="9" t="str"/>
      <x:c r="E15" s="9" t="str">
        <x:v>Authored mapping taxonomy</x:v>
      </x:c>
    </x:row>
    <x:row r="16" ht="68" customHeight="1">
      <x:c r="A16" s="10" t="str">
        <x:v>Relationship</x:v>
      </x:c>
      <x:c r="B16" s="10" t="str">
        <x:v>USES_SECTOR_MODEL</x:v>
      </x:c>
      <x:c r="C16" s="10" t="str">
        <x:v>A sector applies a specialist measure, model or economic convention.</x:v>
      </x:c>
      <x:c r="D16" s="10" t="str"/>
      <x:c r="E16" s="10" t="str">
        <x:v>Authored mapping taxonomy</x:v>
      </x:c>
    </x:row>
    <x:row r="17" ht="68" customHeight="1">
      <x:c r="A17" s="9" t="str">
        <x:v>Relationship</x:v>
      </x:c>
      <x:c r="B17" s="9" t="str">
        <x:v>INFORMS</x:v>
      </x:c>
      <x:c r="C17" s="9" t="str">
        <x:v>Read the arrow as: source informs target. The explanation and conditions define its precise meaning.</x:v>
      </x:c>
      <x:c r="D17" s="9" t="str"/>
      <x:c r="E17" s="9" t="str">
        <x:v>Authored mapping taxonomy</x:v>
      </x:c>
    </x:row>
    <x:row r="18" ht="68" customHeight="1">
      <x:c r="A18" s="10" t="str">
        <x:v>Relationship</x:v>
      </x:c>
      <x:c r="B18" s="10" t="str">
        <x:v>GUIDES</x:v>
      </x:c>
      <x:c r="C18" s="10" t="str">
        <x:v>Read the arrow as: source guides target. The explanation and conditions define its precise meaning.</x:v>
      </x:c>
      <x:c r="D18" s="10" t="str"/>
      <x:c r="E18" s="10" t="str">
        <x:v>Authored mapping taxonomy</x:v>
      </x:c>
    </x:row>
    <x:row r="19" ht="68" customHeight="1">
      <x:c r="A19" s="9" t="str">
        <x:v>Relationship</x:v>
      </x:c>
      <x:c r="B19" s="9" t="str">
        <x:v>MEASURES</x:v>
      </x:c>
      <x:c r="C19" s="9" t="str">
        <x:v>Read the arrow as: source measures target. The explanation and conditions define its precise meaning.</x:v>
      </x:c>
      <x:c r="D19" s="9" t="str"/>
      <x:c r="E19" s="9" t="str">
        <x:v>Authored mapping taxonomy</x:v>
      </x:c>
    </x:row>
    <x:row r="20" ht="68" customHeight="1">
      <x:c r="A20" s="10" t="str">
        <x:v>Relationship</x:v>
      </x:c>
      <x:c r="B20" s="10" t="str">
        <x:v>EXPLAINS</x:v>
      </x:c>
      <x:c r="C20" s="10" t="str">
        <x:v>Read the arrow as: source explains target. The explanation and conditions define its precise meaning.</x:v>
      </x:c>
      <x:c r="D20" s="10" t="str"/>
      <x:c r="E20" s="10" t="str">
        <x:v>Authored mapping taxonomy</x:v>
      </x:c>
    </x:row>
    <x:row r="21" ht="68" customHeight="1">
      <x:c r="A21" s="9" t="str">
        <x:v>Relationship</x:v>
      </x:c>
      <x:c r="B21" s="9" t="str">
        <x:v>ENABLES</x:v>
      </x:c>
      <x:c r="C21" s="9" t="str">
        <x:v>Read the arrow as: source enables target. The explanation and conditions define its precise meaning.</x:v>
      </x:c>
      <x:c r="D21" s="9" t="str"/>
      <x:c r="E21" s="9" t="str">
        <x:v>Authored mapping taxonomy</x:v>
      </x:c>
    </x:row>
    <x:row r="22" ht="68" customHeight="1">
      <x:c r="A22" s="10" t="str">
        <x:v>Relationship</x:v>
      </x:c>
      <x:c r="B22" s="10" t="str">
        <x:v>CREATES</x:v>
      </x:c>
      <x:c r="C22" s="10" t="str">
        <x:v>Read the arrow as: source creates target. The explanation and conditions define its precise meaning.</x:v>
      </x:c>
      <x:c r="D22" s="10" t="str"/>
      <x:c r="E22" s="10" t="str">
        <x:v>Authored mapping taxonomy</x:v>
      </x:c>
    </x:row>
    <x:row r="23" ht="68" customHeight="1">
      <x:c r="A23" s="9" t="str">
        <x:v>Relationship</x:v>
      </x:c>
      <x:c r="B23" s="9" t="str">
        <x:v>SUBTRACTED_IN</x:v>
      </x:c>
      <x:c r="C23" s="9" t="str">
        <x:v>Read the arrow as: source subtracted in target. The explanation and conditions define its precise meaning.</x:v>
      </x:c>
      <x:c r="D23" s="9" t="str"/>
      <x:c r="E23" s="9" t="str">
        <x:v>Authored mapping taxonomy</x:v>
      </x:c>
    </x:row>
    <x:row r="24" ht="68" customHeight="1">
      <x:c r="A24" s="10" t="str">
        <x:v>Relationship</x:v>
      </x:c>
      <x:c r="B24" s="10" t="str">
        <x:v>MEASURED_BY</x:v>
      </x:c>
      <x:c r="C24" s="10" t="str">
        <x:v>Read the arrow as: source measured by target. The explanation and conditions define its precise meaning.</x:v>
      </x:c>
      <x:c r="D24" s="10" t="str"/>
      <x:c r="E24" s="10" t="str">
        <x:v>Authored mapping taxonomy</x:v>
      </x:c>
    </x:row>
    <x:row r="25" ht="68" customHeight="1">
      <x:c r="A25" s="9" t="str">
        <x:v>Relationship</x:v>
      </x:c>
      <x:c r="B25" s="9" t="str">
        <x:v>MANAGES</x:v>
      </x:c>
      <x:c r="C25" s="9" t="str">
        <x:v>Read the arrow as: source manages target. The explanation and conditions define its precise meaning.</x:v>
      </x:c>
      <x:c r="D25" s="9" t="str"/>
      <x:c r="E25" s="9" t="str">
        <x:v>Authored mapping taxonomy</x:v>
      </x:c>
    </x:row>
    <x:row r="26" ht="68" customHeight="1">
      <x:c r="A26" s="10" t="str">
        <x:v>Relationship</x:v>
      </x:c>
      <x:c r="B26" s="10" t="str">
        <x:v>FINANCES</x:v>
      </x:c>
      <x:c r="C26" s="10" t="str">
        <x:v>Read the arrow as: source finances target. The explanation and conditions define its precise meaning.</x:v>
      </x:c>
      <x:c r="D26" s="10" t="str"/>
      <x:c r="E26" s="10" t="str">
        <x:v>Authored mapping taxonomy</x:v>
      </x:c>
    </x:row>
    <x:row r="27" ht="68" customHeight="1">
      <x:c r="A27" s="9" t="str">
        <x:v>Relationship</x:v>
      </x:c>
      <x:c r="B27" s="9" t="str">
        <x:v>ASSESSED_FOR</x:v>
      </x:c>
      <x:c r="C27" s="9" t="str">
        <x:v>Read the arrow as: source assessed for target. The explanation and conditions define its precise meaning.</x:v>
      </x:c>
      <x:c r="D27" s="9" t="str"/>
      <x:c r="E27" s="9" t="str">
        <x:v>Authored mapping taxonomy</x:v>
      </x:c>
    </x:row>
    <x:row r="28" ht="68" customHeight="1">
      <x:c r="A28" s="10" t="str">
        <x:v>Relationship</x:v>
      </x:c>
      <x:c r="B28" s="10" t="str">
        <x:v>DEDUCTED_IN</x:v>
      </x:c>
      <x:c r="C28" s="10" t="str">
        <x:v>Read the arrow as: source deducted in target. The explanation and conditions define its precise meaning.</x:v>
      </x:c>
      <x:c r="D28" s="10" t="str"/>
      <x:c r="E28" s="10" t="str">
        <x:v>Authored mapping taxonomy</x:v>
      </x:c>
    </x:row>
    <x:row r="29" ht="68" customHeight="1">
      <x:c r="A29" s="9" t="str">
        <x:v>Relationship</x:v>
      </x:c>
      <x:c r="B29" s="9" t="str">
        <x:v>ADDED_BACK_IN</x:v>
      </x:c>
      <x:c r="C29" s="9" t="str">
        <x:v>Read the arrow as: source added back in target. The explanation and conditions define its precise meaning.</x:v>
      </x:c>
      <x:c r="D29" s="9" t="str"/>
      <x:c r="E29" s="9" t="str">
        <x:v>Authored mapping taxonomy</x:v>
      </x:c>
    </x:row>
    <x:row r="30" ht="68" customHeight="1">
      <x:c r="A30" s="10" t="str">
        <x:v>Relationship</x:v>
      </x:c>
      <x:c r="B30" s="10" t="str">
        <x:v>EXCLUDED_FROM</x:v>
      </x:c>
      <x:c r="C30" s="10" t="str">
        <x:v>Read the arrow as: source excluded from target. The explanation and conditions define its precise meaning.</x:v>
      </x:c>
      <x:c r="D30" s="10" t="str"/>
      <x:c r="E30" s="10" t="str">
        <x:v>Authored mapping taxonomy</x:v>
      </x:c>
    </x:row>
    <x:row r="31" ht="68" customHeight="1">
      <x:c r="A31" s="9" t="str">
        <x:v>Relationship</x:v>
      </x:c>
      <x:c r="B31" s="9" t="str">
        <x:v>VALUED_USING</x:v>
      </x:c>
      <x:c r="C31" s="9" t="str">
        <x:v>Read the arrow as: source valued using target. The explanation and conditions define its precise meaning.</x:v>
      </x:c>
      <x:c r="D31" s="9" t="str"/>
      <x:c r="E31" s="9" t="str">
        <x:v>Authored mapping taxonomy</x:v>
      </x:c>
    </x:row>
    <x:row r="32" ht="68" customHeight="1">
      <x:c r="A32" s="10" t="str">
        <x:v>Relationship</x:v>
      </x:c>
      <x:c r="B32" s="10" t="str">
        <x:v>ESTIMATES</x:v>
      </x:c>
      <x:c r="C32" s="10" t="str">
        <x:v>Read the arrow as: source estimates target. The explanation and conditions define its precise meaning.</x:v>
      </x:c>
      <x:c r="D32" s="10" t="str"/>
      <x:c r="E32" s="10" t="str">
        <x:v>Authored mapping taxonomy</x:v>
      </x:c>
    </x:row>
    <x:row r="33" ht="68" customHeight="1">
      <x:c r="A33" s="9" t="str">
        <x:v>Relationship</x:v>
      </x:c>
      <x:c r="B33" s="9" t="str">
        <x:v>RECONCILED_IN</x:v>
      </x:c>
      <x:c r="C33" s="9" t="str">
        <x:v>Read the arrow as: source reconciled in target. The explanation and conditions define its precise meaning.</x:v>
      </x:c>
      <x:c r="D33" s="9" t="str"/>
      <x:c r="E33" s="9" t="str">
        <x:v>Authored mapping taxonomy</x:v>
      </x:c>
    </x:row>
    <x:row r="34" ht="68" customHeight="1">
      <x:c r="A34" s="10" t="str">
        <x:v>Relationship</x:v>
      </x:c>
      <x:c r="B34" s="10" t="str">
        <x:v>ASSESSED_IN</x:v>
      </x:c>
      <x:c r="C34" s="10" t="str">
        <x:v>Read the arrow as: source assessed in target. The explanation and conditions define its precise meaning.</x:v>
      </x:c>
      <x:c r="D34" s="10" t="str"/>
      <x:c r="E34" s="10" t="str">
        <x:v>Authored mapping taxonomy</x:v>
      </x:c>
    </x:row>
    <x:row r="35" ht="68" customHeight="1">
      <x:c r="A35" s="9" t="str">
        <x:v>Relationship</x:v>
      </x:c>
      <x:c r="B35" s="9" t="str">
        <x:v>QUALIFIES</x:v>
      </x:c>
      <x:c r="C35" s="9" t="str">
        <x:v>Read the arrow as: source qualifies target. The explanation and conditions define its precise meaning.</x:v>
      </x:c>
      <x:c r="D35" s="9" t="str"/>
      <x:c r="E35" s="9" t="str">
        <x:v>Authored mapping taxonomy</x:v>
      </x:c>
    </x:row>
    <x:row r="36" ht="68" customHeight="1">
      <x:c r="A36" s="10" t="str">
        <x:v>Relationship</x:v>
      </x:c>
      <x:c r="B36" s="10" t="str">
        <x:v>NON_EQUITY_CLAIM</x:v>
      </x:c>
      <x:c r="C36" s="10" t="str">
        <x:v>Read the arrow as: source non equity claim target. The explanation and conditions define its precise meaning.</x:v>
      </x:c>
      <x:c r="D36" s="10" t="str"/>
      <x:c r="E36" s="10" t="str">
        <x:v>Authored mapping taxonomy</x:v>
      </x:c>
    </x:row>
    <x:row r="37" ht="68" customHeight="1">
      <x:c r="A37" s="9" t="str">
        <x:v>Relationship</x:v>
      </x:c>
      <x:c r="B37" s="9" t="str">
        <x:v>USES</x:v>
      </x:c>
      <x:c r="C37" s="9" t="str">
        <x:v>Read the arrow as: source uses target. The explanation and conditions define its precise meaning.</x:v>
      </x:c>
      <x:c r="D37" s="9" t="str"/>
      <x:c r="E37" s="9" t="str">
        <x:v>Authored mapping taxonomy</x:v>
      </x:c>
    </x:row>
    <x:row r="38" ht="68" customHeight="1">
      <x:c r="A38" s="10" t="str">
        <x:v>Relationship</x:v>
      </x:c>
      <x:c r="B38" s="10" t="str">
        <x:v>COMPARES_WITH</x:v>
      </x:c>
      <x:c r="C38" s="10" t="str">
        <x:v>Read the arrow as: source compares with target. The explanation and conditions define its precise meaning.</x:v>
      </x:c>
      <x:c r="D38" s="10" t="str"/>
      <x:c r="E38" s="10" t="str">
        <x:v>Authored mapping taxonomy</x:v>
      </x:c>
    </x:row>
    <x:row r="39" ht="68" customHeight="1">
      <x:c r="A39" s="9" t="str">
        <x:v>Relationship</x:v>
      </x:c>
      <x:c r="B39" s="9" t="str">
        <x:v>CONSTRAINS</x:v>
      </x:c>
      <x:c r="C39" s="9" t="str">
        <x:v>Read the arrow as: source constrains target. The explanation and conditions define its precise meaning.</x:v>
      </x:c>
      <x:c r="D39" s="9" t="str"/>
      <x:c r="E39" s="9" t="str">
        <x:v>Authored mapping taxonomy</x:v>
      </x:c>
    </x:row>
    <x:row r="40" ht="68" customHeight="1">
      <x:c r="A40" s="10" t="str">
        <x:v>Relationship</x:v>
      </x:c>
      <x:c r="B40" s="10" t="str">
        <x:v>REFINES</x:v>
      </x:c>
      <x:c r="C40" s="10" t="str">
        <x:v>Read the arrow as: source refines target. The explanation and conditions define its precise meaning.</x:v>
      </x:c>
      <x:c r="D40" s="10" t="str"/>
      <x:c r="E40" s="10" t="str">
        <x:v>Authored mapping taxonomy</x:v>
      </x:c>
    </x:row>
    <x:row r="41" ht="68" customHeight="1">
      <x:c r="A41" s="9" t="str">
        <x:v>Relationship</x:v>
      </x:c>
      <x:c r="B41" s="9" t="str">
        <x:v>EXPLORES</x:v>
      </x:c>
      <x:c r="C41" s="9" t="str">
        <x:v>Read the arrow as: source explores target. The explanation and conditions define its precise meaning.</x:v>
      </x:c>
      <x:c r="D41" s="9" t="str"/>
      <x:c r="E41" s="9" t="str">
        <x:v>Authored mapping taxonomy</x:v>
      </x:c>
    </x:row>
    <x:row r="42" ht="68" customHeight="1">
      <x:c r="A42" s="10" t="str">
        <x:v>Relationship</x:v>
      </x:c>
      <x:c r="B42" s="10" t="str">
        <x:v>REQUIRES_COMPARABILITY</x:v>
      </x:c>
      <x:c r="C42" s="10" t="str">
        <x:v>Read the arrow as: source requires comparability target. The explanation and conditions define its precise meaning.</x:v>
      </x:c>
      <x:c r="D42" s="10" t="str"/>
      <x:c r="E42" s="10" t="str">
        <x:v>Authored mapping taxonomy</x:v>
      </x:c>
    </x:row>
    <x:row r="43" ht="68" customHeight="1">
      <x:c r="A43" s="9" t="str">
        <x:v>Relationship</x:v>
      </x:c>
      <x:c r="B43" s="9" t="str">
        <x:v>DENOMINATOR_FOR</x:v>
      </x:c>
      <x:c r="C43" s="9" t="str">
        <x:v>Read the arrow as: source denominator for target. The explanation and conditions define its precise meaning.</x:v>
      </x:c>
      <x:c r="D43" s="9" t="str"/>
      <x:c r="E43" s="9" t="str">
        <x:v>Authored mapping taxonomy</x:v>
      </x:c>
    </x:row>
    <x:row r="44" ht="68" customHeight="1">
      <x:c r="A44" s="10" t="str">
        <x:v>Relationship</x:v>
      </x:c>
      <x:c r="B44" s="10" t="str">
        <x:v>NUMERATOR_FOR</x:v>
      </x:c>
      <x:c r="C44" s="10" t="str">
        <x:v>Read the arrow as: source numerator for target. The explanation and conditions define its precise meaning.</x:v>
      </x:c>
      <x:c r="D44" s="10" t="str"/>
      <x:c r="E44" s="10" t="str">
        <x:v>Authored mapping taxonomy</x:v>
      </x:c>
    </x:row>
    <x:row r="45" ht="68" customHeight="1">
      <x:c r="A45" s="9" t="str">
        <x:v>Relationship</x:v>
      </x:c>
      <x:c r="B45" s="9" t="str">
        <x:v>SUBJECT_TO</x:v>
      </x:c>
      <x:c r="C45" s="9" t="str">
        <x:v>Read the arrow as: source subject to target. The explanation and conditions define its precise meaning.</x:v>
      </x:c>
      <x:c r="D45" s="9" t="str"/>
      <x:c r="E45" s="9" t="str">
        <x:v>Authored mapping taxonomy</x:v>
      </x:c>
    </x:row>
    <x:row r="46" ht="68" customHeight="1">
      <x:c r="A46" s="10" t="str">
        <x:v>Relationship</x:v>
      </x:c>
      <x:c r="B46" s="10" t="str">
        <x:v>TRANSFERS_TO</x:v>
      </x:c>
      <x:c r="C46" s="10" t="str">
        <x:v>Read the arrow as: source transfers to target. The explanation and conditions define its precise meaning.</x:v>
      </x:c>
      <x:c r="D46" s="10" t="str"/>
      <x:c r="E46" s="10" t="str">
        <x:v>Authored mapping taxonomy</x:v>
      </x:c>
    </x:row>
    <x:row r="47" ht="68" customHeight="1">
      <x:c r="A47" s="9" t="str">
        <x:v>Relationship</x:v>
      </x:c>
      <x:c r="B47" s="9" t="str">
        <x:v>REPORTED_UNDER</x:v>
      </x:c>
      <x:c r="C47" s="9" t="str">
        <x:v>Read the arrow as: source reported under target. The explanation and conditions define its precise meaning.</x:v>
      </x:c>
      <x:c r="D47" s="9" t="str"/>
      <x:c r="E47" s="9" t="str">
        <x:v>Authored mapping taxonomy</x:v>
      </x:c>
    </x:row>
    <x:row r="48" ht="68" customHeight="1">
      <x:c r="A48" s="10" t="str">
        <x:v>Relationship</x:v>
      </x:c>
      <x:c r="B48" s="10" t="str">
        <x:v>CREATES_OR_REMEASURES</x:v>
      </x:c>
      <x:c r="C48" s="10" t="str">
        <x:v>Read the arrow as: source creates or remeasures target. The explanation and conditions define its precise meaning.</x:v>
      </x:c>
      <x:c r="D48" s="10" t="str"/>
      <x:c r="E48" s="10" t="str">
        <x:v>Authored mapping taxonomy</x:v>
      </x:c>
    </x:row>
    <x:row r="49" ht="68" customHeight="1">
      <x:c r="A49" s="9" t="str">
        <x:v>Relationship</x:v>
      </x:c>
      <x:c r="B49" s="9" t="str">
        <x:v>APPLIED_IN</x:v>
      </x:c>
      <x:c r="C49" s="9" t="str">
        <x:v>Read the arrow as: source applied in target. The explanation and conditions define its precise meaning.</x:v>
      </x:c>
      <x:c r="D49" s="9" t="str"/>
      <x:c r="E49" s="9" t="str">
        <x:v>Authored mapping taxonomy</x:v>
      </x:c>
    </x:row>
    <x:row r="50" ht="68" customHeight="1">
      <x:c r="A50" s="10" t="str">
        <x:v>Relationship</x:v>
      </x:c>
      <x:c r="B50" s="10" t="str">
        <x:v>REPORTED_IN</x:v>
      </x:c>
      <x:c r="C50" s="10" t="str">
        <x:v>Read the arrow as: source reported in target. The explanation and conditions define its precise meaning.</x:v>
      </x:c>
      <x:c r="D50" s="10" t="str"/>
      <x:c r="E50" s="10" t="str">
        <x:v>Authored mapping taxonomy</x:v>
      </x:c>
    </x:row>
    <x:row r="51" ht="68" customHeight="1">
      <x:c r="A51" s="9" t="str">
        <x:v>Relationship</x:v>
      </x:c>
      <x:c r="B51" s="9" t="str">
        <x:v>VALUED_IN</x:v>
      </x:c>
      <x:c r="C51" s="9" t="str">
        <x:v>Read the arrow as: source valued in target. The explanation and conditions define its precise meaning.</x:v>
      </x:c>
      <x:c r="D51" s="9" t="str"/>
      <x:c r="E51" s="9" t="str">
        <x:v>Authored mapping taxonomy</x:v>
      </x:c>
    </x:row>
    <x:row r="52" ht="68" customHeight="1">
      <x:c r="A52" s="10" t="str">
        <x:v>Relationship</x:v>
      </x:c>
      <x:c r="B52" s="10" t="str">
        <x:v>ESTIMATED_WITH</x:v>
      </x:c>
      <x:c r="C52" s="10" t="str">
        <x:v>Read the arrow as: source estimated with target. The explanation and conditions define its precise meaning.</x:v>
      </x:c>
      <x:c r="D52" s="10" t="str"/>
      <x:c r="E52" s="10" t="str">
        <x:v>Authored mapping taxonomy</x:v>
      </x:c>
    </x:row>
    <x:row r="53" ht="68" customHeight="1">
      <x:c r="A53" s="9" t="str">
        <x:v>Relationship</x:v>
      </x:c>
      <x:c r="B53" s="9" t="str">
        <x:v>ADJUSTS</x:v>
      </x:c>
      <x:c r="C53" s="9" t="str">
        <x:v>Read the arrow as: source adjusts target. The explanation and conditions define its precise meaning.</x:v>
      </x:c>
      <x:c r="D53" s="9" t="str"/>
      <x:c r="E53" s="9" t="str">
        <x:v>Authored mapping taxonomy</x:v>
      </x:c>
    </x:row>
    <x:row r="54" ht="68" customHeight="1">
      <x:c r="A54" s="10" t="str">
        <x:v>Relationship</x:v>
      </x:c>
      <x:c r="B54" s="10" t="str">
        <x:v>ASSESSED_WITH</x:v>
      </x:c>
      <x:c r="C54" s="10" t="str">
        <x:v>Read the arrow as: source assessed with target. The explanation and conditions define its precise meaning.</x:v>
      </x:c>
      <x:c r="D54" s="10" t="str"/>
      <x:c r="E54" s="10" t="str">
        <x:v>Authored mapping taxonomy</x:v>
      </x:c>
    </x:row>
    <x:row r="55" ht="68" customHeight="1">
      <x:c r="A55" s="9" t="str">
        <x:v>Relationship</x:v>
      </x:c>
      <x:c r="B55" s="9" t="str">
        <x:v>FILTERS</x:v>
      </x:c>
      <x:c r="C55" s="9" t="str">
        <x:v>Read the arrow as: source filters target. The explanation and conditions define its precise meaning.</x:v>
      </x:c>
      <x:c r="D55" s="9" t="str"/>
      <x:c r="E55" s="9" t="str">
        <x:v>Authored mapping taxonomy</x:v>
      </x:c>
    </x:row>
    <x:row r="56" ht="68" customHeight="1">
      <x:c r="A56" s="10" t="str">
        <x:v>Relationship</x:v>
      </x:c>
      <x:c r="B56" s="10" t="str">
        <x:v>ANALOGOUS_TO</x:v>
      </x:c>
      <x:c r="C56" s="10" t="str">
        <x:v>Read the arrow as: source analogous to target. The explanation and conditions define its precise meaning.</x:v>
      </x:c>
      <x:c r="D56" s="10" t="str"/>
      <x:c r="E56" s="10" t="str">
        <x:v>Authored mapping taxonomy</x:v>
      </x:c>
    </x:row>
    <x:row r="57" ht="68" customHeight="1">
      <x:c r="A57" s="9" t="str">
        <x:v>Relationship</x:v>
      </x:c>
      <x:c r="B57" s="9" t="str">
        <x:v>IMPLEMENTED_THROUGH</x:v>
      </x:c>
      <x:c r="C57" s="9" t="str">
        <x:v>Read the arrow as: source implemented through target. The explanation and conditions define its precise meaning.</x:v>
      </x:c>
      <x:c r="D57" s="9" t="str"/>
      <x:c r="E57" s="9" t="str">
        <x:v>Authored mapping taxonomy</x:v>
      </x:c>
    </x:row>
    <x:row r="58" ht="68" customHeight="1">
      <x:c r="A58" s="10" t="str">
        <x:v>Relationship</x:v>
      </x:c>
      <x:c r="B58" s="10" t="str">
        <x:v>FEEDS_MODEL</x:v>
      </x:c>
      <x:c r="C58" s="10" t="str">
        <x:v>Read the arrow as: source feeds model target. The explanation and conditions define its precise meaning.</x:v>
      </x:c>
      <x:c r="D58" s="10" t="str"/>
      <x:c r="E58" s="10" t="str">
        <x:v>Authored mapping taxonomy</x:v>
      </x:c>
    </x:row>
    <x:row r="59" ht="68" customHeight="1">
      <x:c r="A59" s="9" t="str">
        <x:v>Relationship</x:v>
      </x:c>
      <x:c r="B59" s="9" t="str">
        <x:v>EVALUATES</x:v>
      </x:c>
      <x:c r="C59" s="9" t="str">
        <x:v>Read the arrow as: source evaluates target. The explanation and conditions define its precise meaning.</x:v>
      </x:c>
      <x:c r="D59" s="9" t="str"/>
      <x:c r="E59" s="9" t="str">
        <x:v>Authored mapping taxonomy</x:v>
      </x:c>
    </x:row>
    <x:row r="60" ht="68" customHeight="1">
      <x:c r="A60" s="10" t="str">
        <x:v>Relationship</x:v>
      </x:c>
      <x:c r="B60" s="10" t="str">
        <x:v>MODELS</x:v>
      </x:c>
      <x:c r="C60" s="10" t="str">
        <x:v>Read the arrow as: source models target. The explanation and conditions define its precise meaning.</x:v>
      </x:c>
      <x:c r="D60" s="10" t="str"/>
      <x:c r="E60" s="10" t="str">
        <x:v>Authored mapping taxonomy</x:v>
      </x:c>
    </x:row>
    <x:row r="61" ht="68" customHeight="1">
      <x:c r="A61" s="9" t="str">
        <x:v>Relationship</x:v>
      </x:c>
      <x:c r="B61" s="9" t="str">
        <x:v>FORECASTS</x:v>
      </x:c>
      <x:c r="C61" s="9" t="str">
        <x:v>Read the arrow as: source forecasts target. The explanation and conditions define its precise meaning.</x:v>
      </x:c>
      <x:c r="D61" s="9" t="str"/>
      <x:c r="E61" s="9" t="str">
        <x:v>Authored mapping taxonomy</x:v>
      </x:c>
    </x:row>
    <x:row r="62" ht="68" customHeight="1">
      <x:c r="A62" s="10" t="str">
        <x:v>Relationship</x:v>
      </x:c>
      <x:c r="B62" s="10" t="str">
        <x:v>ARISES_IN</x:v>
      </x:c>
      <x:c r="C62" s="10" t="str">
        <x:v>Read the arrow as: source arises in target. The explanation and conditions define its precise meaning.</x:v>
      </x:c>
      <x:c r="D62" s="10" t="str"/>
      <x:c r="E62" s="10" t="str">
        <x:v>Authored mapping taxonomy</x:v>
      </x:c>
    </x:row>
    <x:row r="63" ht="68" customHeight="1">
      <x:c r="A63" s="9" t="str">
        <x:v>Relationship</x:v>
      </x:c>
      <x:c r="B63" s="9" t="str">
        <x:v>SUPPORTED_BY</x:v>
      </x:c>
      <x:c r="C63" s="9" t="str">
        <x:v>Read the arrow as: source supported by target. The explanation and conditions define its precise meaning.</x:v>
      </x:c>
      <x:c r="D63" s="9" t="str"/>
      <x:c r="E63" s="9" t="str">
        <x:v>Authored mapping taxonomy</x:v>
      </x:c>
    </x:row>
    <x:row r="64" ht="68" customHeight="1">
      <x:c r="A64" s="10" t="str">
        <x:v>Relationship</x:v>
      </x:c>
      <x:c r="B64" s="10" t="str">
        <x:v>EXPLAINED_BY</x:v>
      </x:c>
      <x:c r="C64" s="10" t="str">
        <x:v>Read the arrow as: source explained by target. The explanation and conditions define its precise meaning.</x:v>
      </x:c>
      <x:c r="D64" s="10" t="str"/>
      <x:c r="E64" s="10" t="str">
        <x:v>Authored mapping taxonomy</x:v>
      </x:c>
    </x:row>
    <x:row r="65" ht="68" customHeight="1">
      <x:c r="A65" s="9" t="str">
        <x:v>Relationship</x:v>
      </x:c>
      <x:c r="B65" s="9" t="str">
        <x:v>DECOMPOSES</x:v>
      </x:c>
      <x:c r="C65" s="9" t="str">
        <x:v>Read the arrow as: source decomposes target. The explanation and conditions define its precise meaning.</x:v>
      </x:c>
      <x:c r="D65" s="9" t="str"/>
      <x:c r="E65" s="9" t="str">
        <x:v>Authored mapping taxonomy</x:v>
      </x:c>
    </x:row>
    <x:row r="66" ht="68" customHeight="1">
      <x:c r="A66" s="10" t="str">
        <x:v>Relationship</x:v>
      </x:c>
      <x:c r="B66" s="10" t="str">
        <x:v>SUPPORTS</x:v>
      </x:c>
      <x:c r="C66" s="10" t="str">
        <x:v>Read the arrow as: source supports target. The explanation and conditions define its precise meaning.</x:v>
      </x:c>
      <x:c r="D66" s="10" t="str"/>
      <x:c r="E66" s="10" t="str">
        <x:v>Authored mapping taxonomy</x:v>
      </x:c>
    </x:row>
    <x:row r="67" ht="68" customHeight="1">
      <x:c r="A67" s="9" t="str">
        <x:v>Relationship</x:v>
      </x:c>
      <x:c r="B67" s="9" t="str">
        <x:v>TESTS</x:v>
      </x:c>
      <x:c r="C67" s="9" t="str">
        <x:v>Read the arrow as: source tests target. The explanation and conditions define its precise meaning.</x:v>
      </x:c>
      <x:c r="D67" s="9" t="str"/>
      <x:c r="E67" s="9" t="str">
        <x:v>Authored mapping taxonomy</x:v>
      </x:c>
    </x:row>
    <x:row r="68" ht="68" customHeight="1">
      <x:c r="A68" s="10" t="str">
        <x:v>Relationship</x:v>
      </x:c>
      <x:c r="B68" s="10" t="str">
        <x:v>EXIT_ROUTE</x:v>
      </x:c>
      <x:c r="C68" s="10" t="str">
        <x:v>Read the arrow as: source exit route target. The explanation and conditions define its precise meaning.</x:v>
      </x:c>
      <x:c r="D68" s="10" t="str"/>
      <x:c r="E68" s="10" t="str">
        <x:v>Authored mapping taxonomy</x:v>
      </x:c>
    </x:row>
    <x:row r="69" ht="68" customHeight="1">
      <x:c r="A69" s="9" t="str">
        <x:v>Relationship</x:v>
      </x:c>
      <x:c r="B69" s="9" t="str">
        <x:v>OPERATES_THROUGH</x:v>
      </x:c>
      <x:c r="C69" s="9" t="str">
        <x:v>Read the arrow as: source operates through target. The explanation and conditions define its precise meaning.</x:v>
      </x:c>
      <x:c r="D69" s="9" t="str"/>
      <x:c r="E69" s="9" t="str">
        <x:v>Authored mapping taxonomy</x:v>
      </x:c>
    </x:row>
    <x:row r="70" ht="68" customHeight="1">
      <x:c r="A70" s="10" t="str">
        <x:v>Relationship</x:v>
      </x:c>
      <x:c r="B70" s="10" t="str">
        <x:v>EXECUTED_IN</x:v>
      </x:c>
      <x:c r="C70" s="10" t="str">
        <x:v>Read the arrow as: source executed in target. The explanation and conditions define its precise meaning.</x:v>
      </x:c>
      <x:c r="D70" s="10" t="str"/>
      <x:c r="E70" s="10" t="str">
        <x:v>Authored mapping taxonomy</x:v>
      </x:c>
    </x:row>
    <x:row r="71" ht="68" customHeight="1">
      <x:c r="A71" s="9" t="str">
        <x:v>Relationship</x:v>
      </x:c>
      <x:c r="B71" s="9" t="str">
        <x:v>TESTED_BY</x:v>
      </x:c>
      <x:c r="C71" s="9" t="str">
        <x:v>Read the arrow as: source tested by target. The explanation and conditions define its precise meaning.</x:v>
      </x:c>
      <x:c r="D71" s="9" t="str"/>
      <x:c r="E71" s="9" t="str">
        <x:v>Authored mapping taxonomy</x:v>
      </x:c>
    </x:row>
    <x:row r="72" ht="68" customHeight="1">
      <x:c r="A72" s="10" t="str">
        <x:v>Relationship</x:v>
      </x:c>
      <x:c r="B72" s="10" t="str">
        <x:v>CALCULATION_TOOL</x:v>
      </x:c>
      <x:c r="C72" s="10" t="str">
        <x:v>Read the arrow as: source calculation tool target. The explanation and conditions define its precise meaning.</x:v>
      </x:c>
      <x:c r="D72" s="10" t="str"/>
      <x:c r="E72" s="10" t="str">
        <x:v>Authored mapping taxonomy</x:v>
      </x:c>
    </x:row>
    <x:row r="73" ht="68" customHeight="1">
      <x:c r="A73" s="9" t="str">
        <x:v>Relationship</x:v>
      </x:c>
      <x:c r="B73" s="9" t="str">
        <x:v>DISCOUNTS</x:v>
      </x:c>
      <x:c r="C73" s="9" t="str">
        <x:v>Read the arrow as: source discounts target. The explanation and conditions define its precise meaning.</x:v>
      </x:c>
      <x:c r="D73" s="9" t="str"/>
      <x:c r="E73" s="9" t="str">
        <x:v>Authored mapping taxonomy</x:v>
      </x:c>
    </x:row>
    <x:row r="74" ht="68" customHeight="1">
      <x:c r="A74" s="10" t="str">
        <x:v>Relationship</x:v>
      </x:c>
      <x:c r="B74" s="10" t="str">
        <x:v>MEASURES_SENSITIVITY</x:v>
      </x:c>
      <x:c r="C74" s="10" t="str">
        <x:v>Read the arrow as: source measures sensitivity target. The explanation and conditions define its precise meaning.</x:v>
      </x:c>
      <x:c r="D74" s="10" t="str"/>
      <x:c r="E74" s="10" t="str">
        <x:v>Authored mapping taxonomy</x:v>
      </x:c>
    </x:row>
    <x:row r="75" ht="68" customHeight="1">
      <x:c r="A75" s="9" t="str">
        <x:v>Relationship</x:v>
      </x:c>
      <x:c r="B75" s="9" t="str">
        <x:v>REFLECTS_PARTLY</x:v>
      </x:c>
      <x:c r="C75" s="9" t="str">
        <x:v>Read the arrow as: source reflects partly target. The explanation and conditions define its precise meaning.</x:v>
      </x:c>
      <x:c r="D75" s="9" t="str"/>
      <x:c r="E75" s="9" t="str">
        <x:v>Authored mapping taxonomy</x:v>
      </x:c>
    </x:row>
    <x:row r="76" ht="68" customHeight="1">
      <x:c r="A76" s="10" t="str">
        <x:v>Relationship</x:v>
      </x:c>
      <x:c r="B76" s="10" t="str">
        <x:v>RESPONDS_TO</x:v>
      </x:c>
      <x:c r="C76" s="10" t="str">
        <x:v>Read the arrow as: source responds to target. The explanation and conditions define its precise meaning.</x:v>
      </x:c>
      <x:c r="D76" s="10" t="str"/>
      <x:c r="E76" s="10" t="str">
        <x:v>Authored mapping taxonomy</x:v>
      </x:c>
    </x:row>
    <x:row r="77" ht="68" customHeight="1">
      <x:c r="A77" s="9" t="str">
        <x:v>Relationship</x:v>
      </x:c>
      <x:c r="B77" s="9" t="str">
        <x:v>EMBEDS</x:v>
      </x:c>
      <x:c r="C77" s="9" t="str">
        <x:v>Read the arrow as: source embeds target. The explanation and conditions define its precise meaning.</x:v>
      </x:c>
      <x:c r="D77" s="9" t="str"/>
      <x:c r="E77" s="9" t="str">
        <x:v>Authored mapping taxonomy</x:v>
      </x:c>
    </x:row>
    <x:row r="78" ht="68" customHeight="1">
      <x:c r="A78" s="10" t="str">
        <x:v>Relationship</x:v>
      </x:c>
      <x:c r="B78" s="10" t="str">
        <x:v>IMPLEMENTS</x:v>
      </x:c>
      <x:c r="C78" s="10" t="str">
        <x:v>Read the arrow as: source implements target. The explanation and conditions define its precise meaning.</x:v>
      </x:c>
      <x:c r="D78" s="10" t="str"/>
      <x:c r="E78" s="10" t="str">
        <x:v>Authored mapping taxonomy</x:v>
      </x:c>
    </x:row>
    <x:row r="79" ht="68" customHeight="1">
      <x:c r="A79" s="9" t="str">
        <x:v>Relationship</x:v>
      </x:c>
      <x:c r="B79" s="9" t="str">
        <x:v>HEDGES</x:v>
      </x:c>
      <x:c r="C79" s="9" t="str">
        <x:v>Read the arrow as: source hedges target. The explanation and conditions define its precise meaning.</x:v>
      </x:c>
      <x:c r="D79" s="9" t="str"/>
      <x:c r="E79" s="9" t="str">
        <x:v>Authored mapping taxonomy</x:v>
      </x:c>
    </x:row>
    <x:row r="80" ht="68" customHeight="1">
      <x:c r="A80" s="10" t="str">
        <x:v>Relationship</x:v>
      </x:c>
      <x:c r="B80" s="10" t="str">
        <x:v>REPRESENTED_BY</x:v>
      </x:c>
      <x:c r="C80" s="10" t="str">
        <x:v>Read the arrow as: source represented by target. The explanation and conditions define its precise meaning.</x:v>
      </x:c>
      <x:c r="D80" s="10" t="str"/>
      <x:c r="E80" s="10" t="str">
        <x:v>Authored mapping taxonomy</x:v>
      </x:c>
    </x:row>
    <x:row r="81" ht="68" customHeight="1">
      <x:c r="A81" s="9" t="str">
        <x:v>Relationship</x:v>
      </x:c>
      <x:c r="B81" s="9" t="str">
        <x:v>DESCRIBES</x:v>
      </x:c>
      <x:c r="C81" s="9" t="str">
        <x:v>Read the arrow as: source describes target. The explanation and conditions define its precise meaning.</x:v>
      </x:c>
      <x:c r="D81" s="9" t="str"/>
      <x:c r="E81" s="9" t="str">
        <x:v>Authored mapping taxonomy</x:v>
      </x:c>
    </x:row>
    <x:row r="82" ht="68" customHeight="1">
      <x:c r="A82" s="10" t="str">
        <x:v>Relationship</x:v>
      </x:c>
      <x:c r="B82" s="10" t="str">
        <x:v>DERIVED_FROM</x:v>
      </x:c>
      <x:c r="C82" s="10" t="str">
        <x:v>Read the arrow as: source derived from target. The explanation and conditions define its precise meaning.</x:v>
      </x:c>
      <x:c r="D82" s="10" t="str"/>
      <x:c r="E82" s="10" t="str">
        <x:v>Authored mapping taxonomy</x:v>
      </x:c>
    </x:row>
    <x:row r="83" ht="68" customHeight="1">
      <x:c r="A83" s="9" t="str">
        <x:v>Relationship</x:v>
      </x:c>
      <x:c r="B83" s="9" t="str">
        <x:v>TRANSFERS</x:v>
      </x:c>
      <x:c r="C83" s="9" t="str">
        <x:v>Read the arrow as: source transfers target. The explanation and conditions define its precise meaning.</x:v>
      </x:c>
      <x:c r="D83" s="9" t="str"/>
      <x:c r="E83" s="9" t="str">
        <x:v>Authored mapping taxonomy</x:v>
      </x:c>
    </x:row>
    <x:row r="84" ht="68" customHeight="1">
      <x:c r="A84" s="10" t="str">
        <x:v>Relationship</x:v>
      </x:c>
      <x:c r="B84" s="10" t="str">
        <x:v>BUILDS_ON</x:v>
      </x:c>
      <x:c r="C84" s="10" t="str">
        <x:v>Read the arrow as: source builds on target. The explanation and conditions define its precise meaning.</x:v>
      </x:c>
      <x:c r="D84" s="10" t="str"/>
      <x:c r="E84" s="10" t="str">
        <x:v>Authored mapping taxonomy</x:v>
      </x:c>
    </x:row>
    <x:row r="85" ht="68" customHeight="1">
      <x:c r="A85" s="9" t="str">
        <x:v>Relationship</x:v>
      </x:c>
      <x:c r="B85" s="9" t="str">
        <x:v>MANAGED_THROUGH</x:v>
      </x:c>
      <x:c r="C85" s="9" t="str">
        <x:v>Read the arrow as: source managed through target. The explanation and conditions define its precise meaning.</x:v>
      </x:c>
      <x:c r="D85" s="9" t="str"/>
      <x:c r="E85" s="9" t="str">
        <x:v>Authored mapping taxonomy</x:v>
      </x:c>
    </x:row>
    <x:row r="86" ht="68" customHeight="1">
      <x:c r="A86" s="10" t="str">
        <x:v>Relationship</x:v>
      </x:c>
      <x:c r="B86" s="10" t="str">
        <x:v>GENERATES</x:v>
      </x:c>
      <x:c r="C86" s="10" t="str">
        <x:v>Read the arrow as: source generates target. The explanation and conditions define its precise meaning.</x:v>
      </x:c>
      <x:c r="D86" s="10" t="str"/>
      <x:c r="E86" s="10" t="str">
        <x:v>Authored mapping taxonomy</x:v>
      </x:c>
    </x:row>
    <x:row r="87" ht="68" customHeight="1">
      <x:c r="A87" s="9" t="str">
        <x:v>Relationship</x:v>
      </x:c>
      <x:c r="B87" s="9" t="str">
        <x:v>EXTENDS</x:v>
      </x:c>
      <x:c r="C87" s="9" t="str">
        <x:v>Read the arrow as: source extends target. The explanation and conditions define its precise meaning.</x:v>
      </x:c>
      <x:c r="D87" s="9" t="str"/>
      <x:c r="E87" s="9" t="str">
        <x:v>Authored mapping taxonomy</x:v>
      </x:c>
    </x:row>
    <x:row r="88" ht="68" customHeight="1">
      <x:c r="A88" s="10" t="str">
        <x:v>Relationship</x:v>
      </x:c>
      <x:c r="B88" s="10" t="str">
        <x:v>MAINTAINS</x:v>
      </x:c>
      <x:c r="C88" s="10" t="str">
        <x:v>Read the arrow as: source maintains target. The explanation and conditions define its precise meaning.</x:v>
      </x:c>
      <x:c r="D88" s="10" t="str"/>
      <x:c r="E88" s="10" t="str">
        <x:v>Authored mapping taxonomy</x:v>
      </x:c>
    </x:row>
    <x:row r="89" ht="68" customHeight="1">
      <x:c r="A89" s="9" t="str">
        <x:v>Relationship</x:v>
      </x:c>
      <x:c r="B89" s="9" t="str">
        <x:v>REQUIRED_FOR</x:v>
      </x:c>
      <x:c r="C89" s="9" t="str">
        <x:v>Read the arrow as: source required for target. The explanation and conditions define its precise meaning.</x:v>
      </x:c>
      <x:c r="D89" s="9" t="str"/>
      <x:c r="E89" s="9" t="str">
        <x:v>Authored mapping taxonomy</x:v>
      </x:c>
    </x:row>
    <x:row r="90" ht="68" customHeight="1">
      <x:c r="A90" s="10" t="str">
        <x:v>Relationship</x:v>
      </x:c>
      <x:c r="B90" s="10" t="str">
        <x:v>TESTED_WITH</x:v>
      </x:c>
      <x:c r="C90" s="10" t="str">
        <x:v>Read the arrow as: source tested with target. The explanation and conditions define its precise meaning.</x:v>
      </x:c>
      <x:c r="D90" s="10" t="str"/>
      <x:c r="E90" s="10" t="str">
        <x:v>Authored mapping taxonomy</x:v>
      </x:c>
    </x:row>
    <x:row r="91" ht="68" customHeight="1">
      <x:c r="A91" s="9" t="str">
        <x:v>Relationship</x:v>
      </x:c>
      <x:c r="B91" s="9" t="str">
        <x:v>INVESTIGATES</x:v>
      </x:c>
      <x:c r="C91" s="9" t="str">
        <x:v>Read the arrow as: source investigates target. The explanation and conditions define its precise meaning.</x:v>
      </x:c>
      <x:c r="D91" s="9" t="str"/>
      <x:c r="E91" s="9" t="str">
        <x:v>Authored mapping taxonomy</x:v>
      </x:c>
    </x:row>
    <x:row r="92" ht="68" customHeight="1">
      <x:c r="A92" s="10" t="str">
        <x:v>Relationship</x:v>
      </x:c>
      <x:c r="B92" s="10" t="str">
        <x:v>INVESTS_IN</x:v>
      </x:c>
      <x:c r="C92" s="10" t="str">
        <x:v>Read the arrow as: source invests in target. The explanation and conditions define its precise meaning.</x:v>
      </x:c>
      <x:c r="D92" s="10" t="str"/>
      <x:c r="E92" s="10" t="str">
        <x:v>Authored mapping taxonomy</x:v>
      </x:c>
    </x:row>
    <x:row r="93" ht="68" customHeight="1">
      <x:c r="A93" s="9" t="str">
        <x:v>Relationship</x:v>
      </x:c>
      <x:c r="B93" s="9" t="str">
        <x:v>PROVIDES_CAPITAL</x:v>
      </x:c>
      <x:c r="C93" s="9" t="str">
        <x:v>Read the arrow as: source provides capital target. The explanation and conditions define its precise meaning.</x:v>
      </x:c>
      <x:c r="D93" s="9" t="str"/>
      <x:c r="E93" s="9" t="str">
        <x:v>Authored mapping taxonomy</x:v>
      </x:c>
    </x:row>
    <x:row r="94" ht="68" customHeight="1">
      <x:c r="A94" s="10" t="str">
        <x:v>Relationship</x:v>
      </x:c>
      <x:c r="B94" s="10" t="str">
        <x:v>VALUES_EXPOSURE</x:v>
      </x:c>
      <x:c r="C94" s="10" t="str">
        <x:v>Read the arrow as: source values exposure target. The explanation and conditions define its precise meaning.</x:v>
      </x:c>
      <x:c r="D94" s="10" t="str"/>
      <x:c r="E94" s="10" t="str">
        <x:v>Authored mapping taxonomy</x:v>
      </x:c>
    </x:row>
    <x:row r="95" ht="68" customHeight="1">
      <x:c r="A95" s="9" t="str">
        <x:v>Relationship</x:v>
      </x:c>
      <x:c r="B95" s="9" t="str">
        <x:v>ALLOCATES</x:v>
      </x:c>
      <x:c r="C95" s="9" t="str">
        <x:v>Read the arrow as: source allocates target. The explanation and conditions define its precise meaning.</x:v>
      </x:c>
      <x:c r="D95" s="9" t="str"/>
      <x:c r="E95" s="9" t="str">
        <x:v>Authored mapping taxonomy</x:v>
      </x:c>
    </x:row>
    <x:row r="96" ht="68" customHeight="1">
      <x:c r="A96" s="10" t="str">
        <x:v>Relationship</x:v>
      </x:c>
      <x:c r="B96" s="10" t="str">
        <x:v>AFFECTS_MEASUREMENT</x:v>
      </x:c>
      <x:c r="C96" s="10" t="str">
        <x:v>Read the arrow as: source affects measurement target. The explanation and conditions define its precise meaning.</x:v>
      </x:c>
      <x:c r="D96" s="10" t="str"/>
      <x:c r="E96" s="10" t="str">
        <x:v>Authored mapping taxonomy</x:v>
      </x:c>
    </x:row>
    <x:row r="97" ht="68" customHeight="1">
      <x:c r="A97" s="9" t="str">
        <x:v>Relationship</x:v>
      </x:c>
      <x:c r="B97" s="9" t="str">
        <x:v>CREATES_EXPOSURE</x:v>
      </x:c>
      <x:c r="C97" s="9" t="str">
        <x:v>Read the arrow as: source creates exposure target. The explanation and conditions define its precise meaning.</x:v>
      </x:c>
      <x:c r="D97" s="9" t="str"/>
      <x:c r="E97" s="9" t="str">
        <x:v>Authored mapping taxonomy</x:v>
      </x:c>
    </x:row>
    <x:row r="98" ht="68" customHeight="1">
      <x:c r="A98" s="10" t="str">
        <x:v>Relationship</x:v>
      </x:c>
      <x:c r="B98" s="10" t="str">
        <x:v>LINKS_TO</x:v>
      </x:c>
      <x:c r="C98" s="10" t="str">
        <x:v>Read the arrow as: source links to target. The explanation and conditions define its precise meaning.</x:v>
      </x:c>
      <x:c r="D98" s="10" t="str"/>
      <x:c r="E98" s="10" t="str">
        <x:v>Authored mapping taxonomy</x:v>
      </x:c>
    </x:row>
    <x:row r="99" ht="68" customHeight="1">
      <x:c r="A99" s="9" t="str">
        <x:v>Relationship</x:v>
      </x:c>
      <x:c r="B99" s="9" t="str">
        <x:v>ARISES_FROM</x:v>
      </x:c>
      <x:c r="C99" s="9" t="str">
        <x:v>Read the arrow as: source arises from target. The explanation and conditions define its precise meaning.</x:v>
      </x:c>
      <x:c r="D99" s="9" t="str"/>
      <x:c r="E99" s="9" t="str">
        <x:v>Authored mapping taxonomy</x:v>
      </x:c>
    </x:row>
    <x:row r="100" ht="68" customHeight="1">
      <x:c r="A100" s="10" t="str">
        <x:v>Relationship</x:v>
      </x:c>
      <x:c r="B100" s="10" t="str">
        <x:v>RELATED_TO</x:v>
      </x:c>
      <x:c r="C100" s="10" t="str">
        <x:v>Read the arrow as: source related to target. The explanation and conditions define its precise meaning.</x:v>
      </x:c>
      <x:c r="D100" s="10" t="str"/>
      <x:c r="E100" s="10" t="str">
        <x:v>Authored mapping taxonomy</x:v>
      </x:c>
    </x:row>
    <x:row r="101" ht="68" customHeight="1">
      <x:c r="A101" s="9" t="str">
        <x:v>Relationship</x:v>
      </x:c>
      <x:c r="B101" s="9" t="str">
        <x:v>ACCOUNTED_UNDER</x:v>
      </x:c>
      <x:c r="C101" s="9" t="str">
        <x:v>Read the arrow as: source accounted under target. The explanation and conditions define its precise meaning.</x:v>
      </x:c>
      <x:c r="D101" s="9" t="str"/>
      <x:c r="E101" s="9" t="str">
        <x:v>Authored mapping taxonomy</x:v>
      </x:c>
    </x:row>
    <x:row r="102" ht="68" customHeight="1">
      <x:c r="A102" s="10" t="str">
        <x:v>Relationship</x:v>
      </x:c>
      <x:c r="B102" s="10" t="str">
        <x:v>MANAGED_WITH</x:v>
      </x:c>
      <x:c r="C102" s="10" t="str">
        <x:v>Read the arrow as: source managed with target. The explanation and conditions define its precise meaning.</x:v>
      </x:c>
      <x:c r="D102" s="10" t="str"/>
      <x:c r="E102" s="10" t="str">
        <x:v>Authored mapping taxonomy</x:v>
      </x:c>
    </x:row>
    <x:row r="103" ht="68" customHeight="1">
      <x:c r="A103" s="9" t="str">
        <x:v>Relationship</x:v>
      </x:c>
      <x:c r="B103" s="9" t="str">
        <x:v>GOVERNED_BY</x:v>
      </x:c>
      <x:c r="C103" s="9" t="str">
        <x:v>Read the arrow as: source governed by target. The explanation and conditions define its precise meaning.</x:v>
      </x:c>
      <x:c r="D103" s="9" t="str"/>
      <x:c r="E103" s="9" t="str">
        <x:v>Authored mapping taxonomy</x:v>
      </x:c>
    </x:row>
    <x:row r="104" ht="68" customHeight="1">
      <x:c r="A104" s="10" t="str">
        <x:v>Relationship</x:v>
      </x:c>
      <x:c r="B104" s="10" t="str">
        <x:v>TRANSMITTED_THROUGH</x:v>
      </x:c>
      <x:c r="C104" s="10" t="str">
        <x:v>Read the arrow as: source transmitted through target. The explanation and conditions define its precise meaning.</x:v>
      </x:c>
      <x:c r="D104" s="10" t="str"/>
      <x:c r="E104" s="10" t="str">
        <x:v>Authored mapping taxonomy</x:v>
      </x:c>
    </x:row>
    <x:row r="105" ht="68" customHeight="1">
      <x:c r="A105" s="9" t="str">
        <x:v>Relationship</x:v>
      </x:c>
      <x:c r="B105" s="9" t="str">
        <x:v>ACCOUNTED_IN</x:v>
      </x:c>
      <x:c r="C105" s="9" t="str">
        <x:v>Read the arrow as: source accounted in target. The explanation and conditions define its precise meaning.</x:v>
      </x:c>
      <x:c r="D105" s="9" t="str"/>
      <x:c r="E105" s="9" t="str">
        <x:v>Authored mapping taxonomy</x:v>
      </x:c>
    </x:row>
    <x:row r="106" ht="68" customHeight="1">
      <x:c r="A106" s="10" t="str">
        <x:v>Relationship</x:v>
      </x:c>
      <x:c r="B106" s="10" t="str">
        <x:v>ASSESSES</x:v>
      </x:c>
      <x:c r="C106" s="10" t="str">
        <x:v>Read the arrow as: source assesses target. The explanation and conditions define its precise meaning.</x:v>
      </x:c>
      <x:c r="D106" s="10" t="str"/>
      <x:c r="E106" s="10" t="str">
        <x:v>Authored mapping taxonomy</x:v>
      </x:c>
    </x:row>
    <x:row r="107" ht="68" customHeight="1">
      <x:c r="A107" s="9" t="str">
        <x:v>Relationship</x:v>
      </x:c>
      <x:c r="B107" s="9" t="str">
        <x:v>HAS_CONTINGENT_TERMS</x:v>
      </x:c>
      <x:c r="C107" s="9" t="str">
        <x:v>Read the arrow as: source has contingent terms target. The explanation and conditions define its precise meaning.</x:v>
      </x:c>
      <x:c r="D107" s="9" t="str"/>
      <x:c r="E107" s="9" t="str">
        <x:v>Authored mapping taxonomy</x:v>
      </x:c>
    </x:row>
    <x:row r="108" ht="68" customHeight="1">
      <x:c r="A108" s="10" t="str">
        <x:v>Relationship</x:v>
      </x:c>
      <x:c r="B108" s="10" t="str">
        <x:v>SPECIFIES</x:v>
      </x:c>
      <x:c r="C108" s="10" t="str">
        <x:v>Read the arrow as: source specifies target. The explanation and conditions define its precise meaning.</x:v>
      </x:c>
      <x:c r="D108" s="10" t="str"/>
      <x:c r="E108" s="10" t="str">
        <x:v>Authored mapping taxonomy</x:v>
      </x:c>
    </x:row>
    <x:row r="109" ht="68" customHeight="1">
      <x:c r="A109" s="9" t="str">
        <x:v>Relationship</x:v>
      </x:c>
      <x:c r="B109" s="9" t="str">
        <x:v>CALCULATED_WITH</x:v>
      </x:c>
      <x:c r="C109" s="9" t="str">
        <x:v>Read the arrow as: source calculated with target. The explanation and conditions define its precise meaning.</x:v>
      </x:c>
      <x:c r="D109" s="9" t="str"/>
      <x:c r="E109" s="9" t="str">
        <x:v>Authored mapping taxonomy</x:v>
      </x:c>
    </x:row>
    <x:row r="110" ht="68" customHeight="1">
      <x:c r="A110" s="10" t="str">
        <x:v>Relationship</x:v>
      </x:c>
      <x:c r="B110" s="10" t="str">
        <x:v>STRUCTURED_THROUGH</x:v>
      </x:c>
      <x:c r="C110" s="10" t="str">
        <x:v>Read the arrow as: source structured through target. The explanation and conditions define its precise meaning.</x:v>
      </x:c>
      <x:c r="D110" s="10" t="str"/>
      <x:c r="E110" s="10" t="str">
        <x:v>Authored mapping taxonomy</x:v>
      </x:c>
    </x:row>
    <x:row r="111" ht="68" customHeight="1">
      <x:c r="A111" s="9" t="str">
        <x:v>Relationship</x:v>
      </x:c>
      <x:c r="B111" s="9" t="str">
        <x:v>ADDRESSES</x:v>
      </x:c>
      <x:c r="C111" s="9" t="str">
        <x:v>Read the arrow as: source addresses target. The explanation and conditions define its precise meaning.</x:v>
      </x:c>
      <x:c r="D111" s="9" t="str"/>
      <x:c r="E111" s="9" t="str">
        <x:v>Authored mapping taxonomy</x:v>
      </x:c>
    </x:row>
    <x:row r="112" ht="68" customHeight="1">
      <x:c r="A112" s="10" t="str">
        <x:v>Relationship</x:v>
      </x:c>
      <x:c r="B112" s="10" t="str">
        <x:v>ANALOGOUS_METRIC</x:v>
      </x:c>
      <x:c r="C112" s="10" t="str">
        <x:v>Read the arrow as: source analogous metric target. The explanation and conditions define its precise meaning.</x:v>
      </x:c>
      <x:c r="D112" s="10" t="str"/>
      <x:c r="E112" s="10" t="str">
        <x:v>Authored mapping taxonomy</x:v>
      </x:c>
    </x:row>
    <x:row r="113" ht="68" customHeight="1">
      <x:c r="A113" s="9" t="str">
        <x:v>Relationship</x:v>
      </x:c>
      <x:c r="B113" s="9" t="str">
        <x:v>APPLIES</x:v>
      </x:c>
      <x:c r="C113" s="9" t="str">
        <x:v>Read the arrow as: source applies target. The explanation and conditions define its precise meaning.</x:v>
      </x:c>
      <x:c r="D113" s="9" t="str"/>
      <x:c r="E113" s="9" t="str">
        <x:v>Authored mapping taxonomy</x:v>
      </x:c>
    </x:row>
    <x:row r="114" ht="68" customHeight="1">
      <x:c r="A114" s="10" t="str">
        <x:v>Relationship</x:v>
      </x:c>
      <x:c r="B114" s="10" t="str">
        <x:v>INFLUENCES</x:v>
      </x:c>
      <x:c r="C114" s="10" t="str">
        <x:v>Read the arrow as: source influences target. The explanation and conditions define its precise meaning.</x:v>
      </x:c>
      <x:c r="D114" s="10" t="str"/>
      <x:c r="E114" s="10" t="str">
        <x:v>Authored mapping taxonomy</x:v>
      </x:c>
    </x:row>
    <x:row r="115" ht="68" customHeight="1">
      <x:c r="A115" s="9" t="str">
        <x:v>Relationship</x:v>
      </x:c>
      <x:c r="B115" s="9" t="str">
        <x:v>FUNDED_THROUGH</x:v>
      </x:c>
      <x:c r="C115" s="9" t="str">
        <x:v>Read the arrow as: source funded through target. The explanation and conditions define its precise meaning.</x:v>
      </x:c>
      <x:c r="D115" s="9" t="str"/>
      <x:c r="E115" s="9" t="str">
        <x:v>Authored mapping taxonomy</x:v>
      </x:c>
    </x:row>
    <x:row r="116" ht="68" customHeight="1">
      <x:c r="A116" s="10" t="str">
        <x:v>Relationship</x:v>
      </x:c>
      <x:c r="B116" s="10" t="str">
        <x:v>RELATES_TO</x:v>
      </x:c>
      <x:c r="C116" s="10" t="str">
        <x:v>Read the arrow as: source relates to target. The explanation and conditions define its precise meaning.</x:v>
      </x:c>
      <x:c r="D116" s="10" t="str"/>
      <x:c r="E116" s="10" t="str">
        <x:v>Authored mapping taxonomy</x:v>
      </x:c>
    </x:row>
    <x:row r="117" ht="68" customHeight="1">
      <x:c r="A117" s="9" t="str">
        <x:v>Relationship</x:v>
      </x:c>
      <x:c r="B117" s="9" t="str">
        <x:v>IMPLEMENTED_WITH</x:v>
      </x:c>
      <x:c r="C117" s="9" t="str">
        <x:v>Read the arrow as: source implemented with target. The explanation and conditions define its precise meaning.</x:v>
      </x:c>
      <x:c r="D117" s="9" t="str"/>
      <x:c r="E117" s="9" t="str">
        <x:v>Authored mapping taxonomy</x:v>
      </x:c>
    </x:row>
    <x:row r="118" ht="68" customHeight="1">
      <x:c r="A118" s="10" t="str">
        <x:v>Relationship</x:v>
      </x:c>
      <x:c r="B118" s="10" t="str">
        <x:v>REQUIRES_CONSISTENCY</x:v>
      </x:c>
      <x:c r="C118" s="10" t="str">
        <x:v>Read the arrow as: source requires consistency target. The explanation and conditions define its precise meaning.</x:v>
      </x:c>
      <x:c r="D118" s="10" t="str"/>
      <x:c r="E118" s="10" t="str">
        <x:v>Authored mapping taxonomy</x:v>
      </x:c>
    </x:row>
    <x:row r="119" ht="68" customHeight="1">
      <x:c r="A119" s="9" t="str">
        <x:v>Relationship</x:v>
      </x:c>
      <x:c r="B119" s="9" t="str">
        <x:v>CAN_BIAS</x:v>
      </x:c>
      <x:c r="C119" s="9" t="str">
        <x:v>Read the arrow as: source can bias target. The explanation and conditions define its precise meaning.</x:v>
      </x:c>
      <x:c r="D119" s="9" t="str"/>
      <x:c r="E119" s="9" t="str">
        <x:v>Authored mapping taxonomy</x:v>
      </x:c>
    </x:row>
    <x:row r="120" ht="68" customHeight="1">
      <x:c r="A120" s="10" t="str">
        <x:v>Relationship</x:v>
      </x:c>
      <x:c r="B120" s="10" t="str">
        <x:v>CAN_CONTRIBUTE_TO</x:v>
      </x:c>
      <x:c r="C120" s="10" t="str">
        <x:v>Read the arrow as: source can contribute to target. The explanation and conditions define its precise meaning.</x:v>
      </x:c>
      <x:c r="D120" s="10" t="str"/>
      <x:c r="E120" s="10" t="str">
        <x:v>Authored mapping taxonomy</x:v>
      </x:c>
    </x:row>
    <x:row r="121" ht="68" customHeight="1">
      <x:c r="A121" s="9" t="str">
        <x:v>Relationship</x:v>
      </x:c>
      <x:c r="B121" s="9" t="str">
        <x:v>HAS_ECONOMICS</x:v>
      </x:c>
      <x:c r="C121" s="9" t="str">
        <x:v>Read the arrow as: source has economics target. The explanation and conditions define its precise meaning.</x:v>
      </x:c>
      <x:c r="D121" s="9" t="str"/>
      <x:c r="E121" s="9" t="str">
        <x:v>Authored mapping taxonomy</x:v>
      </x:c>
    </x:row>
    <x:row r="122" ht="68" customHeight="1">
      <x:c r="A122" s="10" t="str">
        <x:v>Relationship</x:v>
      </x:c>
      <x:c r="B122" s="10" t="str">
        <x:v>IMPLEMENTATION_OF</x:v>
      </x:c>
      <x:c r="C122" s="10" t="str">
        <x:v>Read the arrow as: source implementation of target. The explanation and conditions define its precise meaning.</x:v>
      </x:c>
      <x:c r="D122" s="10" t="str"/>
      <x:c r="E122" s="10" t="str">
        <x:v>Authored mapping taxonomy</x:v>
      </x:c>
    </x:row>
    <x:row r="123" ht="68" customHeight="1">
      <x:c r="A123" s="9" t="str">
        <x:v>Relationship</x:v>
      </x:c>
      <x:c r="B123" s="9" t="str">
        <x:v>DEPENDS_ON</x:v>
      </x:c>
      <x:c r="C123" s="9" t="str">
        <x:v>Read the arrow as: source depends on target. The explanation and conditions define its precise meaning.</x:v>
      </x:c>
      <x:c r="D123" s="9" t="str"/>
      <x:c r="E123" s="9" t="str">
        <x:v>Authored mapping taxonomy</x:v>
      </x:c>
    </x:row>
    <x:row r="124" ht="68" customHeight="1">
      <x:c r="A124" s="10" t="str">
        <x:v>Relationship</x:v>
      </x:c>
      <x:c r="B124" s="10" t="str">
        <x:v>USED_IN</x:v>
      </x:c>
      <x:c r="C124" s="10" t="str">
        <x:v>Read the arrow as: source used in target. The explanation and conditions define its precise meaning.</x:v>
      </x:c>
      <x:c r="D124" s="10" t="str"/>
      <x:c r="E124" s="10" t="str">
        <x:v>Authored mapping taxonomy</x:v>
      </x:c>
    </x:row>
    <x:row r="125" ht="68" customHeight="1">
      <x:c r="A125" s="9" t="str">
        <x:v>Relationship</x:v>
      </x:c>
      <x:c r="B125" s="9" t="str">
        <x:v>REQUIRES_STRUCTURE</x:v>
      </x:c>
      <x:c r="C125" s="9" t="str">
        <x:v>Read the arrow as: source requires structure target. The explanation and conditions define its precise meaning.</x:v>
      </x:c>
      <x:c r="D125" s="9" t="str"/>
      <x:c r="E125" s="9" t="str">
        <x:v>Authored mapping taxonomy</x:v>
      </x:c>
    </x:row>
    <x:row r="126" ht="68" customHeight="1">
      <x:c r="A126" s="10" t="str">
        <x:v>Relationship</x:v>
      </x:c>
      <x:c r="B126" s="10" t="str">
        <x:v>STRUCTURED_AS</x:v>
      </x:c>
      <x:c r="C126" s="10" t="str">
        <x:v>Read the arrow as: source structured as target. The explanation and conditions define its precise meaning.</x:v>
      </x:c>
      <x:c r="D126" s="10" t="str"/>
      <x:c r="E126" s="10" t="str">
        <x:v>Authored mapping taxonomy</x:v>
      </x:c>
    </x:row>
    <x:row r="127" ht="68" customHeight="1">
      <x:c r="A127" s="9" t="str">
        <x:v>Relationship</x:v>
      </x:c>
      <x:c r="B127" s="9" t="str">
        <x:v>ADJUSTS_FOR</x:v>
      </x:c>
      <x:c r="C127" s="9" t="str">
        <x:v>Read the arrow as: source adjusts for target. The explanation and conditions define its precise meaning.</x:v>
      </x:c>
      <x:c r="D127" s="9" t="str"/>
      <x:c r="E127" s="9" t="str">
        <x:v>Authored mapping taxonomy</x:v>
      </x:c>
    </x:row>
    <x:row r="128" ht="68" customHeight="1">
      <x:c r="A128" s="10" t="str">
        <x:v>Relationship</x:v>
      </x:c>
      <x:c r="B128" s="10" t="str">
        <x:v>PRICES_OR_SIMULATES</x:v>
      </x:c>
      <x:c r="C128" s="10" t="str">
        <x:v>Read the arrow as: source prices or simulates target. The explanation and conditions define its precise meaning.</x:v>
      </x:c>
      <x:c r="D128" s="10" t="str"/>
      <x:c r="E128" s="10" t="str">
        <x:v>Authored mapping taxonomy</x:v>
      </x:c>
    </x:row>
    <x:row r="129" ht="68" customHeight="1">
      <x:c r="A129" s="9" t="str">
        <x:v>Relationship</x:v>
      </x:c>
      <x:c r="B129" s="9" t="str">
        <x:v>CALCULATES</x:v>
      </x:c>
      <x:c r="C129" s="9" t="str">
        <x:v>Read the arrow as: source calculates target. The explanation and conditions define its precise meaning.</x:v>
      </x:c>
      <x:c r="D129" s="9" t="str"/>
      <x:c r="E129" s="9" t="str">
        <x:v>Authored mapping taxonomy</x:v>
      </x:c>
    </x:row>
    <x:row r="130" ht="68" customHeight="1">
      <x:c r="A130" s="10" t="str">
        <x:v>Relationship</x:v>
      </x:c>
      <x:c r="B130" s="10" t="str">
        <x:v>ANALYSES</x:v>
      </x:c>
      <x:c r="C130" s="10" t="str">
        <x:v>Read the arrow as: source analyses target. The explanation and conditions define its precise meaning.</x:v>
      </x:c>
      <x:c r="D130" s="10" t="str"/>
      <x:c r="E130" s="10" t="str">
        <x:v>Authored mapping taxonomy</x:v>
      </x:c>
    </x:row>
    <x:row r="131" ht="68" customHeight="1">
      <x:c r="A131" s="9" t="str">
        <x:v>Relationship</x:v>
      </x:c>
      <x:c r="B131" s="9" t="str">
        <x:v>REQUIRES_REVIEW</x:v>
      </x:c>
      <x:c r="C131" s="9" t="str">
        <x:v>Read the arrow as: source requires review target. The explanation and conditions define its precise meaning.</x:v>
      </x:c>
      <x:c r="D131" s="9" t="str"/>
      <x:c r="E131" s="9" t="str">
        <x:v>Authored mapping taxonomy</x:v>
      </x:c>
    </x:row>
    <x:row r="132" ht="68" customHeight="1">
      <x:c r="A132" s="10" t="str">
        <x:v>Counting rule</x:v>
      </x:c>
      <x:c r="B132" s="10" t="str">
        <x:v>Mechanism links</x:v>
      </x:c>
      <x:c r="C132" s="10" t="str">
        <x:v>All relationships except PART_OF, DEEPENS, EXPLORE_WITH and RECOMMENDED_BEFORE.</x:v>
      </x:c>
      <x:c r="D132" s="10" t="str"/>
      <x:c r="E132" s="10" t="str">
        <x:v>These links carry a financial explanation or applied relationship.</x:v>
      </x:c>
    </x:row>
    <x:row r="133" ht="68" customHeight="1">
      <x:c r="A133" s="9" t="str">
        <x:v>Counting rule</x:v>
      </x:c>
      <x:c r="B133" s="9" t="str">
        <x:v>Cross-area links</x:v>
      </x:c>
      <x:c r="C133" s="9" t="str">
        <x:v>Links whose two concept endpoints have different primary area IDs.</x:v>
      </x:c>
      <x:c r="D133" s="9" t="str"/>
      <x:c r="E133" s="9" t="str">
        <x:v>Includes learning-preparation links; not all are financial mechanisms.</x:v>
      </x:c>
    </x:row>
    <x:row r="134" ht="68" customHeight="1">
      <x:c r="A134" s="10" t="str">
        <x:v>Coverage</x:v>
      </x:c>
      <x:c r="B134" s="10" t="str">
        <x:v>Original grouped units</x:v>
      </x:c>
      <x:c r="C134" s="10" t="str">
        <x:v>678 original bullets are mapped. Some bullets contain several related terms.</x:v>
      </x:c>
      <x:c r="D134" s="10" t="str"/>
      <x:c r="E134" s="10" t="str">
        <x:v>This is full coverage of the agreed inventory, not a claim that no other finance subject exists.</x:v>
      </x:c>
    </x:row>
    <x:row r="135" ht="68" customHeight="1">
      <x:c r="A135" s="9" t="str">
        <x:v>Coverage</x:v>
      </x:c>
      <x:c r="B135" s="9" t="str">
        <x:v>Atomic anchors</x:v>
      </x:c>
      <x:c r="C135" s="9" t="str">
        <x:v>20 added nodes distinguish crucial balance-sheet, cash-flow and valuation concepts.</x:v>
      </x:c>
      <x:c r="D135" s="9" t="str"/>
      <x:c r="E135" s="9" t="str">
        <x:v>NOPAT is added as a useful bridge within the original valuation scope.</x:v>
      </x:c>
    </x:row>
    <x:row r="136" ht="68" customHeight="1">
      <x:c r="A136" s="10" t="str">
        <x:v>Content state</x:v>
      </x:c>
      <x:c r="B136" s="10" t="str">
        <x:v>Not authored</x:v>
      </x:c>
      <x:c r="C136" s="10" t="str">
        <x:v>The network is complete as a planning map; full lessons, examples and final quizzes are still to be authored.</x:v>
      </x:c>
      <x:c r="D136" s="10" t="str"/>
      <x:c r="E136" s="10" t="str">
        <x:v>Opening questions are proposed prompts.</x:v>
      </x:c>
    </x:row>
    <x:row r="137" ht="68" customHeight="1">
      <x:c r="A137" s="9" t="str">
        <x:v>IDs</x:v>
      </x:c>
      <x:c r="B137" s="9" t="str">
        <x:v>Stability</x:v>
      </x:c>
      <x:c r="C137" s="9" t="str">
        <x:v>Keep topic IDs stable when editing titles or creating further atomic lessons.</x:v>
      </x:c>
      <x:c r="D137" s="9" t="str"/>
      <x:c r="E137" s="9" t="str">
        <x:v>A grouped source item can link to multiple child concepts.</x:v>
      </x:c>
    </x:row>
    <x:row r="138" ht="68" customHeight="1">
      <x:c r="A138" s="10" t="str">
        <x:v>Alias / overlap</x:v>
      </x:c>
      <x:c r="B138" s="10" t="str">
        <x:v>Adjusted present value</x:v>
      </x:c>
      <x:c r="C138" s="10" t="str">
        <x:v>13.17 / 17.08</x:v>
      </x:c>
      <x:c r="D138" s="10" t="str">
        <x:v>Same central method, different learning context: financing versus valuation.</x:v>
      </x:c>
      <x:c r="E138" s="10" t="str">
        <x:v>Preserve contextual occurrences; share core explanatory content later.</x:v>
      </x:c>
    </x:row>
    <x:row r="139" ht="68" customHeight="1">
      <x:c r="A139" s="9" t="str">
        <x:v>Alias / overlap</x:v>
      </x:c>
      <x:c r="B139" s="9" t="str">
        <x:v>CAPM</x:v>
      </x:c>
      <x:c r="C139" s="9" t="str">
        <x:v>13.02 / 22.08</x:v>
      </x:c>
      <x:c r="D139" s="9" t="str">
        <x:v>Same model appears within corporate cost of equity and portfolio factor theory.</x:v>
      </x:c>
      <x:c r="E139" s="9" t="str">
        <x:v>Preserve contextual occurrences; share core explanatory content later.</x:v>
      </x:c>
    </x:row>
    <x:row r="140" ht="68" customHeight="1">
      <x:c r="A140" s="10" t="str">
        <x:v>Alias / overlap</x:v>
      </x:c>
      <x:c r="B140" s="10" t="str">
        <x:v>NPV</x:v>
      </x:c>
      <x:c r="C140" s="10" t="str">
        <x:v>03.12 / 12.08</x:v>
      </x:c>
      <x:c r="D140" s="10" t="str">
        <x:v>TVM calculation reappears in project appraisal.</x:v>
      </x:c>
      <x:c r="E140" s="10" t="str">
        <x:v>Preserve contextual occurrences; share core explanatory content later.</x:v>
      </x:c>
    </x:row>
    <x:row r="141" ht="68" customHeight="1">
      <x:c r="A141" s="9" t="str">
        <x:v>Alias / overlap</x:v>
      </x:c>
      <x:c r="B141" s="9" t="str">
        <x:v>IRR</x:v>
      </x:c>
      <x:c r="C141" s="9" t="str">
        <x:v>03.13 / 23.18</x:v>
      </x:c>
      <x:c r="D141" s="9" t="str">
        <x:v>Return measure reappears in private-fund performance.</x:v>
      </x:c>
      <x:c r="E141" s="9" t="str">
        <x:v>Preserve contextual occurrences; share core explanatory content later.</x:v>
      </x:c>
    </x:row>
    <x:row r="142" ht="68" customHeight="1">
      <x:c r="A142" s="10" t="str">
        <x:v>Alias / overlap</x:v>
      </x:c>
      <x:c r="B142" s="10" t="str">
        <x:v>Depreciation</x:v>
      </x:c>
      <x:c r="C142" s="10" t="str">
        <x:v>05.10 / A08</x:v>
      </x:c>
      <x:c r="D142" s="10" t="str">
        <x:v>Atomic anchor for a component of the grouped expense topic.</x:v>
      </x:c>
      <x:c r="E142" s="10" t="str">
        <x:v>Preserve contextual occurrences; share core explanatory content later.</x:v>
      </x:c>
    </x:row>
    <x:row r="143" ht="68" customHeight="1">
      <x:c r="A143" s="9" t="str">
        <x:v>Alias / overlap</x:v>
      </x:c>
      <x:c r="B143" s="9" t="str">
        <x:v>Trade receivables</x:v>
      </x:c>
      <x:c r="C143" s="9" t="str">
        <x:v>06.04 / A02</x:v>
      </x:c>
      <x:c r="D143" s="9" t="str">
        <x:v>Atomic balance-sheet anchor.</x:v>
      </x:c>
      <x:c r="E143" s="9" t="str">
        <x:v>Preserve contextual occurrences; share core explanatory content later.</x:v>
      </x:c>
    </x:row>
    <x:row r="144" ht="68" customHeight="1">
      <x:c r="A144" s="10" t="str">
        <x:v>Alias / overlap</x:v>
      </x:c>
      <x:c r="B144" s="10" t="str">
        <x:v>Expected credit losses</x:v>
      </x:c>
      <x:c r="C144" s="10" t="str">
        <x:v>06.04 / A17</x:v>
      </x:c>
      <x:c r="D144" s="10" t="str">
        <x:v>The grouped receivables topic includes impairment; ECL also applies to other eligible exposures.</x:v>
      </x:c>
      <x:c r="E144" s="10" t="str">
        <x:v>Preserve contextual occurrences; share core explanatory content later.</x:v>
      </x:c>
    </x:row>
    <x:row r="145" ht="68" customHeight="1">
      <x:c r="A145" s="9" t="str">
        <x:v>Alias / overlap</x:v>
      </x:c>
      <x:c r="B145" s="9" t="str">
        <x:v>FCFF</x:v>
      </x:c>
      <x:c r="C145" s="9" t="str">
        <x:v>17.05 / A11</x:v>
      </x:c>
      <x:c r="D145" s="9" t="str">
        <x:v>Atomic cash-flow anchor.</x:v>
      </x:c>
      <x:c r="E145" s="9" t="str">
        <x:v>Preserve contextual occurrences; share core explanatory content later.</x:v>
      </x:c>
    </x:row>
    <x:row r="146" ht="68" customHeight="1">
      <x:c r="A146" s="10" t="str">
        <x:v>Alias / overlap</x:v>
      </x:c>
      <x:c r="B146" s="10" t="str">
        <x:v>FCFE</x:v>
      </x:c>
      <x:c r="C146" s="10" t="str">
        <x:v>17.05 / A12</x:v>
      </x:c>
      <x:c r="D146" s="10" t="str">
        <x:v>Atomic cash-flow anchor.</x:v>
      </x:c>
      <x:c r="E146" s="10" t="str">
        <x:v>Preserve contextual occurrences; share core explanatory content later.</x:v>
      </x:c>
    </x:row>
    <x:row r="147" ht="68" customHeight="1">
      <x:c r="A147" s="9" t="str">
        <x:v>Alias / overlap</x:v>
      </x:c>
      <x:c r="B147" s="9" t="str">
        <x:v>WACC</x:v>
      </x:c>
      <x:c r="C147" s="9" t="str">
        <x:v>13.10 / A13</x:v>
      </x:c>
      <x:c r="D147" s="9" t="str">
        <x:v>Atomic discount-rate anchor.</x:v>
      </x:c>
      <x:c r="E147" s="9" t="str">
        <x:v>Preserve contextual occurrences; share core explanatory content later.</x:v>
      </x:c>
    </x:row>
    <x:row r="148" ht="68" customHeight="1">
      <x:c r="A148" s="10" t="str">
        <x:v>Alias / overlap</x:v>
      </x:c>
      <x:c r="B148" s="10" t="str">
        <x:v>Enterprise value</x:v>
      </x:c>
      <x:c r="C148" s="10" t="str">
        <x:v>17.03 / A15</x:v>
      </x:c>
      <x:c r="D148" s="10" t="str">
        <x:v>Atomic claim anchor.</x:v>
      </x:c>
      <x:c r="E148" s="10" t="str">
        <x:v>Preserve contextual occurrences; share core explanatory content later.</x:v>
      </x:c>
    </x:row>
    <x:row r="149" ht="68" customHeight="1">
      <x:c r="A149" s="9" t="str">
        <x:v>Alias / overlap</x:v>
      </x:c>
      <x:c r="B149" s="9" t="str">
        <x:v>Equity value</x:v>
      </x:c>
      <x:c r="C149" s="9" t="str">
        <x:v>17.03 / A16</x:v>
      </x:c>
      <x:c r="D149" s="9" t="str">
        <x:v>Atomic claim anchor.</x:v>
      </x:c>
      <x:c r="E149" s="9" t="str">
        <x:v>Preserve contextual occurrences; share core explanatory content later.</x:v>
      </x:c>
    </x:row>
    <x:row r="150" ht="68" customHeight="1">
      <x:c r="A150" s="10" t="str">
        <x:v>Source</x:v>
      </x:c>
      <x:c r="B150" s="10" t="str">
        <x:v>S01 Original finance inventory and interaction brief</x:v>
      </x:c>
      <x:c r="C150" s="10" t="str">
        <x:v>Conversation dated 8 October 2026</x:v>
      </x:c>
      <x:c r="D150" s="10" t="str">
        <x:v>All 40 areas and 678 original grouped topic units; preserved in the Inventory worksheet. The mapping itself is authored curriculum design.</x:v>
      </x:c>
      <x:c r="E150" s="10" t="str">
        <x:v>Retrieved / recorded 8 October 2026</x:v>
      </x:c>
    </x:row>
    <x:row r="151" ht="68" customHeight="1">
      <x:c r="A151" s="9" t="str">
        <x:v>Source</x:v>
      </x:c>
      <x:c r="B151" s="9" t="str">
        <x:v>S02 CFA Institute - Investment Foundations curriculum</x:v>
      </x:c>
      <x:c r="C151" s="9" t="str">
        <x:v>https://www.cfainstitute.org/programs/investment-foundations-certificate</x:v>
      </x:c>
      <x:c r="D151" s="9" t="str">
        <x:v>Reference for breadth across markets, instruments, statements, analysis and portfolio management; not a claim that every listed topic is a CFA lesson.</x:v>
      </x:c>
      <x:c r="E151" s="9" t="str">
        <x:v>Retrieved / recorded 8 October 2026</x:v>
      </x:c>
    </x:row>
    <x:row r="152" ht="68" customHeight="1">
      <x:c r="A152" s="10" t="str">
        <x:v>Source</x:v>
      </x:c>
      <x:c r="B152" s="10" t="str">
        <x:v>S03 CFA Institute - Candidate Body of Knowledge</x:v>
      </x:c>
      <x:c r="C152" s="10" t="str">
        <x:v>https://www.cfainstitute.org/programs/cfa-program/candidate-resources/cbok</x:v>
      </x:c>
      <x:c r="D152" s="10" t="str">
        <x:v>Reference for investment analysis, valuation, portfolio and wealth-management coverage.</x:v>
      </x:c>
      <x:c r="E152" s="10" t="str">
        <x:v>Retrieved / recorded 8 October 2026</x:v>
      </x:c>
    </x:row>
    <x:row r="153" ht="68" customHeight="1">
      <x:c r="A153" s="9" t="str">
        <x:v>Source</x:v>
      </x:c>
      <x:c r="B153" s="9" t="str">
        <x:v>S04 IFRS Foundation - IAS 7</x:v>
      </x:c>
      <x:c r="C153" s="9" t="str">
        <x:v>https://www.ifrs.org/issued-standards/list-of-standards/ias-7-statement-of-cash-flows.html/</x:v>
      </x:c>
      <x:c r="D153" s="9" t="str">
        <x:v>Reference for operating, investing and financing classification. Detailed lessons must specify applicable framework and effective period.</x:v>
      </x:c>
      <x:c r="E153" s="9" t="str">
        <x:v>Retrieved / recorded 8 October 2026</x:v>
      </x:c>
    </x:row>
    <x:row r="154" ht="68" customHeight="1">
      <x:c r="A154" s="10" t="str">
        <x:v>Source</x:v>
      </x:c>
      <x:c r="B154" s="10" t="str">
        <x:v>S05 Aswath Damodaran, NYU Stern - Approaches to Valuation</x:v>
      </x:c>
      <x:c r="C154" s="10" t="str">
        <x:v>https://pages.stern.nyu.edu/adamodar/New_Home_Page/lectures/approach.html</x:v>
      </x:c>
      <x:c r="D154" s="10" t="str">
        <x:v>Reference for matching FCFF with cost of capital and FCFE with cost of equity.</x:v>
      </x:c>
      <x:c r="E154" s="10" t="str">
        <x:v>Retrieved / recorded 8 October 2026</x:v>
      </x:c>
    </x:row>
    <x:row r="155" ht="68" customHeight="1">
      <x:c r="A155" s="9" t="str">
        <x:v>Source</x:v>
      </x:c>
      <x:c r="B155" s="9" t="str">
        <x:v>S06 Nielsen Norman Group - Progressive Disclosure</x:v>
      </x:c>
      <x:c r="C155" s="9" t="str">
        <x:v>https://www.nngroup.com/articles/progressive-disclosure/</x:v>
      </x:c>
      <x:c r="D155" s="9" t="str">
        <x:v>Reference for staged detail in the interaction architecture.</x:v>
      </x:c>
      <x:c r="E155" s="9" t="str">
        <x:v>Retrieved / recorded 8 October 2026</x:v>
      </x:c>
    </x:row>
    <x:row r="156" ht="68" customHeight="1">
      <x:c r="A156" s="10" t="str">
        <x:v>Source</x:v>
      </x:c>
      <x:c r="B156" s="10" t="str">
        <x:v>S07 Roediger and Karpicke - Test-Enhanced Learning</x:v>
      </x:c>
      <x:c r="C156" s="10" t="str">
        <x:v>https://www.psychologicalscience.org/journals/psychological-science/j.1467-9280.2006.01693.x/</x:v>
      </x:c>
      <x:c r="D156" s="10" t="str">
        <x:v>Reference for retrieval-practice questions. Specific questions and journeys in this map are proposed authoring prompts, not validated assessments.</x:v>
      </x:c>
      <x:c r="E156" s="10" t="str">
        <x:v>Retrieved / recorded 8 October 2026</x:v>
      </x:c>
    </x:row>
  </x:sheetData>
  <x:pageMargins left="0.7" right="0.7" top="0.75" bottom="0.75" header="0.3" footer="0.3"/>
  <x:tableParts count="1">
    <x:tablePart xmlns:r="http://schemas.openxmlformats.org/officeDocument/2006/relationships" r:id="R2e772cb9bcba4837"/>
  </x:tableParts>
</x:worksheet>
</file>